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李芊妤\Downloads\"/>
    </mc:Choice>
  </mc:AlternateContent>
  <xr:revisionPtr revIDLastSave="0" documentId="13_ncr:1_{054D3DC6-7765-442E-8346-BF0DB52E8FA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庫存" sheetId="35" r:id="rId1"/>
    <sheet name="資產" sheetId="34" r:id="rId2"/>
    <sheet name="資產-員工" sheetId="39" r:id="rId3"/>
    <sheet name="登記紀錄" sheetId="40" r:id="rId4"/>
  </sheets>
  <definedNames>
    <definedName name="_xlnm._FilterDatabase" localSheetId="3" hidden="1">登記紀錄!$A$1:$O$1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" i="35" l="1"/>
  <c r="K36" i="35"/>
  <c r="T36" i="35"/>
  <c r="E36" i="35"/>
  <c r="F60" i="34"/>
  <c r="G60" i="34" s="1"/>
  <c r="G185" i="34"/>
  <c r="R77" i="35"/>
  <c r="I77" i="35"/>
  <c r="E77" i="35"/>
  <c r="I24" i="35"/>
  <c r="G206" i="34"/>
  <c r="G90" i="34"/>
  <c r="G129" i="34"/>
  <c r="G14" i="34"/>
  <c r="G106" i="34"/>
  <c r="G121" i="34"/>
  <c r="G338" i="34"/>
  <c r="G135" i="34"/>
  <c r="G138" i="34"/>
  <c r="G137" i="34"/>
  <c r="G139" i="34"/>
  <c r="G136" i="34"/>
  <c r="T122" i="35"/>
  <c r="Y122" i="35" s="1"/>
  <c r="Z122" i="35" s="1"/>
  <c r="T121" i="35"/>
  <c r="Y121" i="35" s="1"/>
  <c r="Z121" i="35" s="1"/>
  <c r="F56" i="34"/>
  <c r="G56" i="34" s="1"/>
  <c r="G250" i="34"/>
  <c r="T58" i="35"/>
  <c r="Y58" i="35" s="1"/>
  <c r="Z58" i="35" s="1"/>
  <c r="T47" i="35"/>
  <c r="Y47" i="35" s="1"/>
  <c r="Z47" i="35" s="1"/>
  <c r="T50" i="35"/>
  <c r="Y50" i="35" s="1"/>
  <c r="Z50" i="35" s="1"/>
  <c r="K40" i="35"/>
  <c r="Y40" i="35" s="1"/>
  <c r="Z40" i="35" s="1"/>
  <c r="V177" i="35"/>
  <c r="T68" i="35"/>
  <c r="K68" i="35"/>
  <c r="Q67" i="35"/>
  <c r="K67" i="35"/>
  <c r="P68" i="35"/>
  <c r="O68" i="35"/>
  <c r="S170" i="35"/>
  <c r="Y170" i="35" s="1"/>
  <c r="Z170" i="35" s="1"/>
  <c r="S169" i="35"/>
  <c r="Y169" i="35" s="1"/>
  <c r="Z169" i="35" s="1"/>
  <c r="S26" i="35"/>
  <c r="S2" i="35" s="1"/>
  <c r="Q176" i="35"/>
  <c r="Y176" i="35" s="1"/>
  <c r="Z176" i="35" s="1"/>
  <c r="T145" i="35"/>
  <c r="Y145" i="35" s="1"/>
  <c r="Z145" i="35" s="1"/>
  <c r="R144" i="35"/>
  <c r="Y144" i="35" s="1"/>
  <c r="Z144" i="35" s="1"/>
  <c r="T140" i="35"/>
  <c r="Y140" i="35" s="1"/>
  <c r="Z140" i="35" s="1"/>
  <c r="T137" i="35"/>
  <c r="Y137" i="35" s="1"/>
  <c r="Z137" i="35" s="1"/>
  <c r="T87" i="35"/>
  <c r="Y87" i="35" s="1"/>
  <c r="Z87" i="35" s="1"/>
  <c r="T86" i="35"/>
  <c r="Y86" i="35" s="1"/>
  <c r="Z86" i="35" s="1"/>
  <c r="Q74" i="35"/>
  <c r="Y74" i="35" s="1"/>
  <c r="Z74" i="35" s="1"/>
  <c r="Q73" i="35"/>
  <c r="Y73" i="35" s="1"/>
  <c r="Z73" i="35" s="1"/>
  <c r="T65" i="35"/>
  <c r="Y65" i="35" s="1"/>
  <c r="Z65" i="35" s="1"/>
  <c r="Q272" i="35"/>
  <c r="Y272" i="35" s="1"/>
  <c r="Z272" i="35" s="1"/>
  <c r="W253" i="35"/>
  <c r="Y253" i="35" s="1"/>
  <c r="Z253" i="35" s="1"/>
  <c r="W251" i="35"/>
  <c r="Y251" i="35" s="1"/>
  <c r="Z251" i="35" s="1"/>
  <c r="K236" i="35"/>
  <c r="K235" i="35"/>
  <c r="K234" i="35"/>
  <c r="W199" i="35"/>
  <c r="Y199" i="35" s="1"/>
  <c r="Z199" i="35" s="1"/>
  <c r="P184" i="35"/>
  <c r="Q184" i="35"/>
  <c r="O174" i="35"/>
  <c r="O175" i="35"/>
  <c r="V154" i="35"/>
  <c r="Y154" i="35" s="1"/>
  <c r="Z154" i="35" s="1"/>
  <c r="V127" i="35"/>
  <c r="K127" i="35"/>
  <c r="T123" i="35"/>
  <c r="Y123" i="35" s="1"/>
  <c r="Z123" i="35" s="1"/>
  <c r="W120" i="35"/>
  <c r="Y120" i="35" s="1"/>
  <c r="Z120" i="35" s="1"/>
  <c r="W112" i="35"/>
  <c r="Y112" i="35" s="1"/>
  <c r="Z112" i="35" s="1"/>
  <c r="P110" i="35"/>
  <c r="Y110" i="35" s="1"/>
  <c r="Z110" i="35" s="1"/>
  <c r="M109" i="35"/>
  <c r="L109" i="35"/>
  <c r="K105" i="35"/>
  <c r="Y105" i="35" s="1"/>
  <c r="Z105" i="35" s="1"/>
  <c r="O81" i="35"/>
  <c r="Y81" i="35" s="1"/>
  <c r="Z81" i="35" s="1"/>
  <c r="O75" i="35"/>
  <c r="W16" i="35"/>
  <c r="W46" i="35"/>
  <c r="W59" i="35"/>
  <c r="Y59" i="35" s="1"/>
  <c r="Z59" i="35" s="1"/>
  <c r="W61" i="35"/>
  <c r="K62" i="35"/>
  <c r="K55" i="35"/>
  <c r="T55" i="35"/>
  <c r="K54" i="35"/>
  <c r="K46" i="35"/>
  <c r="Y39" i="35"/>
  <c r="Z39" i="35" s="1"/>
  <c r="K24" i="35"/>
  <c r="V14" i="35"/>
  <c r="O14" i="35"/>
  <c r="G68" i="35"/>
  <c r="N184" i="35"/>
  <c r="N2" i="35" s="1"/>
  <c r="K184" i="35"/>
  <c r="Q4" i="35"/>
  <c r="K4" i="35"/>
  <c r="R37" i="35"/>
  <c r="K37" i="35"/>
  <c r="Q182" i="35"/>
  <c r="Y182" i="35" s="1"/>
  <c r="Z182" i="35" s="1"/>
  <c r="Q181" i="35"/>
  <c r="Y181" i="35" s="1"/>
  <c r="Z181" i="35" s="1"/>
  <c r="Q180" i="35"/>
  <c r="Y180" i="35" s="1"/>
  <c r="Z180" i="35" s="1"/>
  <c r="R179" i="35"/>
  <c r="Y179" i="35" s="1"/>
  <c r="Z179" i="35" s="1"/>
  <c r="R178" i="35"/>
  <c r="Y178" i="35" s="1"/>
  <c r="Z178" i="35" s="1"/>
  <c r="R177" i="35"/>
  <c r="Q172" i="35"/>
  <c r="Y172" i="35" s="1"/>
  <c r="Z172" i="35" s="1"/>
  <c r="T168" i="35"/>
  <c r="Y168" i="35" s="1"/>
  <c r="Z168" i="35" s="1"/>
  <c r="U168" i="35"/>
  <c r="T167" i="35"/>
  <c r="Y167" i="35" s="1"/>
  <c r="Z167" i="35" s="1"/>
  <c r="T166" i="35"/>
  <c r="Y166" i="35" s="1"/>
  <c r="Z166" i="35" s="1"/>
  <c r="U167" i="35"/>
  <c r="U166" i="35"/>
  <c r="T139" i="35"/>
  <c r="Y139" i="35" s="1"/>
  <c r="Z139" i="35" s="1"/>
  <c r="T138" i="35"/>
  <c r="Y138" i="35" s="1"/>
  <c r="Z138" i="35" s="1"/>
  <c r="U138" i="35"/>
  <c r="T133" i="35"/>
  <c r="Y133" i="35" s="1"/>
  <c r="Z133" i="35" s="1"/>
  <c r="U133" i="35"/>
  <c r="P126" i="35"/>
  <c r="Y126" i="35" s="1"/>
  <c r="Z126" i="35" s="1"/>
  <c r="P124" i="35"/>
  <c r="Y124" i="35" s="1"/>
  <c r="Z124" i="35" s="1"/>
  <c r="U12" i="35"/>
  <c r="P12" i="35"/>
  <c r="Y12" i="35" s="1"/>
  <c r="Z12" i="35" s="1"/>
  <c r="P11" i="35"/>
  <c r="U11" i="35"/>
  <c r="T165" i="35"/>
  <c r="Y165" i="35" s="1"/>
  <c r="Z165" i="35" s="1"/>
  <c r="U165" i="35"/>
  <c r="Q163" i="35"/>
  <c r="P163" i="35"/>
  <c r="W115" i="35"/>
  <c r="Q115" i="35"/>
  <c r="Q72" i="35"/>
  <c r="P72" i="35"/>
  <c r="K76" i="35"/>
  <c r="Y76" i="35" s="1"/>
  <c r="Z76" i="35" s="1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8" i="35"/>
  <c r="G139" i="35"/>
  <c r="G141" i="35"/>
  <c r="G142" i="35"/>
  <c r="G143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71" i="35"/>
  <c r="G172" i="35"/>
  <c r="G173" i="35"/>
  <c r="G174" i="35"/>
  <c r="G175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120" i="35"/>
  <c r="G121" i="35"/>
  <c r="D2" i="35"/>
  <c r="C2" i="35"/>
  <c r="G343" i="34"/>
  <c r="G342" i="34"/>
  <c r="G341" i="34"/>
  <c r="G340" i="34"/>
  <c r="G339" i="34"/>
  <c r="G337" i="34"/>
  <c r="G336" i="34"/>
  <c r="F335" i="34"/>
  <c r="G335" i="34" s="1"/>
  <c r="G334" i="34"/>
  <c r="G333" i="34"/>
  <c r="G332" i="34"/>
  <c r="G331" i="34"/>
  <c r="G330" i="34"/>
  <c r="G328" i="34"/>
  <c r="G327" i="34"/>
  <c r="G325" i="34"/>
  <c r="G323" i="34"/>
  <c r="G322" i="34"/>
  <c r="G321" i="34"/>
  <c r="G320" i="34"/>
  <c r="G319" i="34"/>
  <c r="G318" i="34"/>
  <c r="G317" i="34"/>
  <c r="G316" i="34"/>
  <c r="G314" i="34"/>
  <c r="G313" i="34"/>
  <c r="G312" i="34"/>
  <c r="G311" i="34"/>
  <c r="G310" i="34"/>
  <c r="G309" i="34"/>
  <c r="G308" i="34"/>
  <c r="G307" i="34"/>
  <c r="G306" i="34"/>
  <c r="G305" i="34"/>
  <c r="G304" i="34"/>
  <c r="G303" i="34"/>
  <c r="G302" i="34"/>
  <c r="G301" i="34"/>
  <c r="G300" i="34"/>
  <c r="G299" i="34"/>
  <c r="G298" i="34"/>
  <c r="G297" i="34"/>
  <c r="G296" i="34"/>
  <c r="G295" i="34"/>
  <c r="G294" i="34"/>
  <c r="G293" i="34"/>
  <c r="G292" i="34"/>
  <c r="G291" i="34"/>
  <c r="G290" i="34"/>
  <c r="G289" i="34"/>
  <c r="G288" i="34"/>
  <c r="G287" i="34"/>
  <c r="G286" i="34"/>
  <c r="G285" i="34"/>
  <c r="G284" i="34"/>
  <c r="G283" i="34"/>
  <c r="G282" i="34"/>
  <c r="G281" i="34"/>
  <c r="G280" i="34"/>
  <c r="G279" i="34"/>
  <c r="G278" i="34"/>
  <c r="G277" i="34"/>
  <c r="G276" i="34"/>
  <c r="G275" i="34"/>
  <c r="G274" i="34"/>
  <c r="G273" i="34"/>
  <c r="G272" i="34"/>
  <c r="G271" i="34"/>
  <c r="G270" i="34"/>
  <c r="G269" i="34"/>
  <c r="G268" i="34"/>
  <c r="G267" i="34"/>
  <c r="G266" i="34"/>
  <c r="G265" i="34"/>
  <c r="G264" i="34"/>
  <c r="G263" i="34"/>
  <c r="G262" i="34"/>
  <c r="G261" i="34"/>
  <c r="G260" i="34"/>
  <c r="G259" i="34"/>
  <c r="G258" i="34"/>
  <c r="G257" i="34"/>
  <c r="G256" i="34"/>
  <c r="G255" i="34"/>
  <c r="G254" i="34"/>
  <c r="G253" i="34"/>
  <c r="G251" i="34"/>
  <c r="G252" i="34"/>
  <c r="G249" i="34"/>
  <c r="G248" i="34"/>
  <c r="G247" i="34"/>
  <c r="G246" i="34"/>
  <c r="G245" i="34"/>
  <c r="G244" i="34"/>
  <c r="G243" i="34"/>
  <c r="G242" i="34"/>
  <c r="G241" i="34"/>
  <c r="G240" i="34"/>
  <c r="G239" i="34"/>
  <c r="G238" i="34"/>
  <c r="G237" i="34"/>
  <c r="G236" i="34"/>
  <c r="G235" i="34"/>
  <c r="G234" i="34"/>
  <c r="G233" i="34"/>
  <c r="G232" i="34"/>
  <c r="G231" i="34"/>
  <c r="G230" i="34"/>
  <c r="G229" i="34"/>
  <c r="G228" i="34"/>
  <c r="G227" i="34"/>
  <c r="G226" i="34"/>
  <c r="G225" i="34"/>
  <c r="G224" i="34"/>
  <c r="G223" i="34"/>
  <c r="G222" i="34"/>
  <c r="G221" i="34"/>
  <c r="G219" i="34"/>
  <c r="G218" i="34"/>
  <c r="G217" i="34"/>
  <c r="G216" i="34"/>
  <c r="G215" i="34"/>
  <c r="G214" i="34"/>
  <c r="G213" i="34"/>
  <c r="G212" i="34"/>
  <c r="G211" i="34"/>
  <c r="G210" i="34"/>
  <c r="G209" i="34"/>
  <c r="G208" i="34"/>
  <c r="G207" i="34"/>
  <c r="G205" i="34"/>
  <c r="G204" i="34"/>
  <c r="G203" i="34"/>
  <c r="G202" i="34"/>
  <c r="G201" i="34"/>
  <c r="G200" i="34"/>
  <c r="G199" i="34"/>
  <c r="G198" i="34"/>
  <c r="G197" i="34"/>
  <c r="G196" i="34"/>
  <c r="G195" i="34"/>
  <c r="G194" i="34"/>
  <c r="G193" i="34"/>
  <c r="G192" i="34"/>
  <c r="G191" i="34"/>
  <c r="G190" i="34"/>
  <c r="G189" i="34"/>
  <c r="G188" i="34"/>
  <c r="G187" i="34"/>
  <c r="G186" i="34"/>
  <c r="G184" i="34"/>
  <c r="G183" i="34"/>
  <c r="G182" i="34"/>
  <c r="G181" i="34"/>
  <c r="G180" i="34"/>
  <c r="G179" i="34"/>
  <c r="G178" i="34"/>
  <c r="G177" i="34"/>
  <c r="G176" i="34"/>
  <c r="G175" i="34"/>
  <c r="G174" i="34"/>
  <c r="G173" i="34"/>
  <c r="G172" i="34"/>
  <c r="G171" i="34"/>
  <c r="G170" i="34"/>
  <c r="G169" i="34"/>
  <c r="G168" i="34"/>
  <c r="G167" i="34"/>
  <c r="G166" i="34"/>
  <c r="G165" i="34"/>
  <c r="G164" i="34"/>
  <c r="G163" i="34"/>
  <c r="G162" i="34"/>
  <c r="G161" i="34"/>
  <c r="G160" i="34"/>
  <c r="G159" i="34"/>
  <c r="G158" i="34"/>
  <c r="G157" i="34"/>
  <c r="G156" i="34"/>
  <c r="G155" i="34"/>
  <c r="G154" i="34"/>
  <c r="G153" i="34"/>
  <c r="G152" i="34"/>
  <c r="G151" i="34"/>
  <c r="G150" i="34"/>
  <c r="G149" i="34"/>
  <c r="G148" i="34"/>
  <c r="G147" i="34"/>
  <c r="G146" i="34"/>
  <c r="G145" i="34"/>
  <c r="G144" i="34"/>
  <c r="G142" i="34"/>
  <c r="G141" i="34"/>
  <c r="G140" i="34"/>
  <c r="G134" i="34"/>
  <c r="G133" i="34"/>
  <c r="G132" i="34"/>
  <c r="G131" i="34"/>
  <c r="G130" i="34"/>
  <c r="G128" i="34"/>
  <c r="G127" i="34"/>
  <c r="G126" i="34"/>
  <c r="G125" i="34"/>
  <c r="G124" i="34"/>
  <c r="G123" i="34"/>
  <c r="G122" i="34"/>
  <c r="G120" i="34"/>
  <c r="G119" i="34"/>
  <c r="G118" i="34"/>
  <c r="G117" i="34"/>
  <c r="G116" i="34"/>
  <c r="G115" i="34"/>
  <c r="G114" i="34"/>
  <c r="G113" i="34"/>
  <c r="G112" i="34"/>
  <c r="G111" i="34"/>
  <c r="G110" i="34"/>
  <c r="G109" i="34"/>
  <c r="G108" i="34"/>
  <c r="G107" i="34"/>
  <c r="G105" i="34"/>
  <c r="G104" i="34"/>
  <c r="G103" i="34"/>
  <c r="G102" i="34"/>
  <c r="G101" i="34"/>
  <c r="G100" i="34"/>
  <c r="G99" i="34"/>
  <c r="G98" i="34"/>
  <c r="G97" i="34"/>
  <c r="G96" i="34"/>
  <c r="G95" i="34"/>
  <c r="G94" i="34"/>
  <c r="G93" i="34"/>
  <c r="G92" i="34"/>
  <c r="G91" i="34"/>
  <c r="G89" i="34"/>
  <c r="G88" i="34"/>
  <c r="G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G68" i="34"/>
  <c r="G67" i="34"/>
  <c r="G66" i="34"/>
  <c r="G65" i="34"/>
  <c r="G64" i="34"/>
  <c r="G63" i="34"/>
  <c r="G62" i="34"/>
  <c r="G61" i="34"/>
  <c r="G59" i="34"/>
  <c r="G58" i="34"/>
  <c r="G57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3" i="34"/>
  <c r="G12" i="34"/>
  <c r="G11" i="34"/>
  <c r="G10" i="34"/>
  <c r="G9" i="34"/>
  <c r="G8" i="34"/>
  <c r="G6" i="34"/>
  <c r="G5" i="34"/>
  <c r="G4" i="34"/>
  <c r="G3" i="34"/>
  <c r="G143" i="34"/>
  <c r="G329" i="34"/>
  <c r="G324" i="34"/>
  <c r="G315" i="34"/>
  <c r="G220" i="34"/>
  <c r="G326" i="34"/>
  <c r="W283" i="35"/>
  <c r="Y283" i="35" s="1"/>
  <c r="Z283" i="35" s="1"/>
  <c r="U283" i="35"/>
  <c r="W282" i="35"/>
  <c r="Y282" i="35" s="1"/>
  <c r="Z282" i="35" s="1"/>
  <c r="U282" i="35"/>
  <c r="U281" i="35"/>
  <c r="L281" i="35"/>
  <c r="Y281" i="35" s="1"/>
  <c r="Z281" i="35" s="1"/>
  <c r="W280" i="35"/>
  <c r="Y280" i="35" s="1"/>
  <c r="Z280" i="35" s="1"/>
  <c r="U280" i="35"/>
  <c r="W279" i="35"/>
  <c r="Y279" i="35" s="1"/>
  <c r="Z279" i="35" s="1"/>
  <c r="U279" i="35"/>
  <c r="W278" i="35"/>
  <c r="Y278" i="35" s="1"/>
  <c r="Z278" i="35" s="1"/>
  <c r="U278" i="35"/>
  <c r="V277" i="35"/>
  <c r="Y277" i="35" s="1"/>
  <c r="Z277" i="35" s="1"/>
  <c r="U277" i="35"/>
  <c r="W276" i="35"/>
  <c r="Y276" i="35" s="1"/>
  <c r="Z276" i="35" s="1"/>
  <c r="U276" i="35"/>
  <c r="U275" i="35"/>
  <c r="L275" i="35"/>
  <c r="Y275" i="35" s="1"/>
  <c r="Z275" i="35" s="1"/>
  <c r="U274" i="35"/>
  <c r="L274" i="35"/>
  <c r="Y274" i="35" s="1"/>
  <c r="Z274" i="35" s="1"/>
  <c r="V273" i="35"/>
  <c r="Y273" i="35" s="1"/>
  <c r="Z273" i="35" s="1"/>
  <c r="U273" i="35"/>
  <c r="U272" i="35"/>
  <c r="U271" i="35"/>
  <c r="L271" i="35"/>
  <c r="Y271" i="35" s="1"/>
  <c r="Z271" i="35" s="1"/>
  <c r="U270" i="35"/>
  <c r="L270" i="35"/>
  <c r="Y270" i="35" s="1"/>
  <c r="Z270" i="35" s="1"/>
  <c r="U269" i="35"/>
  <c r="K269" i="35"/>
  <c r="Y269" i="35" s="1"/>
  <c r="Z269" i="35" s="1"/>
  <c r="V268" i="35"/>
  <c r="Y268" i="35" s="1"/>
  <c r="Z268" i="35" s="1"/>
  <c r="U268" i="35"/>
  <c r="U267" i="35"/>
  <c r="L267" i="35"/>
  <c r="Y267" i="35" s="1"/>
  <c r="Z267" i="35" s="1"/>
  <c r="U266" i="35"/>
  <c r="L266" i="35"/>
  <c r="Y266" i="35" s="1"/>
  <c r="Z266" i="35" s="1"/>
  <c r="U265" i="35"/>
  <c r="L265" i="35"/>
  <c r="Y265" i="35" s="1"/>
  <c r="Z265" i="35" s="1"/>
  <c r="U264" i="35"/>
  <c r="L264" i="35"/>
  <c r="Y264" i="35" s="1"/>
  <c r="Z264" i="35" s="1"/>
  <c r="U263" i="35"/>
  <c r="L263" i="35"/>
  <c r="Y263" i="35" s="1"/>
  <c r="Z263" i="35" s="1"/>
  <c r="U262" i="35"/>
  <c r="L262" i="35"/>
  <c r="Y262" i="35" s="1"/>
  <c r="Z262" i="35" s="1"/>
  <c r="U261" i="35"/>
  <c r="L261" i="35"/>
  <c r="Y261" i="35" s="1"/>
  <c r="Z261" i="35" s="1"/>
  <c r="U260" i="35"/>
  <c r="L260" i="35"/>
  <c r="Y260" i="35" s="1"/>
  <c r="Z260" i="35" s="1"/>
  <c r="U259" i="35"/>
  <c r="L259" i="35"/>
  <c r="Y259" i="35" s="1"/>
  <c r="Z259" i="35" s="1"/>
  <c r="U258" i="35"/>
  <c r="L258" i="35"/>
  <c r="Y258" i="35" s="1"/>
  <c r="Z258" i="35" s="1"/>
  <c r="U257" i="35"/>
  <c r="L257" i="35"/>
  <c r="Y257" i="35" s="1"/>
  <c r="Z257" i="35" s="1"/>
  <c r="U256" i="35"/>
  <c r="L256" i="35"/>
  <c r="Y256" i="35" s="1"/>
  <c r="Z256" i="35" s="1"/>
  <c r="U255" i="35"/>
  <c r="L255" i="35"/>
  <c r="Y255" i="35" s="1"/>
  <c r="Z255" i="35" s="1"/>
  <c r="U254" i="35"/>
  <c r="L254" i="35"/>
  <c r="Y254" i="35" s="1"/>
  <c r="Z254" i="35" s="1"/>
  <c r="U253" i="35"/>
  <c r="U252" i="35"/>
  <c r="L252" i="35"/>
  <c r="Y252" i="35" s="1"/>
  <c r="Z252" i="35" s="1"/>
  <c r="U251" i="35"/>
  <c r="U250" i="35"/>
  <c r="L250" i="35"/>
  <c r="Y250" i="35" s="1"/>
  <c r="Z250" i="35" s="1"/>
  <c r="U249" i="35"/>
  <c r="L249" i="35"/>
  <c r="Y249" i="35" s="1"/>
  <c r="Z249" i="35" s="1"/>
  <c r="U248" i="35"/>
  <c r="L248" i="35"/>
  <c r="Y248" i="35" s="1"/>
  <c r="Z248" i="35" s="1"/>
  <c r="U247" i="35"/>
  <c r="L247" i="35"/>
  <c r="Y247" i="35" s="1"/>
  <c r="Z247" i="35" s="1"/>
  <c r="U246" i="35"/>
  <c r="L246" i="35"/>
  <c r="Y246" i="35" s="1"/>
  <c r="Z246" i="35" s="1"/>
  <c r="U245" i="35"/>
  <c r="L245" i="35"/>
  <c r="Y245" i="35" s="1"/>
  <c r="Z245" i="35" s="1"/>
  <c r="U244" i="35"/>
  <c r="L244" i="35"/>
  <c r="Y244" i="35" s="1"/>
  <c r="Z244" i="35" s="1"/>
  <c r="U243" i="35"/>
  <c r="L243" i="35"/>
  <c r="Y243" i="35" s="1"/>
  <c r="Z243" i="35" s="1"/>
  <c r="U242" i="35"/>
  <c r="L242" i="35"/>
  <c r="Y242" i="35" s="1"/>
  <c r="Z242" i="35" s="1"/>
  <c r="U241" i="35"/>
  <c r="L241" i="35"/>
  <c r="Y241" i="35" s="1"/>
  <c r="Z241" i="35" s="1"/>
  <c r="U240" i="35"/>
  <c r="T240" i="35"/>
  <c r="K240" i="35"/>
  <c r="U239" i="35"/>
  <c r="L239" i="35"/>
  <c r="Y239" i="35" s="1"/>
  <c r="Z239" i="35" s="1"/>
  <c r="V238" i="35"/>
  <c r="Y238" i="35" s="1"/>
  <c r="Z238" i="35" s="1"/>
  <c r="U238" i="35"/>
  <c r="V237" i="35"/>
  <c r="Y237" i="35" s="1"/>
  <c r="Z237" i="35" s="1"/>
  <c r="U237" i="35"/>
  <c r="U233" i="35"/>
  <c r="L233" i="35"/>
  <c r="Y233" i="35" s="1"/>
  <c r="Z233" i="35" s="1"/>
  <c r="U232" i="35"/>
  <c r="L232" i="35"/>
  <c r="Y232" i="35" s="1"/>
  <c r="Z232" i="35" s="1"/>
  <c r="U231" i="35"/>
  <c r="L231" i="35"/>
  <c r="Y231" i="35" s="1"/>
  <c r="Z231" i="35" s="1"/>
  <c r="U230" i="35"/>
  <c r="K230" i="35"/>
  <c r="Y230" i="35" s="1"/>
  <c r="Z230" i="35" s="1"/>
  <c r="V229" i="35"/>
  <c r="Y229" i="35" s="1"/>
  <c r="Z229" i="35" s="1"/>
  <c r="U229" i="35"/>
  <c r="U228" i="35"/>
  <c r="K228" i="35"/>
  <c r="Y228" i="35" s="1"/>
  <c r="Z228" i="35" s="1"/>
  <c r="W227" i="35"/>
  <c r="Y227" i="35" s="1"/>
  <c r="Z227" i="35" s="1"/>
  <c r="U227" i="35"/>
  <c r="W226" i="35"/>
  <c r="Y226" i="35" s="1"/>
  <c r="Z226" i="35" s="1"/>
  <c r="U226" i="35"/>
  <c r="V225" i="35"/>
  <c r="Y225" i="35" s="1"/>
  <c r="Z225" i="35" s="1"/>
  <c r="U225" i="35"/>
  <c r="W224" i="35"/>
  <c r="Y224" i="35" s="1"/>
  <c r="Z224" i="35" s="1"/>
  <c r="U224" i="35"/>
  <c r="W223" i="35"/>
  <c r="Y223" i="35" s="1"/>
  <c r="Z223" i="35" s="1"/>
  <c r="U223" i="35"/>
  <c r="W222" i="35"/>
  <c r="Y222" i="35" s="1"/>
  <c r="Z222" i="35" s="1"/>
  <c r="U222" i="35"/>
  <c r="W221" i="35"/>
  <c r="Y221" i="35" s="1"/>
  <c r="Z221" i="35" s="1"/>
  <c r="U221" i="35"/>
  <c r="U220" i="35"/>
  <c r="T220" i="35"/>
  <c r="Y220" i="35" s="1"/>
  <c r="Z220" i="35" s="1"/>
  <c r="V219" i="35"/>
  <c r="Y219" i="35" s="1"/>
  <c r="Z219" i="35" s="1"/>
  <c r="U219" i="35"/>
  <c r="U218" i="35"/>
  <c r="L218" i="35"/>
  <c r="Y218" i="35" s="1"/>
  <c r="Z218" i="35" s="1"/>
  <c r="U217" i="35"/>
  <c r="L217" i="35"/>
  <c r="Y217" i="35" s="1"/>
  <c r="Z217" i="35" s="1"/>
  <c r="U216" i="35"/>
  <c r="T216" i="35"/>
  <c r="Y216" i="35" s="1"/>
  <c r="Z216" i="35" s="1"/>
  <c r="U215" i="35"/>
  <c r="L215" i="35"/>
  <c r="Y215" i="35" s="1"/>
  <c r="Z215" i="35" s="1"/>
  <c r="U214" i="35"/>
  <c r="L214" i="35"/>
  <c r="Y214" i="35" s="1"/>
  <c r="Z214" i="35" s="1"/>
  <c r="U213" i="35"/>
  <c r="T213" i="35"/>
  <c r="Y213" i="35" s="1"/>
  <c r="Z213" i="35" s="1"/>
  <c r="U212" i="35"/>
  <c r="T212" i="35"/>
  <c r="Y212" i="35" s="1"/>
  <c r="Z212" i="35" s="1"/>
  <c r="V211" i="35"/>
  <c r="Y211" i="35" s="1"/>
  <c r="Z211" i="35" s="1"/>
  <c r="U211" i="35"/>
  <c r="Y210" i="35"/>
  <c r="Z210" i="35" s="1"/>
  <c r="U210" i="35"/>
  <c r="W209" i="35"/>
  <c r="Y209" i="35" s="1"/>
  <c r="Z209" i="35" s="1"/>
  <c r="U209" i="35"/>
  <c r="U208" i="35"/>
  <c r="L208" i="35"/>
  <c r="Y208" i="35" s="1"/>
  <c r="Z208" i="35" s="1"/>
  <c r="V207" i="35"/>
  <c r="Y207" i="35" s="1"/>
  <c r="Z207" i="35" s="1"/>
  <c r="U207" i="35"/>
  <c r="U206" i="35"/>
  <c r="L206" i="35"/>
  <c r="Y206" i="35" s="1"/>
  <c r="Z206" i="35" s="1"/>
  <c r="U205" i="35"/>
  <c r="L205" i="35"/>
  <c r="Y205" i="35" s="1"/>
  <c r="Z205" i="35" s="1"/>
  <c r="U204" i="35"/>
  <c r="L204" i="35"/>
  <c r="Y204" i="35" s="1"/>
  <c r="Z204" i="35" s="1"/>
  <c r="V203" i="35"/>
  <c r="Y203" i="35" s="1"/>
  <c r="Z203" i="35" s="1"/>
  <c r="U203" i="35"/>
  <c r="V202" i="35"/>
  <c r="Y202" i="35" s="1"/>
  <c r="Z202" i="35" s="1"/>
  <c r="U202" i="35"/>
  <c r="V201" i="35"/>
  <c r="Y201" i="35" s="1"/>
  <c r="Z201" i="35" s="1"/>
  <c r="U201" i="35"/>
  <c r="V200" i="35"/>
  <c r="Y200" i="35" s="1"/>
  <c r="Z200" i="35" s="1"/>
  <c r="U200" i="35"/>
  <c r="U199" i="35"/>
  <c r="V198" i="35"/>
  <c r="Y198" i="35" s="1"/>
  <c r="Z198" i="35" s="1"/>
  <c r="U198" i="35"/>
  <c r="V197" i="35"/>
  <c r="Y197" i="35" s="1"/>
  <c r="Z197" i="35" s="1"/>
  <c r="U197" i="35"/>
  <c r="V196" i="35"/>
  <c r="Y196" i="35" s="1"/>
  <c r="Z196" i="35" s="1"/>
  <c r="U196" i="35"/>
  <c r="W195" i="35"/>
  <c r="Y195" i="35" s="1"/>
  <c r="Z195" i="35" s="1"/>
  <c r="U195" i="35"/>
  <c r="W194" i="35"/>
  <c r="Y194" i="35" s="1"/>
  <c r="Z194" i="35" s="1"/>
  <c r="U194" i="35"/>
  <c r="K193" i="35"/>
  <c r="Y193" i="35" s="1"/>
  <c r="Z193" i="35" s="1"/>
  <c r="V192" i="35"/>
  <c r="Y192" i="35" s="1"/>
  <c r="Z192" i="35" s="1"/>
  <c r="U192" i="35"/>
  <c r="W191" i="35"/>
  <c r="Y191" i="35" s="1"/>
  <c r="Z191" i="35" s="1"/>
  <c r="U191" i="35"/>
  <c r="V190" i="35"/>
  <c r="Y190" i="35" s="1"/>
  <c r="Z190" i="35" s="1"/>
  <c r="U190" i="35"/>
  <c r="W189" i="35"/>
  <c r="Y189" i="35" s="1"/>
  <c r="Z189" i="35" s="1"/>
  <c r="U189" i="35"/>
  <c r="W188" i="35"/>
  <c r="Y188" i="35" s="1"/>
  <c r="Z188" i="35" s="1"/>
  <c r="U188" i="35"/>
  <c r="U187" i="35"/>
  <c r="T187" i="35"/>
  <c r="Y187" i="35" s="1"/>
  <c r="Z187" i="35" s="1"/>
  <c r="W186" i="35"/>
  <c r="Y186" i="35" s="1"/>
  <c r="Z186" i="35" s="1"/>
  <c r="U186" i="35"/>
  <c r="U185" i="35"/>
  <c r="K185" i="35"/>
  <c r="Y185" i="35" s="1"/>
  <c r="Z185" i="35" s="1"/>
  <c r="T184" i="35"/>
  <c r="U183" i="35"/>
  <c r="V183" i="35" s="1"/>
  <c r="Y183" i="35" s="1"/>
  <c r="Z183" i="35" s="1"/>
  <c r="U177" i="35"/>
  <c r="U175" i="35"/>
  <c r="V175" i="35" s="1"/>
  <c r="U174" i="35"/>
  <c r="V174" i="35" s="1"/>
  <c r="O173" i="35"/>
  <c r="Y173" i="35" s="1"/>
  <c r="Z173" i="35" s="1"/>
  <c r="O171" i="35"/>
  <c r="Y171" i="35" s="1"/>
  <c r="Z171" i="35" s="1"/>
  <c r="U164" i="35"/>
  <c r="T164" i="35"/>
  <c r="Y164" i="35" s="1"/>
  <c r="Z164" i="35" s="1"/>
  <c r="V162" i="35"/>
  <c r="Y162" i="35" s="1"/>
  <c r="Z162" i="35" s="1"/>
  <c r="U162" i="35"/>
  <c r="U161" i="35"/>
  <c r="T161" i="35"/>
  <c r="Y161" i="35" s="1"/>
  <c r="Z161" i="35" s="1"/>
  <c r="W160" i="35"/>
  <c r="Y160" i="35" s="1"/>
  <c r="Z160" i="35" s="1"/>
  <c r="U160" i="35"/>
  <c r="W159" i="35"/>
  <c r="Y159" i="35" s="1"/>
  <c r="Z159" i="35" s="1"/>
  <c r="U159" i="35"/>
  <c r="W158" i="35"/>
  <c r="Y158" i="35" s="1"/>
  <c r="Z158" i="35" s="1"/>
  <c r="U158" i="35"/>
  <c r="W157" i="35"/>
  <c r="U157" i="35"/>
  <c r="K157" i="35"/>
  <c r="W156" i="35"/>
  <c r="U156" i="35"/>
  <c r="K156" i="35"/>
  <c r="V155" i="35"/>
  <c r="Y155" i="35" s="1"/>
  <c r="Z155" i="35" s="1"/>
  <c r="U155" i="35"/>
  <c r="V153" i="35"/>
  <c r="Y153" i="35" s="1"/>
  <c r="Z153" i="35" s="1"/>
  <c r="U153" i="35"/>
  <c r="U152" i="35"/>
  <c r="T152" i="35"/>
  <c r="Y152" i="35" s="1"/>
  <c r="Z152" i="35" s="1"/>
  <c r="V151" i="35"/>
  <c r="Y151" i="35" s="1"/>
  <c r="Z151" i="35" s="1"/>
  <c r="U151" i="35"/>
  <c r="V150" i="35"/>
  <c r="Y150" i="35" s="1"/>
  <c r="Z150" i="35" s="1"/>
  <c r="U150" i="35"/>
  <c r="W149" i="35"/>
  <c r="Y149" i="35" s="1"/>
  <c r="Z149" i="35" s="1"/>
  <c r="U149" i="35"/>
  <c r="W148" i="35"/>
  <c r="Y148" i="35" s="1"/>
  <c r="Z148" i="35" s="1"/>
  <c r="U148" i="35"/>
  <c r="W147" i="35"/>
  <c r="Y147" i="35" s="1"/>
  <c r="Z147" i="35" s="1"/>
  <c r="U147" i="35"/>
  <c r="W146" i="35"/>
  <c r="Y146" i="35" s="1"/>
  <c r="Z146" i="35" s="1"/>
  <c r="U146" i="35"/>
  <c r="U143" i="35"/>
  <c r="T143" i="35"/>
  <c r="Y143" i="35" s="1"/>
  <c r="Z143" i="35" s="1"/>
  <c r="L142" i="35"/>
  <c r="Y142" i="35" s="1"/>
  <c r="Z142" i="35" s="1"/>
  <c r="W141" i="35"/>
  <c r="Y141" i="35" s="1"/>
  <c r="Z141" i="35" s="1"/>
  <c r="U141" i="35"/>
  <c r="U136" i="35"/>
  <c r="T136" i="35"/>
  <c r="Y136" i="35" s="1"/>
  <c r="Z136" i="35" s="1"/>
  <c r="U135" i="35"/>
  <c r="T135" i="35"/>
  <c r="Y135" i="35" s="1"/>
  <c r="Z135" i="35" s="1"/>
  <c r="U134" i="35"/>
  <c r="T134" i="35"/>
  <c r="Y134" i="35" s="1"/>
  <c r="Z134" i="35" s="1"/>
  <c r="W132" i="35"/>
  <c r="Y132" i="35" s="1"/>
  <c r="Z132" i="35" s="1"/>
  <c r="U132" i="35"/>
  <c r="V131" i="35"/>
  <c r="Y131" i="35" s="1"/>
  <c r="Z131" i="35" s="1"/>
  <c r="U131" i="35"/>
  <c r="W130" i="35"/>
  <c r="Y130" i="35" s="1"/>
  <c r="Z130" i="35" s="1"/>
  <c r="U130" i="35"/>
  <c r="W129" i="35"/>
  <c r="Y129" i="35" s="1"/>
  <c r="Z129" i="35" s="1"/>
  <c r="U129" i="35"/>
  <c r="U128" i="35"/>
  <c r="T128" i="35"/>
  <c r="Y128" i="35" s="1"/>
  <c r="Z128" i="35" s="1"/>
  <c r="K125" i="35"/>
  <c r="Y125" i="35" s="1"/>
  <c r="Z125" i="35" s="1"/>
  <c r="U120" i="35"/>
  <c r="W119" i="35"/>
  <c r="Y119" i="35" s="1"/>
  <c r="Z119" i="35" s="1"/>
  <c r="U119" i="35"/>
  <c r="G119" i="35"/>
  <c r="U118" i="35"/>
  <c r="K118" i="35"/>
  <c r="Y118" i="35" s="1"/>
  <c r="Z118" i="35" s="1"/>
  <c r="G118" i="35"/>
  <c r="U117" i="35"/>
  <c r="T117" i="35"/>
  <c r="K117" i="35"/>
  <c r="G117" i="35"/>
  <c r="V116" i="35"/>
  <c r="Y116" i="35" s="1"/>
  <c r="Z116" i="35" s="1"/>
  <c r="U116" i="35"/>
  <c r="G116" i="35"/>
  <c r="U115" i="35"/>
  <c r="G115" i="35"/>
  <c r="W114" i="35"/>
  <c r="Y114" i="35" s="1"/>
  <c r="Z114" i="35" s="1"/>
  <c r="U114" i="35"/>
  <c r="G114" i="35"/>
  <c r="W113" i="35"/>
  <c r="Y113" i="35" s="1"/>
  <c r="Z113" i="35" s="1"/>
  <c r="U113" i="35"/>
  <c r="G113" i="35"/>
  <c r="U112" i="35"/>
  <c r="G112" i="35"/>
  <c r="V111" i="35"/>
  <c r="Y111" i="35" s="1"/>
  <c r="Z111" i="35" s="1"/>
  <c r="U111" i="35"/>
  <c r="G111" i="35"/>
  <c r="U110" i="35"/>
  <c r="G110" i="35"/>
  <c r="U109" i="35"/>
  <c r="G109" i="35"/>
  <c r="V108" i="35"/>
  <c r="Y108" i="35" s="1"/>
  <c r="Z108" i="35" s="1"/>
  <c r="U108" i="35"/>
  <c r="G108" i="35"/>
  <c r="U107" i="35"/>
  <c r="K107" i="35"/>
  <c r="Y107" i="35" s="1"/>
  <c r="Z107" i="35" s="1"/>
  <c r="G107" i="35"/>
  <c r="V106" i="35"/>
  <c r="Y106" i="35" s="1"/>
  <c r="Z106" i="35" s="1"/>
  <c r="U106" i="35"/>
  <c r="G106" i="35"/>
  <c r="W104" i="35"/>
  <c r="Y104" i="35" s="1"/>
  <c r="Z104" i="35" s="1"/>
  <c r="U104" i="35"/>
  <c r="G104" i="35"/>
  <c r="W103" i="35"/>
  <c r="Y103" i="35" s="1"/>
  <c r="Z103" i="35" s="1"/>
  <c r="U103" i="35"/>
  <c r="G103" i="35"/>
  <c r="K102" i="35"/>
  <c r="Y102" i="35" s="1"/>
  <c r="Z102" i="35" s="1"/>
  <c r="G102" i="35"/>
  <c r="W101" i="35"/>
  <c r="Y101" i="35" s="1"/>
  <c r="Z101" i="35" s="1"/>
  <c r="U101" i="35"/>
  <c r="G101" i="35"/>
  <c r="W100" i="35"/>
  <c r="V100" i="35"/>
  <c r="T100" i="35"/>
  <c r="K100" i="35"/>
  <c r="I100" i="35"/>
  <c r="U100" i="35" s="1"/>
  <c r="G100" i="35"/>
  <c r="W99" i="35"/>
  <c r="Y99" i="35" s="1"/>
  <c r="Z99" i="35" s="1"/>
  <c r="U99" i="35"/>
  <c r="G99" i="35"/>
  <c r="V98" i="35"/>
  <c r="Y98" i="35" s="1"/>
  <c r="Z98" i="35" s="1"/>
  <c r="U98" i="35"/>
  <c r="G98" i="35"/>
  <c r="V97" i="35"/>
  <c r="Y97" i="35" s="1"/>
  <c r="Z97" i="35" s="1"/>
  <c r="U97" i="35"/>
  <c r="G97" i="35"/>
  <c r="V96" i="35"/>
  <c r="Y96" i="35" s="1"/>
  <c r="Z96" i="35" s="1"/>
  <c r="U96" i="35"/>
  <c r="G96" i="35"/>
  <c r="U95" i="35"/>
  <c r="T95" i="35"/>
  <c r="Y95" i="35" s="1"/>
  <c r="Z95" i="35" s="1"/>
  <c r="G95" i="35"/>
  <c r="K94" i="35"/>
  <c r="Y94" i="35" s="1"/>
  <c r="Z94" i="35" s="1"/>
  <c r="G94" i="35"/>
  <c r="W93" i="35"/>
  <c r="U93" i="35"/>
  <c r="K93" i="35"/>
  <c r="G93" i="35"/>
  <c r="U92" i="35"/>
  <c r="K92" i="35"/>
  <c r="Y92" i="35" s="1"/>
  <c r="Z92" i="35" s="1"/>
  <c r="G92" i="35"/>
  <c r="V91" i="35"/>
  <c r="Y91" i="35" s="1"/>
  <c r="Z91" i="35" s="1"/>
  <c r="U91" i="35"/>
  <c r="G91" i="35"/>
  <c r="U90" i="35"/>
  <c r="K90" i="35"/>
  <c r="Y90" i="35" s="1"/>
  <c r="Z90" i="35" s="1"/>
  <c r="G90" i="35"/>
  <c r="U89" i="35"/>
  <c r="K89" i="35"/>
  <c r="Y89" i="35" s="1"/>
  <c r="Z89" i="35" s="1"/>
  <c r="G89" i="35"/>
  <c r="K88" i="35"/>
  <c r="Y88" i="35" s="1"/>
  <c r="Z88" i="35" s="1"/>
  <c r="G88" i="35"/>
  <c r="U85" i="35"/>
  <c r="T85" i="35"/>
  <c r="Y85" i="35" s="1"/>
  <c r="Z85" i="35" s="1"/>
  <c r="G85" i="35"/>
  <c r="U84" i="35"/>
  <c r="L84" i="35"/>
  <c r="Y84" i="35" s="1"/>
  <c r="Z84" i="35" s="1"/>
  <c r="G84" i="35"/>
  <c r="U83" i="35"/>
  <c r="T83" i="35"/>
  <c r="Y83" i="35" s="1"/>
  <c r="Z83" i="35" s="1"/>
  <c r="G83" i="35"/>
  <c r="O82" i="35"/>
  <c r="G82" i="35"/>
  <c r="U81" i="35"/>
  <c r="G81" i="35"/>
  <c r="U80" i="35"/>
  <c r="K80" i="35"/>
  <c r="Y80" i="35" s="1"/>
  <c r="Z80" i="35" s="1"/>
  <c r="G80" i="35"/>
  <c r="U79" i="35"/>
  <c r="T79" i="35"/>
  <c r="K79" i="35"/>
  <c r="G79" i="35"/>
  <c r="K78" i="35"/>
  <c r="Y78" i="35" s="1"/>
  <c r="Z78" i="35" s="1"/>
  <c r="G78" i="35"/>
  <c r="G76" i="35"/>
  <c r="U75" i="35"/>
  <c r="G75" i="35"/>
  <c r="G72" i="35"/>
  <c r="W71" i="35"/>
  <c r="U71" i="35"/>
  <c r="G71" i="35"/>
  <c r="U70" i="35"/>
  <c r="V70" i="35" s="1"/>
  <c r="L70" i="35"/>
  <c r="G70" i="35"/>
  <c r="U69" i="35"/>
  <c r="V69" i="35" s="1"/>
  <c r="Y69" i="35" s="1"/>
  <c r="Z69" i="35" s="1"/>
  <c r="G69" i="35"/>
  <c r="U67" i="35"/>
  <c r="U66" i="35"/>
  <c r="V66" i="35" s="1"/>
  <c r="Y66" i="35" s="1"/>
  <c r="Z66" i="35" s="1"/>
  <c r="G66" i="35"/>
  <c r="W64" i="35"/>
  <c r="Y64" i="35" s="1"/>
  <c r="Z64" i="35" s="1"/>
  <c r="U64" i="35"/>
  <c r="G64" i="35"/>
  <c r="U63" i="35"/>
  <c r="K63" i="35"/>
  <c r="Y63" i="35" s="1"/>
  <c r="Z63" i="35" s="1"/>
  <c r="G63" i="35"/>
  <c r="E62" i="35"/>
  <c r="K61" i="35"/>
  <c r="G61" i="35"/>
  <c r="U60" i="35"/>
  <c r="K60" i="35"/>
  <c r="Y60" i="35" s="1"/>
  <c r="Z60" i="35" s="1"/>
  <c r="G60" i="35"/>
  <c r="G59" i="35"/>
  <c r="G58" i="35"/>
  <c r="U57" i="35"/>
  <c r="T57" i="35"/>
  <c r="Y57" i="35" s="1"/>
  <c r="Z57" i="35" s="1"/>
  <c r="G57" i="35"/>
  <c r="U56" i="35"/>
  <c r="L56" i="35"/>
  <c r="Y56" i="35" s="1"/>
  <c r="Z56" i="35" s="1"/>
  <c r="G56" i="35"/>
  <c r="U55" i="35"/>
  <c r="G55" i="35"/>
  <c r="G54" i="35"/>
  <c r="U53" i="35"/>
  <c r="K53" i="35"/>
  <c r="Y53" i="35" s="1"/>
  <c r="Z53" i="35" s="1"/>
  <c r="G53" i="35"/>
  <c r="U52" i="35"/>
  <c r="K52" i="35"/>
  <c r="Y52" i="35" s="1"/>
  <c r="Z52" i="35" s="1"/>
  <c r="G52" i="35"/>
  <c r="U51" i="35"/>
  <c r="K51" i="35"/>
  <c r="Y51" i="35" s="1"/>
  <c r="Z51" i="35" s="1"/>
  <c r="G51" i="35"/>
  <c r="G50" i="35"/>
  <c r="U49" i="35"/>
  <c r="L49" i="35"/>
  <c r="Y49" i="35" s="1"/>
  <c r="Z49" i="35" s="1"/>
  <c r="G49" i="35"/>
  <c r="U48" i="35"/>
  <c r="K48" i="35"/>
  <c r="Y48" i="35" s="1"/>
  <c r="Z48" i="35" s="1"/>
  <c r="G48" i="35"/>
  <c r="G47" i="35"/>
  <c r="U46" i="35"/>
  <c r="G46" i="35"/>
  <c r="U45" i="35"/>
  <c r="K45" i="35"/>
  <c r="Y45" i="35" s="1"/>
  <c r="Z45" i="35" s="1"/>
  <c r="G45" i="35"/>
  <c r="U44" i="35"/>
  <c r="L44" i="35"/>
  <c r="Y44" i="35" s="1"/>
  <c r="Z44" i="35" s="1"/>
  <c r="G44" i="35"/>
  <c r="U43" i="35"/>
  <c r="L43" i="35"/>
  <c r="Y43" i="35" s="1"/>
  <c r="Z43" i="35" s="1"/>
  <c r="G43" i="35"/>
  <c r="U42" i="35"/>
  <c r="K42" i="35"/>
  <c r="Y42" i="35" s="1"/>
  <c r="Z42" i="35" s="1"/>
  <c r="G42" i="35"/>
  <c r="W41" i="35"/>
  <c r="Y41" i="35" s="1"/>
  <c r="Z41" i="35" s="1"/>
  <c r="U41" i="35"/>
  <c r="G41" i="35"/>
  <c r="G40" i="35"/>
  <c r="G39" i="35"/>
  <c r="U38" i="35"/>
  <c r="K38" i="35"/>
  <c r="Y38" i="35" s="1"/>
  <c r="Z38" i="35" s="1"/>
  <c r="G38" i="35"/>
  <c r="G37" i="35"/>
  <c r="V35" i="35"/>
  <c r="U35" i="35"/>
  <c r="T35" i="35"/>
  <c r="L35" i="35"/>
  <c r="K35" i="35"/>
  <c r="G35" i="35"/>
  <c r="U34" i="35"/>
  <c r="K34" i="35"/>
  <c r="Y34" i="35" s="1"/>
  <c r="Z34" i="35" s="1"/>
  <c r="G34" i="35"/>
  <c r="U33" i="35"/>
  <c r="K33" i="35"/>
  <c r="Y33" i="35" s="1"/>
  <c r="Z33" i="35" s="1"/>
  <c r="G33" i="35"/>
  <c r="U32" i="35"/>
  <c r="L32" i="35"/>
  <c r="Y32" i="35" s="1"/>
  <c r="Z32" i="35" s="1"/>
  <c r="G32" i="35"/>
  <c r="U31" i="35"/>
  <c r="L31" i="35"/>
  <c r="Y31" i="35" s="1"/>
  <c r="Z31" i="35" s="1"/>
  <c r="G31" i="35"/>
  <c r="U30" i="35"/>
  <c r="L30" i="35"/>
  <c r="Y30" i="35" s="1"/>
  <c r="Z30" i="35" s="1"/>
  <c r="G30" i="35"/>
  <c r="U29" i="35"/>
  <c r="L29" i="35"/>
  <c r="Y29" i="35" s="1"/>
  <c r="Z29" i="35" s="1"/>
  <c r="G29" i="35"/>
  <c r="L28" i="35"/>
  <c r="Y28" i="35" s="1"/>
  <c r="Z28" i="35" s="1"/>
  <c r="G28" i="35"/>
  <c r="U27" i="35"/>
  <c r="V27" i="35" s="1"/>
  <c r="K27" i="35"/>
  <c r="G27" i="35"/>
  <c r="U26" i="35"/>
  <c r="K26" i="35"/>
  <c r="G26" i="35"/>
  <c r="U25" i="35"/>
  <c r="T25" i="35"/>
  <c r="K25" i="35"/>
  <c r="G25" i="35"/>
  <c r="G24" i="35"/>
  <c r="K23" i="35"/>
  <c r="Y23" i="35" s="1"/>
  <c r="Z23" i="35" s="1"/>
  <c r="G23" i="35"/>
  <c r="U22" i="35"/>
  <c r="K22" i="35"/>
  <c r="Y22" i="35" s="1"/>
  <c r="Z22" i="35" s="1"/>
  <c r="G22" i="35"/>
  <c r="U21" i="35"/>
  <c r="K21" i="35"/>
  <c r="Y21" i="35" s="1"/>
  <c r="Z21" i="35" s="1"/>
  <c r="G21" i="35"/>
  <c r="U20" i="35"/>
  <c r="K20" i="35"/>
  <c r="Y20" i="35" s="1"/>
  <c r="Z20" i="35" s="1"/>
  <c r="G20" i="35"/>
  <c r="U19" i="35"/>
  <c r="K19" i="35"/>
  <c r="Y19" i="35" s="1"/>
  <c r="Z19" i="35" s="1"/>
  <c r="G19" i="35"/>
  <c r="K18" i="35"/>
  <c r="Y18" i="35" s="1"/>
  <c r="Z18" i="35" s="1"/>
  <c r="E18" i="35"/>
  <c r="G18" i="35" s="1"/>
  <c r="U17" i="35"/>
  <c r="K17" i="35"/>
  <c r="Y17" i="35" s="1"/>
  <c r="Z17" i="35" s="1"/>
  <c r="G17" i="35"/>
  <c r="K16" i="35"/>
  <c r="G16" i="35"/>
  <c r="U15" i="35"/>
  <c r="K15" i="35"/>
  <c r="Y15" i="35" s="1"/>
  <c r="Z15" i="35" s="1"/>
  <c r="G15" i="35"/>
  <c r="K14" i="35"/>
  <c r="G14" i="35"/>
  <c r="U13" i="35"/>
  <c r="T13" i="35"/>
  <c r="Y13" i="35" s="1"/>
  <c r="Z13" i="35" s="1"/>
  <c r="G13" i="35"/>
  <c r="U10" i="35"/>
  <c r="T10" i="35"/>
  <c r="Y10" i="35" s="1"/>
  <c r="Z10" i="35" s="1"/>
  <c r="G10" i="35"/>
  <c r="U9" i="35"/>
  <c r="L9" i="35"/>
  <c r="Y9" i="35" s="1"/>
  <c r="Z9" i="35" s="1"/>
  <c r="G9" i="35"/>
  <c r="U8" i="35"/>
  <c r="L8" i="35"/>
  <c r="Y8" i="35" s="1"/>
  <c r="Z8" i="35" s="1"/>
  <c r="G8" i="35"/>
  <c r="K7" i="35"/>
  <c r="Y7" i="35" s="1"/>
  <c r="Z7" i="35" s="1"/>
  <c r="G7" i="35"/>
  <c r="W6" i="35"/>
  <c r="Y6" i="35" s="1"/>
  <c r="Z6" i="35" s="1"/>
  <c r="U6" i="35"/>
  <c r="G6" i="35"/>
  <c r="U5" i="35"/>
  <c r="K5" i="35"/>
  <c r="Y5" i="35" s="1"/>
  <c r="Z5" i="35" s="1"/>
  <c r="G5" i="35"/>
  <c r="U4" i="35"/>
  <c r="G4" i="35"/>
  <c r="U176" i="35"/>
  <c r="G176" i="35"/>
  <c r="U170" i="35"/>
  <c r="G170" i="35"/>
  <c r="U169" i="35"/>
  <c r="G169" i="35"/>
  <c r="U145" i="35"/>
  <c r="G145" i="35"/>
  <c r="U144" i="35"/>
  <c r="G144" i="35"/>
  <c r="U140" i="35"/>
  <c r="G140" i="35"/>
  <c r="U137" i="35"/>
  <c r="G137" i="35"/>
  <c r="U87" i="35"/>
  <c r="G87" i="35"/>
  <c r="U86" i="35"/>
  <c r="G86" i="35"/>
  <c r="U74" i="35"/>
  <c r="G74" i="35"/>
  <c r="U73" i="35"/>
  <c r="G73" i="35"/>
  <c r="U65" i="35"/>
  <c r="G65" i="35"/>
  <c r="Y36" i="35" l="1"/>
  <c r="Z36" i="35" s="1"/>
  <c r="G36" i="35"/>
  <c r="K77" i="35"/>
  <c r="Y77" i="35" s="1"/>
  <c r="Z77" i="35" s="1"/>
  <c r="U77" i="35"/>
  <c r="G77" i="35"/>
  <c r="Y157" i="35"/>
  <c r="Z157" i="35" s="1"/>
  <c r="S1" i="35"/>
  <c r="Y156" i="35"/>
  <c r="Z156" i="35" s="1"/>
  <c r="Y127" i="35"/>
  <c r="Z127" i="35" s="1"/>
  <c r="Y240" i="35"/>
  <c r="Z240" i="35" s="1"/>
  <c r="Y109" i="35"/>
  <c r="Z109" i="35" s="1"/>
  <c r="Y24" i="35"/>
  <c r="Z24" i="35" s="1"/>
  <c r="Y67" i="35"/>
  <c r="Z67" i="35" s="1"/>
  <c r="Y25" i="35"/>
  <c r="Z25" i="35" s="1"/>
  <c r="Y93" i="35"/>
  <c r="Z93" i="35" s="1"/>
  <c r="Y177" i="35"/>
  <c r="Z177" i="35" s="1"/>
  <c r="Y163" i="35"/>
  <c r="Z163" i="35" s="1"/>
  <c r="I2" i="35"/>
  <c r="Y26" i="35"/>
  <c r="Z26" i="35" s="1"/>
  <c r="Y117" i="35"/>
  <c r="Z117" i="35" s="1"/>
  <c r="Y35" i="35"/>
  <c r="Z35" i="35" s="1"/>
  <c r="Q2" i="35"/>
  <c r="Q1" i="35" s="1"/>
  <c r="Y100" i="35"/>
  <c r="Z100" i="35" s="1"/>
  <c r="Y175" i="35"/>
  <c r="Z175" i="35" s="1"/>
  <c r="E2" i="35"/>
  <c r="Y79" i="35"/>
  <c r="Z79" i="35" s="1"/>
  <c r="Y70" i="35"/>
  <c r="Z70" i="35" s="1"/>
  <c r="Y236" i="35"/>
  <c r="Z236" i="35" s="1"/>
  <c r="Y55" i="35"/>
  <c r="Z55" i="35" s="1"/>
  <c r="Y54" i="35"/>
  <c r="Z54" i="35" s="1"/>
  <c r="Y46" i="35"/>
  <c r="Z46" i="35" s="1"/>
  <c r="Y27" i="35"/>
  <c r="Z27" i="35" s="1"/>
  <c r="Y16" i="35"/>
  <c r="Z16" i="35" s="1"/>
  <c r="Y234" i="35"/>
  <c r="Z234" i="35" s="1"/>
  <c r="Y174" i="35"/>
  <c r="Z174" i="35" s="1"/>
  <c r="G67" i="35"/>
  <c r="F2" i="35"/>
  <c r="Y184" i="35"/>
  <c r="Z184" i="35" s="1"/>
  <c r="R2" i="35"/>
  <c r="R1" i="35" s="1"/>
  <c r="Y11" i="35"/>
  <c r="Z11" i="35" s="1"/>
  <c r="P2" i="35"/>
  <c r="P1" i="35" s="1"/>
  <c r="Y37" i="35"/>
  <c r="Z37" i="35" s="1"/>
  <c r="Y61" i="35"/>
  <c r="Z61" i="35" s="1"/>
  <c r="Y115" i="35"/>
  <c r="Z115" i="35" s="1"/>
  <c r="Y235" i="35"/>
  <c r="Z235" i="35" s="1"/>
  <c r="Y14" i="35"/>
  <c r="Z14" i="35" s="1"/>
  <c r="Y75" i="35"/>
  <c r="Z75" i="35" s="1"/>
  <c r="Y4" i="35"/>
  <c r="N1" i="35"/>
  <c r="Y82" i="35"/>
  <c r="Z82" i="35" s="1"/>
  <c r="O2" i="35"/>
  <c r="O1" i="35" s="1"/>
  <c r="L2" i="35"/>
  <c r="Y72" i="35"/>
  <c r="Z72" i="35" s="1"/>
  <c r="M2" i="35"/>
  <c r="M1" i="35" s="1"/>
  <c r="Y71" i="35"/>
  <c r="Z71" i="35" s="1"/>
  <c r="W2" i="35"/>
  <c r="W1" i="35" s="1"/>
  <c r="U68" i="35"/>
  <c r="G62" i="35"/>
  <c r="L1" i="35" l="1"/>
  <c r="V2" i="35"/>
  <c r="G2" i="35"/>
  <c r="Z4" i="35"/>
  <c r="Y68" i="35"/>
  <c r="Z68" i="35" s="1"/>
  <c r="T2" i="35"/>
  <c r="J1" i="35" s="1"/>
  <c r="Y62" i="35"/>
  <c r="K2" i="35"/>
  <c r="I1" i="35" l="1"/>
  <c r="V1" i="35"/>
  <c r="Y2" i="35"/>
  <c r="D1" i="35" s="1"/>
  <c r="Z62" i="35"/>
  <c r="Y1" i="35"/>
  <c r="T1" i="35"/>
  <c r="K1" i="35"/>
</calcChain>
</file>

<file path=xl/sharedStrings.xml><?xml version="1.0" encoding="utf-8"?>
<sst xmlns="http://schemas.openxmlformats.org/spreadsheetml/2006/main" count="4870" uniqueCount="2271">
  <si>
    <t>3M-WR-TW-KO1000</t>
  </si>
  <si>
    <t>DEMO BOX+A08</t>
  </si>
  <si>
    <t>61F-GPN-V50  110V</t>
  </si>
  <si>
    <t>A13</t>
  </si>
  <si>
    <t>951-2C-220AN ROHS</t>
  </si>
  <si>
    <t xml:space="preserve"> </t>
  </si>
  <si>
    <t>961.1004.0101.01330</t>
  </si>
  <si>
    <t>A06</t>
  </si>
  <si>
    <t>A303-LDR-100</t>
  </si>
  <si>
    <t>A307-202407001-27</t>
  </si>
  <si>
    <t>A308-AR-101-PBI-L</t>
  </si>
  <si>
    <t>ACTI E42B</t>
  </si>
  <si>
    <t>ADAM-3600-C2GL1A1E</t>
  </si>
  <si>
    <t>DEMO+A12</t>
  </si>
  <si>
    <t>ADAM-4017+-CE</t>
  </si>
  <si>
    <t>A09</t>
  </si>
  <si>
    <t>ADAM-4051-C</t>
  </si>
  <si>
    <t>ADAM-4051-C 16CH ISOLATED DI</t>
  </si>
  <si>
    <t>2026080701</t>
  </si>
  <si>
    <t>ADAM-5017-A4E</t>
  </si>
  <si>
    <t>ADAM-5056D-AE</t>
  </si>
  <si>
    <t>16CH DO Module w/LED</t>
  </si>
  <si>
    <t>ADAM-5560KW-AE</t>
  </si>
  <si>
    <t>A12</t>
  </si>
  <si>
    <t>A-LK-4500A</t>
  </si>
  <si>
    <t>A15</t>
  </si>
  <si>
    <t>A-LK-4600-1</t>
  </si>
  <si>
    <t>A-PXR-62MT SG</t>
  </si>
  <si>
    <t>AR-0600MZL</t>
  </si>
  <si>
    <t>AR-727-CM-485</t>
  </si>
  <si>
    <t>AR-PB-2A</t>
  </si>
  <si>
    <t>AR-TAGC13W50F</t>
  </si>
  <si>
    <t>A-SOYAL-HID-1</t>
  </si>
  <si>
    <t>BBHA-C-2P32A</t>
  </si>
  <si>
    <t>C105-LL100-C1314-10A</t>
  </si>
  <si>
    <t>C105-LL100-C1314-15A</t>
  </si>
  <si>
    <t>C106-BMEC-15A</t>
  </si>
  <si>
    <t>C106-BTBH-10A</t>
  </si>
  <si>
    <t>A20</t>
  </si>
  <si>
    <t>2026070902</t>
  </si>
  <si>
    <t>C-ACTI-Z910</t>
  </si>
  <si>
    <t>C-ADATA-32G</t>
  </si>
  <si>
    <t>WiFi 4 2.4GHz mPCle with Antenna and cable    96PD-RYUW131A1</t>
  </si>
  <si>
    <t>DEMO+A14</t>
  </si>
  <si>
    <t>2026032401x2</t>
  </si>
  <si>
    <t>C-ADV-ADAM-4055-C</t>
  </si>
  <si>
    <t>C-ADV-APAX-5070-BE</t>
  </si>
  <si>
    <t>DEMO+A07</t>
  </si>
  <si>
    <t>A14</t>
  </si>
  <si>
    <t>2026032401x2
2026062301x1
2026062302x1</t>
  </si>
  <si>
    <t>2
1
1</t>
  </si>
  <si>
    <t>C-ASUS-X1502A</t>
  </si>
  <si>
    <t>C-ATEN-VE801</t>
  </si>
  <si>
    <t>C-CD-CFSX-100</t>
  </si>
  <si>
    <t>C-CD-CG5F-FR-N2-A-NNNNNY</t>
  </si>
  <si>
    <t>C-CHC-RT-3KVA-LV</t>
  </si>
  <si>
    <t>LAB</t>
  </si>
  <si>
    <t>C-EL-LSL60-400/5</t>
  </si>
  <si>
    <t>A19</t>
  </si>
  <si>
    <t>C-HC-P4805AF</t>
  </si>
  <si>
    <t>C-HPE-DL320-GEN1144LFF</t>
  </si>
  <si>
    <t>C-JW-600-5A-15VA-0.3</t>
  </si>
  <si>
    <t>C-KCA-IP5277E-3.6</t>
  </si>
  <si>
    <t>C-KCA-KI7037-3.6</t>
  </si>
  <si>
    <t>A15+DEMO</t>
  </si>
  <si>
    <t>2026032401x2
2026062301x1</t>
  </si>
  <si>
    <t>2
1</t>
  </si>
  <si>
    <t>C-KCA-YT02-01202000-04</t>
  </si>
  <si>
    <t>C-M10009-2</t>
  </si>
  <si>
    <t>C-SY-AR-101-PBI</t>
  </si>
  <si>
    <t>C-TIS-SNL-014800</t>
  </si>
  <si>
    <t>C-UAI-IPC-HDW1230SN</t>
  </si>
  <si>
    <t>C-WCH-2P-1-R-15M</t>
  </si>
  <si>
    <t>Demo+A14</t>
  </si>
  <si>
    <t>DEMO BOX</t>
  </si>
  <si>
    <t>DEMOBOX 600*400*200</t>
  </si>
  <si>
    <t>EBA-43ASCAM</t>
  </si>
  <si>
    <t>ECU WIFI</t>
  </si>
  <si>
    <t>A08</t>
  </si>
  <si>
    <t>EDR-120-24</t>
  </si>
  <si>
    <t>EDR-150-24</t>
  </si>
  <si>
    <t>ET0.75-8WE</t>
  </si>
  <si>
    <t>G-EL-B4</t>
  </si>
  <si>
    <t>H001-EASY TUNNEL</t>
  </si>
  <si>
    <t>H004-EKI-2525I-BU</t>
  </si>
  <si>
    <t>H008-PS110A-AM</t>
  </si>
  <si>
    <t>H009-IP5178E-3.6</t>
  </si>
  <si>
    <t>H009-IP7277E-3.6</t>
  </si>
  <si>
    <t>H010-HMIET6500</t>
  </si>
  <si>
    <t>H010-WOP-215K-NAE</t>
  </si>
  <si>
    <t>H011-12V ADAPTER</t>
  </si>
  <si>
    <t>H011-AD1048-24FS</t>
  </si>
  <si>
    <t>H011-RSP75012</t>
  </si>
  <si>
    <t>IT-ADAM-4015-BE</t>
  </si>
  <si>
    <t>IT-ADAM-4022T-AE</t>
  </si>
  <si>
    <t>IT-ADAM-4572-CE</t>
  </si>
  <si>
    <t>IT-ADAM-5017-A3</t>
  </si>
  <si>
    <t>ADAM-5017-A3</t>
  </si>
  <si>
    <t>IT-ADAM-5050-A2E</t>
  </si>
  <si>
    <t>ADAM-5050-A2E</t>
  </si>
  <si>
    <t>IT-ADAM-5051D-AE</t>
  </si>
  <si>
    <t>ADAM-5051D-AE</t>
  </si>
  <si>
    <t>IT-ADAM-5069-AE-</t>
  </si>
  <si>
    <t>ADAM-5069-AE</t>
  </si>
  <si>
    <t>IT-ADAM-5550KW-AE-</t>
  </si>
  <si>
    <t>ADAM-5550KW-AE</t>
  </si>
  <si>
    <t>IT-E128840</t>
  </si>
  <si>
    <t>IT-SXL-30000A-RM</t>
  </si>
  <si>
    <t>UPS</t>
  </si>
  <si>
    <t>IT-Z001</t>
  </si>
  <si>
    <t>J1001</t>
  </si>
  <si>
    <t>JIC-636AR</t>
  </si>
  <si>
    <t>JR-1U-690MM</t>
  </si>
  <si>
    <t>JSMHP</t>
  </si>
  <si>
    <t>KI7755V</t>
  </si>
  <si>
    <t>KI7785V</t>
  </si>
  <si>
    <t>L602-NRE-WATU</t>
  </si>
  <si>
    <t>LA23TJ-AG-1525-1</t>
  </si>
  <si>
    <t>LA23TJ-AG-2020</t>
  </si>
  <si>
    <t>A07</t>
  </si>
  <si>
    <t>LCU-2S-SW</t>
  </si>
  <si>
    <t>LDR-100</t>
  </si>
  <si>
    <t>LDR-100++</t>
  </si>
  <si>
    <t>LE10-24V</t>
  </si>
  <si>
    <t>LE9-220V-W</t>
  </si>
  <si>
    <t>LED</t>
  </si>
  <si>
    <t>LED-42"</t>
  </si>
  <si>
    <t>LK-100S1</t>
  </si>
  <si>
    <t>LK-4800A</t>
  </si>
  <si>
    <t>LRS-350-12</t>
  </si>
  <si>
    <t>LRS-50-12</t>
  </si>
  <si>
    <t>LTBR-N</t>
  </si>
  <si>
    <t>M-03</t>
  </si>
  <si>
    <t>M400-RA1-41U-900</t>
  </si>
  <si>
    <t>M400-SHELF-2U</t>
  </si>
  <si>
    <t>M401-0001</t>
  </si>
  <si>
    <t>MEMO</t>
  </si>
  <si>
    <t>MMS-504HR</t>
  </si>
  <si>
    <t>MMS-530VT</t>
  </si>
  <si>
    <t>OA1001-54</t>
  </si>
  <si>
    <t>P700-BM2025111701</t>
  </si>
  <si>
    <t>P700-BM2026020601</t>
  </si>
  <si>
    <t>P700-BM2026021201</t>
  </si>
  <si>
    <t>P704-IT202409003-1</t>
  </si>
  <si>
    <t>P705-BA202407001-27</t>
  </si>
  <si>
    <t>P705-PCP202510009</t>
  </si>
  <si>
    <t>PDU-20A</t>
  </si>
  <si>
    <t>PGS-705FS</t>
  </si>
  <si>
    <t>PLP-1100D-24</t>
  </si>
  <si>
    <t>PL-SNET-8-3NN-NN-D24</t>
  </si>
  <si>
    <t>POST-YILONG</t>
  </si>
  <si>
    <t>POST-YILONG1</t>
  </si>
  <si>
    <t>PRS-35-24</t>
  </si>
  <si>
    <t>PS-PS-121(OLD)</t>
  </si>
  <si>
    <t>USB TO PS2 KB/MOUSE</t>
  </si>
  <si>
    <t>PT-080</t>
  </si>
  <si>
    <t>PXR-93MTK</t>
  </si>
  <si>
    <t>PYHPB-25-G</t>
  </si>
  <si>
    <t>PYHPB-25-R</t>
  </si>
  <si>
    <t>R410A</t>
  </si>
  <si>
    <t>RAM-155JKQB</t>
  </si>
  <si>
    <t>RAS-110NX1</t>
  </si>
  <si>
    <t>RMY2NJ-220</t>
  </si>
  <si>
    <t>S-100-24</t>
  </si>
  <si>
    <t>S204-400A-5A-CT</t>
  </si>
  <si>
    <t>S206-TCS5600-10</t>
  </si>
  <si>
    <t>S209-ADAM-3617-AE</t>
  </si>
  <si>
    <t>S209-ADAM-3651-AE</t>
  </si>
  <si>
    <t>S209-ADAM-3656-AE</t>
  </si>
  <si>
    <t>S209-ADAM-4051-C</t>
  </si>
  <si>
    <t>S-35-12</t>
  </si>
  <si>
    <t>S-AIGO-RCH-1(R)</t>
  </si>
  <si>
    <t>Demo</t>
  </si>
  <si>
    <t>S-DA-L62</t>
  </si>
  <si>
    <t>SHINING</t>
  </si>
  <si>
    <t>S-LY-LY900-0020-P5</t>
  </si>
  <si>
    <t>SNT-8D0120TF</t>
  </si>
  <si>
    <t>SONY-VWS-75A06</t>
  </si>
  <si>
    <t>SOYAL-AR-727CM-V2</t>
  </si>
  <si>
    <t>SOYAL-AR-737PDX8N(2)</t>
  </si>
  <si>
    <t>SOYAL-AR-829E</t>
  </si>
  <si>
    <t>SOYAL-AR-EL-209A</t>
  </si>
  <si>
    <t>SP</t>
  </si>
  <si>
    <t>SP-01</t>
  </si>
  <si>
    <t>SP-017-15A</t>
  </si>
  <si>
    <t>SP-150/5A</t>
  </si>
  <si>
    <t>SP-20</t>
  </si>
  <si>
    <t>SP-PTF08A-A</t>
  </si>
  <si>
    <t>SP-RELAY-24V</t>
  </si>
  <si>
    <t>SP-YF1.25-3S</t>
  </si>
  <si>
    <t>ST-CT 500/5A</t>
  </si>
  <si>
    <t>TCSGD1000-1CDB</t>
  </si>
  <si>
    <t>TJMC-10A</t>
  </si>
  <si>
    <t>TJMC-1A</t>
  </si>
  <si>
    <t>TJMC-6A</t>
  </si>
  <si>
    <t>TP-C0152-1</t>
  </si>
  <si>
    <t>TP-C0153-5</t>
  </si>
  <si>
    <t>TP-C0295-2</t>
  </si>
  <si>
    <t>TP-C0311-2024072401-1</t>
  </si>
  <si>
    <t>TP-C0311-2024072401-2</t>
  </si>
  <si>
    <t>TP-C0319-2025062501</t>
  </si>
  <si>
    <t>TP-C0385-2</t>
  </si>
  <si>
    <t>TP-M00140-1</t>
  </si>
  <si>
    <t>TP-M10027-1</t>
  </si>
  <si>
    <t>TP-M10243-1</t>
  </si>
  <si>
    <t>TP-M10258-1</t>
  </si>
  <si>
    <t>TP-M10261-1</t>
  </si>
  <si>
    <t>U-FIX HOLDER</t>
  </si>
  <si>
    <t>UNO-2271G-BT</t>
  </si>
  <si>
    <t>UNO-2483-BtO</t>
  </si>
  <si>
    <t>UPE5408-IP</t>
  </si>
  <si>
    <t>U-RFS-5</t>
  </si>
  <si>
    <t>USB-2020</t>
  </si>
  <si>
    <t>VAMDA8DV4NN8A</t>
  </si>
  <si>
    <t>VT-GE-SOFT</t>
  </si>
  <si>
    <t>WIN SERVER 2012 OS</t>
  </si>
  <si>
    <t>WISE4012-AE</t>
  </si>
  <si>
    <t>WISE-4012-AE 4ch UI AND 2chDO</t>
  </si>
  <si>
    <t>WISE4012EAE-ES</t>
  </si>
  <si>
    <t>X500-2026052001</t>
  </si>
  <si>
    <t>Z-15-FS001SC-SC-02</t>
  </si>
  <si>
    <t>Z-15-FS001SC-SC-1</t>
  </si>
  <si>
    <t>Z-15-FS001SC-SC-5</t>
  </si>
  <si>
    <t>1
1</t>
  </si>
  <si>
    <t>Z-ADV-NRE-WATU</t>
  </si>
  <si>
    <t>webaccess NRE (additional 300 tags)</t>
  </si>
  <si>
    <t>Z-ADV-PSD-A40W24</t>
  </si>
  <si>
    <t>Z-BTFBR-101</t>
  </si>
  <si>
    <t>Z-CB-C004962</t>
  </si>
  <si>
    <t>Z-DA-SFPBS1513SC-20</t>
  </si>
  <si>
    <t>Z-DA-SFPBS4648SC-20</t>
  </si>
  <si>
    <t>Z-DT00024141</t>
  </si>
  <si>
    <t>Z-DT00024144</t>
  </si>
  <si>
    <t>Z-EL-001</t>
  </si>
  <si>
    <t>Z-EL-7P-250A</t>
  </si>
  <si>
    <t>Z-EL-BAL-250A7P</t>
  </si>
  <si>
    <t>Z-EL-BBHA-1PC32A</t>
  </si>
  <si>
    <t>Z-EL-BBHA-3PC-30A</t>
  </si>
  <si>
    <t>Z-EL-BBHA-3PC-32A</t>
  </si>
  <si>
    <t>Z-EL-EYTT-06</t>
  </si>
  <si>
    <t>Z-EL-LTB-A20-P</t>
  </si>
  <si>
    <t>Z-EL-LTKJ047</t>
  </si>
  <si>
    <t>Z-FBS 2-6</t>
  </si>
  <si>
    <t>Z-GT-001</t>
  </si>
  <si>
    <t>Z-GT-EA075-011</t>
  </si>
  <si>
    <t>Z-GT-EA2-01UL</t>
  </si>
  <si>
    <t>Z-JE-AL-3SRE180CL</t>
  </si>
  <si>
    <t>Z-JE-AL-C6A-F-PIUG</t>
  </si>
  <si>
    <t>Z-JE-AL-C6A-UFTP-GY</t>
  </si>
  <si>
    <t>Z-KSS-1</t>
  </si>
  <si>
    <t>Z-KSS-LBD5-10</t>
  </si>
  <si>
    <t>Z-KSS-LMD5</t>
  </si>
  <si>
    <t>Z-KSS-RJ45-8C6A</t>
  </si>
  <si>
    <t>Z-KSS-Y1.5-3S</t>
  </si>
  <si>
    <t>Z-M10182-1</t>
  </si>
  <si>
    <t>Z-M10216-2</t>
  </si>
  <si>
    <t>ZN-58-2P1E-5A</t>
  </si>
  <si>
    <t>Z-PROVA-5601</t>
  </si>
  <si>
    <t>Z-RIF-1RPT-LDP-24DC/2X21</t>
  </si>
  <si>
    <t>Z-RIKO-NDR-480-24</t>
  </si>
  <si>
    <t>ZS-1F</t>
  </si>
  <si>
    <t>Z-SF-4G001</t>
  </si>
  <si>
    <t>Z-TEND-TBD-20</t>
  </si>
  <si>
    <t>Z-TEND-TBR-F</t>
  </si>
  <si>
    <t>Z-WEBACCESS-1</t>
  </si>
  <si>
    <t>ZYXEL-ES-109G</t>
  </si>
  <si>
    <t>ZYXEL-ES-109T</t>
  </si>
  <si>
    <t>ZYXEL-ES-109V</t>
  </si>
  <si>
    <t>ZYXEL-ES-110J</t>
  </si>
  <si>
    <t>ZYXEL-ES-110N</t>
  </si>
  <si>
    <t>ZYXEL-ES-110O</t>
  </si>
  <si>
    <t>ZZ-05</t>
  </si>
  <si>
    <t>T802-SAFETY-SHOES</t>
  </si>
  <si>
    <t>C2</t>
  </si>
  <si>
    <t>H014-CR200</t>
  </si>
  <si>
    <t>T802-CNS1336-BL</t>
  </si>
  <si>
    <t>B2</t>
  </si>
  <si>
    <t>T802-REFLECT-VEST-BK-XL</t>
  </si>
  <si>
    <t>T803-GWS720</t>
  </si>
  <si>
    <t>BOSCH</t>
  </si>
  <si>
    <t>D8</t>
  </si>
  <si>
    <t>C106-OPT1-DB9</t>
  </si>
  <si>
    <t>ADVANTECH</t>
  </si>
  <si>
    <t>A02</t>
  </si>
  <si>
    <t>A300-SCR-NO8</t>
  </si>
  <si>
    <t>C6</t>
  </si>
  <si>
    <t>A300-TD015</t>
  </si>
  <si>
    <t>C3</t>
  </si>
  <si>
    <t>A301-DIA38</t>
  </si>
  <si>
    <t>C5</t>
  </si>
  <si>
    <t>A301-M3X5-BK</t>
  </si>
  <si>
    <t>C4</t>
  </si>
  <si>
    <t>A302-3M-DUALLOCK</t>
  </si>
  <si>
    <t>C8</t>
  </si>
  <si>
    <t>A302-CABLETIE-300X5</t>
  </si>
  <si>
    <t>C9</t>
  </si>
  <si>
    <t>A302-CV-100</t>
  </si>
  <si>
    <t>KSS</t>
  </si>
  <si>
    <t>A302-CV-20</t>
  </si>
  <si>
    <t>A302-SB-16</t>
  </si>
  <si>
    <t>D3</t>
  </si>
  <si>
    <t>A303-86BOX</t>
  </si>
  <si>
    <t>B5</t>
  </si>
  <si>
    <t>A303-ADTEK-COVER</t>
  </si>
  <si>
    <t>ADTEK</t>
  </si>
  <si>
    <t>A303-ECRM</t>
  </si>
  <si>
    <t>A303-HP-25</t>
  </si>
  <si>
    <t>A303-NC-8N</t>
  </si>
  <si>
    <t>A303-PANEL-01</t>
  </si>
  <si>
    <t>A303-PMAX-3080</t>
  </si>
  <si>
    <t>ACTi</t>
  </si>
  <si>
    <t>A303-SSPLATE-1G</t>
  </si>
  <si>
    <t>A303-TH-COVER</t>
  </si>
  <si>
    <t>A303-WTDF6891</t>
  </si>
  <si>
    <t>A304-IAN-EMG-PB</t>
  </si>
  <si>
    <t>IAN</t>
  </si>
  <si>
    <t>B6</t>
  </si>
  <si>
    <t>A305-AR-0600M</t>
  </si>
  <si>
    <t>SOYAL</t>
  </si>
  <si>
    <t>B3</t>
  </si>
  <si>
    <t>A305-AR-723HBR1N21</t>
  </si>
  <si>
    <t>A305-AR-829E</t>
  </si>
  <si>
    <t>A305-DA-62AD</t>
  </si>
  <si>
    <t>DA</t>
  </si>
  <si>
    <t>A305-EL-209A</t>
  </si>
  <si>
    <t>YUSPHONE</t>
  </si>
  <si>
    <t>A305-EL-300A</t>
  </si>
  <si>
    <t>A305-EM-1600A</t>
  </si>
  <si>
    <t>A305-EMBRKT-115</t>
  </si>
  <si>
    <t>A305-EMBRKT-215</t>
  </si>
  <si>
    <t>A305-EMLOCK-1200</t>
  </si>
  <si>
    <t>A305-EMLOCK-600LBS</t>
  </si>
  <si>
    <t>A305-ES-BRKT-KIT</t>
  </si>
  <si>
    <t>A305-EXIT-BUTTON-SS</t>
  </si>
  <si>
    <t>A305-LK-1201P</t>
  </si>
  <si>
    <t>A305-OK-888</t>
  </si>
  <si>
    <t>LEE CHIANG</t>
  </si>
  <si>
    <t>A305-PB26-GN-BLKB</t>
  </si>
  <si>
    <t>A305-PB26-GN-NOTOP</t>
  </si>
  <si>
    <t>A305-PB26-RD-NOTOP</t>
  </si>
  <si>
    <t>A305-PB32-RD</t>
  </si>
  <si>
    <t>A305-PL26-GN-24V</t>
  </si>
  <si>
    <t>A305-PL30-GN</t>
  </si>
  <si>
    <t>A305-PRETEC-USBKEY</t>
  </si>
  <si>
    <t>PRETEC</t>
  </si>
  <si>
    <t>C10</t>
  </si>
  <si>
    <t>A305-RP10EKNN</t>
  </si>
  <si>
    <t>HID</t>
  </si>
  <si>
    <t>A305-SKB0-1</t>
  </si>
  <si>
    <t>TAIKO</t>
  </si>
  <si>
    <t>A305-SKB0-2</t>
  </si>
  <si>
    <t>A305-SL-100</t>
  </si>
  <si>
    <t>SOCA</t>
  </si>
  <si>
    <t>A305-ST-302</t>
  </si>
  <si>
    <t>A306-LK5215</t>
  </si>
  <si>
    <t>LONG KUANG</t>
  </si>
  <si>
    <t>A306-TNT-823R</t>
  </si>
  <si>
    <t>A308-2-M4X10</t>
  </si>
  <si>
    <t>A308-2-M4X12</t>
  </si>
  <si>
    <t>A308-AP-11</t>
  </si>
  <si>
    <t>SHIHLIN</t>
  </si>
  <si>
    <t>A308-APS-11</t>
  </si>
  <si>
    <t>Shihlin</t>
  </si>
  <si>
    <t>A308-BH2P</t>
  </si>
  <si>
    <t>A16</t>
  </si>
  <si>
    <t>A308-BHA32</t>
  </si>
  <si>
    <t>A308-ENDSTOP</t>
  </si>
  <si>
    <t>A308-FUSE-10A-10X38</t>
  </si>
  <si>
    <t>DEMEX</t>
  </si>
  <si>
    <t>A308-FUSE-2A-10x38</t>
  </si>
  <si>
    <t>A308-KUOYUH-88-16A</t>
  </si>
  <si>
    <t>KUOYUH</t>
  </si>
  <si>
    <t>A308-MSO-C-09D</t>
  </si>
  <si>
    <t>B4</t>
  </si>
  <si>
    <t>A308-PF113A</t>
  </si>
  <si>
    <t>A308-PTB-12P</t>
  </si>
  <si>
    <t>A308-PTB-3P</t>
  </si>
  <si>
    <t>A308-PTB-5P</t>
  </si>
  <si>
    <t>A308-RELAY-24VDC-14P</t>
  </si>
  <si>
    <t>A308-RELAY-24VDC-8P</t>
  </si>
  <si>
    <t>A308-RELAY-24VDC-8P-02</t>
  </si>
  <si>
    <t>A308-RELAY-24VDC-8P-03</t>
  </si>
  <si>
    <t>TAIMING</t>
  </si>
  <si>
    <t>A308-RELAYBASE-8P</t>
  </si>
  <si>
    <t>A308-SLO-10P</t>
  </si>
  <si>
    <t>SHAN HO</t>
  </si>
  <si>
    <t>A308-S-P11</t>
  </si>
  <si>
    <t>A308-S-P21</t>
  </si>
  <si>
    <t>A308-S-P80T</t>
  </si>
  <si>
    <t>A308-TA020-2P</t>
  </si>
  <si>
    <t>A308-TA020-4P</t>
  </si>
  <si>
    <t>A308-TB-3P</t>
  </si>
  <si>
    <t>A308-TBR-20</t>
  </si>
  <si>
    <t>TEND</t>
  </si>
  <si>
    <t>A308-TBR-F</t>
  </si>
  <si>
    <t>A308-TC-09D10-THN4</t>
  </si>
  <si>
    <t>TECO</t>
  </si>
  <si>
    <t>A308-TFBR-321N</t>
  </si>
  <si>
    <t>Tend</t>
  </si>
  <si>
    <t>C100-CAT5E-300CM</t>
  </si>
  <si>
    <t>C11</t>
  </si>
  <si>
    <t>C100-CAT5E-350CM</t>
  </si>
  <si>
    <t>C100-CAT5E-90CM</t>
  </si>
  <si>
    <t>C100-VGA-1100CM</t>
  </si>
  <si>
    <t>C101-DUPONT-MM-20P</t>
  </si>
  <si>
    <t>C101-RJ11-150CM</t>
  </si>
  <si>
    <t>C101-RJ11-200CM</t>
  </si>
  <si>
    <t>C101-RJ11-215CM</t>
  </si>
  <si>
    <t>C101-RJ11-700CM</t>
  </si>
  <si>
    <t>C103-AUDIO-120CM</t>
  </si>
  <si>
    <t>C103-CA-0910</t>
  </si>
  <si>
    <t>C103-CA-IR-RH2251</t>
  </si>
  <si>
    <t>C103-HDMI12MS</t>
  </si>
  <si>
    <t>C103-HDMI-SW3X1</t>
  </si>
  <si>
    <t>INTOPIC/C103-HDMI-SW3X1</t>
  </si>
  <si>
    <t>INTOPIC</t>
  </si>
  <si>
    <t>C103-SATA-38CM</t>
  </si>
  <si>
    <t>C103-SATAEXT-38CM</t>
  </si>
  <si>
    <t>C103-VC311</t>
  </si>
  <si>
    <t>Uptech</t>
  </si>
  <si>
    <t>C104-KC-035</t>
  </si>
  <si>
    <t>KING-CORD</t>
  </si>
  <si>
    <t>C104-USBC-100CM</t>
  </si>
  <si>
    <t>C105-12V3.33A-40W</t>
  </si>
  <si>
    <t>MEAN WELL</t>
  </si>
  <si>
    <t>C12</t>
  </si>
  <si>
    <t>C105-19V4.74A-90W</t>
  </si>
  <si>
    <t>ASUS</t>
  </si>
  <si>
    <t>C105-78Y-204</t>
  </si>
  <si>
    <t>C105-AC2P-120CM</t>
  </si>
  <si>
    <t>C105-AC-C13-180</t>
  </si>
  <si>
    <t>C105-ACC7-180CM</t>
  </si>
  <si>
    <t>C105-ADP-12V1A-DC</t>
  </si>
  <si>
    <t>Sunny</t>
  </si>
  <si>
    <t>C105-ADP-12V1A-TB</t>
  </si>
  <si>
    <t>Canon</t>
  </si>
  <si>
    <t>C105-ADP-30V21A-DC</t>
  </si>
  <si>
    <t>L.T.E.</t>
  </si>
  <si>
    <t>C105-ADP-5V08A</t>
  </si>
  <si>
    <t>PCL</t>
  </si>
  <si>
    <t>C105-ADP-5V3A-USBC</t>
  </si>
  <si>
    <t>JT International</t>
  </si>
  <si>
    <t>C105-AL-600</t>
  </si>
  <si>
    <t>HOU TA</t>
  </si>
  <si>
    <t>C105-DSA-12PF11-12LFUS</t>
  </si>
  <si>
    <t>DAV</t>
  </si>
  <si>
    <t>C105-EU-PLUG</t>
  </si>
  <si>
    <t>C105-IH-505</t>
  </si>
  <si>
    <t>YI-HUAN</t>
  </si>
  <si>
    <t>C105-LR-03B</t>
  </si>
  <si>
    <t>LOROM</t>
  </si>
  <si>
    <t>C105-LS-13</t>
  </si>
  <si>
    <t>C105-LS-60</t>
  </si>
  <si>
    <t>Longwell</t>
  </si>
  <si>
    <t>C105-NBS12E120100VU</t>
  </si>
  <si>
    <t>Mass Power</t>
  </si>
  <si>
    <t>C105-ST3</t>
  </si>
  <si>
    <t>XUANHUA</t>
  </si>
  <si>
    <t>C105-SW0602000N</t>
  </si>
  <si>
    <t>FJ</t>
  </si>
  <si>
    <t>C105-SW12-060U</t>
  </si>
  <si>
    <t>JQA</t>
  </si>
  <si>
    <t>C105-UK-PLUG</t>
  </si>
  <si>
    <t>C105-WONPRO-6P20A</t>
  </si>
  <si>
    <t>WONPRO</t>
  </si>
  <si>
    <t>C106-BG-22</t>
  </si>
  <si>
    <t>C106-BNC1200</t>
  </si>
  <si>
    <t>C106-NEMA-C13</t>
  </si>
  <si>
    <t>C106-PBG05</t>
  </si>
  <si>
    <t>C106-PBG05-1</t>
  </si>
  <si>
    <t>C106-PBG-1</t>
  </si>
  <si>
    <t>C106-RJ11-SURFACEBOX-1P</t>
  </si>
  <si>
    <t>C106-RJ45-BOOT-ORANGE</t>
  </si>
  <si>
    <t>C106-TEL203A</t>
  </si>
  <si>
    <t>MILLY</t>
  </si>
  <si>
    <t>C106-TEL-218B</t>
  </si>
  <si>
    <t>C107-SDL-5050-1</t>
  </si>
  <si>
    <t>C107-SDL-5050-2</t>
  </si>
  <si>
    <t>C108-KY-HORN</t>
  </si>
  <si>
    <t>KY</t>
  </si>
  <si>
    <t>C108-LK-96L</t>
  </si>
  <si>
    <t>C109-915MHZ</t>
  </si>
  <si>
    <t>C109-RF-ANT</t>
  </si>
  <si>
    <t>C109-WIRELESS-ANT</t>
  </si>
  <si>
    <t>H001-ECU-1152</t>
  </si>
  <si>
    <t>H001-EKI-1362</t>
  </si>
  <si>
    <t>A17</t>
  </si>
  <si>
    <t>H001-EKI-1528</t>
  </si>
  <si>
    <t>D4</t>
  </si>
  <si>
    <t>H001-NPORT-5150</t>
  </si>
  <si>
    <t>MOXA</t>
  </si>
  <si>
    <t>H001-WISE-4610</t>
  </si>
  <si>
    <t>H001-WISE-6610-A100-A</t>
  </si>
  <si>
    <t>H003-EPC-R3430</t>
  </si>
  <si>
    <t>B1</t>
  </si>
  <si>
    <t>H003-ES20-1S1A02-C1RO-C00</t>
  </si>
  <si>
    <t>H003-MIC-7300</t>
  </si>
  <si>
    <t>D2</t>
  </si>
  <si>
    <t>H003-MIC-770H-21A1</t>
  </si>
  <si>
    <t>H003-PPC3070SPA-ES</t>
  </si>
  <si>
    <t>H003-UNO-1170A</t>
  </si>
  <si>
    <t>H004-308A</t>
  </si>
  <si>
    <t>A03</t>
  </si>
  <si>
    <t>H004-EKI-1361-BE</t>
  </si>
  <si>
    <t>H004-EKI-2528DI</t>
  </si>
  <si>
    <t>C1</t>
  </si>
  <si>
    <t>H004-EKI-6232GN-AE</t>
  </si>
  <si>
    <t>H004-EKI-7712G-4FPI-AE</t>
  </si>
  <si>
    <t>H004-RT3G-350</t>
  </si>
  <si>
    <t>Spectre</t>
  </si>
  <si>
    <t>H005-AG-300</t>
  </si>
  <si>
    <t>H005-AP11-RW</t>
  </si>
  <si>
    <t>Aruba</t>
  </si>
  <si>
    <t>H005-EKI-6331AN</t>
  </si>
  <si>
    <t>H005-EKI-6332GN</t>
  </si>
  <si>
    <t>H005-EKI-6333AC</t>
  </si>
  <si>
    <t>H005-NWA90AXPRO</t>
  </si>
  <si>
    <t>Zyxel</t>
  </si>
  <si>
    <t>H006-HDT725032VLA360</t>
  </si>
  <si>
    <t>HITACHI</t>
  </si>
  <si>
    <t>H006-KB1211-W</t>
  </si>
  <si>
    <t>CUBE</t>
  </si>
  <si>
    <t>H006-TS128GSSD420K</t>
  </si>
  <si>
    <t>Transcend</t>
  </si>
  <si>
    <t>H008-ADP-60KB-B</t>
  </si>
  <si>
    <t>Delta</t>
  </si>
  <si>
    <t>H008-CI-N400N1</t>
  </si>
  <si>
    <t>H008-LRS-200-12</t>
  </si>
  <si>
    <t>Mean Well</t>
  </si>
  <si>
    <t>H008-NDR-240-24</t>
  </si>
  <si>
    <t>H008-NES-200-12</t>
  </si>
  <si>
    <t>H008-S-50-24</t>
  </si>
  <si>
    <t>H008-SE-100-12</t>
  </si>
  <si>
    <t>H008-TC500</t>
  </si>
  <si>
    <t>H009-B912</t>
  </si>
  <si>
    <t>H009-E82A</t>
  </si>
  <si>
    <t>H009-KIM-IPC542AHZ</t>
  </si>
  <si>
    <t>KIM</t>
  </si>
  <si>
    <t>H009-MS2-01</t>
  </si>
  <si>
    <t>Magic</t>
  </si>
  <si>
    <t>H009-NVS-3510</t>
  </si>
  <si>
    <t>SMAX</t>
  </si>
  <si>
    <t>D7</t>
  </si>
  <si>
    <t>H009-SSD-6981D</t>
  </si>
  <si>
    <t>D6</t>
  </si>
  <si>
    <t>H010-7D-HDMI</t>
  </si>
  <si>
    <t>Acer</t>
  </si>
  <si>
    <t>H010-PT070-WST4A-F1R1C02</t>
  </si>
  <si>
    <t>CERMATE</t>
  </si>
  <si>
    <t>H010-WOP-2070T-S2AE</t>
  </si>
  <si>
    <t>H010-WOP-3070T</t>
  </si>
  <si>
    <t>H013-Alcatel-29438</t>
  </si>
  <si>
    <t>Alcatel</t>
  </si>
  <si>
    <t>H013-HD-102SP</t>
  </si>
  <si>
    <t>H013-HDBT-070C-TP-RX</t>
  </si>
  <si>
    <t>PSTEK</t>
  </si>
  <si>
    <t>H013-HDBT-070C-TP-T</t>
  </si>
  <si>
    <t>H013-HEX-101H</t>
  </si>
  <si>
    <t>H013-MT730</t>
  </si>
  <si>
    <t>H013-TA-6011</t>
  </si>
  <si>
    <t>TONNET</t>
  </si>
  <si>
    <t>H014-ADATA-1GB-DDR2-800</t>
  </si>
  <si>
    <t>A-DATA</t>
  </si>
  <si>
    <t>H014-ADATA-1GB-DDR2-800-HS</t>
  </si>
  <si>
    <t>H014-ADATA-2GB-DDR3-1333</t>
  </si>
  <si>
    <t>H014-AQD-D3L8GE16-SG1</t>
  </si>
  <si>
    <t>H014-ASMB-9231</t>
  </si>
  <si>
    <t>H014-ASUS-2GB-ECC-PC3-10600</t>
  </si>
  <si>
    <t>H014-H81M-E</t>
  </si>
  <si>
    <t>H014-KINGMAX-DDR400-256MB</t>
  </si>
  <si>
    <t>KINGMAX</t>
  </si>
  <si>
    <t>H014-TWINMOS-DDR400-256MB</t>
  </si>
  <si>
    <t>TwinMOS</t>
  </si>
  <si>
    <t>H014-TWINMOS-DDR400-512MB</t>
  </si>
  <si>
    <t>H014-UMAX-DDR2-667-512MB</t>
  </si>
  <si>
    <t>UMAX</t>
  </si>
  <si>
    <t>H014-UT300</t>
  </si>
  <si>
    <t>L600-WIN10PRO-FQC-08935</t>
  </si>
  <si>
    <t>Microsoft</t>
  </si>
  <si>
    <t>L600-WIN11PRO-FQC-10523</t>
  </si>
  <si>
    <t>L602-WA-P83-U600E</t>
  </si>
  <si>
    <t>L602-WA-P84-U150E</t>
  </si>
  <si>
    <t>L602-WA-P84-U600E</t>
  </si>
  <si>
    <t>S200-BRKT-1</t>
  </si>
  <si>
    <t>D3+D4</t>
  </si>
  <si>
    <t>S200-BRKT-2</t>
  </si>
  <si>
    <t>S200-EE10FT6</t>
  </si>
  <si>
    <t>E+E Elektronik</t>
  </si>
  <si>
    <t>S200-HSTL-102WS</t>
  </si>
  <si>
    <t>S200-RS085-10L</t>
  </si>
  <si>
    <t>S200-RSDS13</t>
  </si>
  <si>
    <t>S200-SG-TEMP</t>
  </si>
  <si>
    <t>S200-SMTEC-RS485-1</t>
  </si>
  <si>
    <t>S200-SMTEC-RS485-2</t>
  </si>
  <si>
    <t>S200-TH10S-B-H</t>
  </si>
  <si>
    <t>S200-TH-BKT</t>
  </si>
  <si>
    <t>S200-THS-140</t>
  </si>
  <si>
    <t>S200-TRH-300</t>
  </si>
  <si>
    <t>RIXEN</t>
  </si>
  <si>
    <t>S200-WS140-6L</t>
  </si>
  <si>
    <t>S201-S1F-100M</t>
  </si>
  <si>
    <t>3M</t>
  </si>
  <si>
    <t>S202-FA110V</t>
  </si>
  <si>
    <t>S202-JIC-666S</t>
  </si>
  <si>
    <t>S202-YH-0131</t>
  </si>
  <si>
    <t>S203-LK-4105C</t>
  </si>
  <si>
    <t>Garrison</t>
  </si>
  <si>
    <t>S203-LK-153</t>
  </si>
  <si>
    <t>S204-BCT-A-250-5A</t>
  </si>
  <si>
    <t>BCTechnic</t>
  </si>
  <si>
    <t>S204-BCT-A-50A-5A</t>
  </si>
  <si>
    <t>S204-BCT-CT24-G-100A</t>
  </si>
  <si>
    <t>S204-CPM-12D-1MV-ADH</t>
  </si>
  <si>
    <t>S204-CPM70</t>
  </si>
  <si>
    <t>S204-CT-1000</t>
  </si>
  <si>
    <t>S204-CT-150-5A</t>
  </si>
  <si>
    <t>ARLIH</t>
  </si>
  <si>
    <t>S204-CT-200-5A</t>
  </si>
  <si>
    <t>SHINOHAWA</t>
  </si>
  <si>
    <t>S204-CT-800-5A-1</t>
  </si>
  <si>
    <t>S204-CT-800-5A-2</t>
  </si>
  <si>
    <t>SHINN CHYUAN</t>
  </si>
  <si>
    <t>S204-J1-SC-1731</t>
  </si>
  <si>
    <t>S204-SL-50CT</t>
  </si>
  <si>
    <t>S204-US-CTV-10-005</t>
  </si>
  <si>
    <t>S204-US-CTV-16-060</t>
  </si>
  <si>
    <t>S204-US-CTV-16-100</t>
  </si>
  <si>
    <t>S205-HSTL-GDZ</t>
  </si>
  <si>
    <t>S207-CPM-12D</t>
  </si>
  <si>
    <t>S208-ADAM-3613</t>
  </si>
  <si>
    <t>S208-ADAM-4520</t>
  </si>
  <si>
    <t>A01</t>
  </si>
  <si>
    <t>S208-ADAM-4561</t>
  </si>
  <si>
    <t>S208-ADAM-4561-old</t>
  </si>
  <si>
    <t>S208-GOC-901DVRS-SM</t>
  </si>
  <si>
    <t>GOC</t>
  </si>
  <si>
    <t>S208-LR77V2-LUSSWH</t>
  </si>
  <si>
    <t>Conel</t>
  </si>
  <si>
    <t>S208-TCS6B01</t>
  </si>
  <si>
    <t>TCS</t>
  </si>
  <si>
    <t>S208-WISE-4051</t>
  </si>
  <si>
    <t>S208-WISE-4060-LAN</t>
  </si>
  <si>
    <t>S208-WISE-710</t>
  </si>
  <si>
    <t>S209-ADAM-4017</t>
  </si>
  <si>
    <t>S209-ADAM-4017+-F</t>
  </si>
  <si>
    <t>S209-ADAM-4021</t>
  </si>
  <si>
    <t>S209-ADAM-4050</t>
  </si>
  <si>
    <t>S209-ADAM-4069-B</t>
  </si>
  <si>
    <t>S209-ADAM-4571</t>
  </si>
  <si>
    <t>S209-ADAM-5051D-BE</t>
  </si>
  <si>
    <t>S209-ADAM-5051-S</t>
  </si>
  <si>
    <t>S209-ADAM-5056S</t>
  </si>
  <si>
    <t>S209-ADAM-5510EKW</t>
  </si>
  <si>
    <t>S209-ADAM-5550KW</t>
  </si>
  <si>
    <t>S209-ADAM-5560KW</t>
  </si>
  <si>
    <t>S209-ADAM-6050</t>
  </si>
  <si>
    <t>S209-CMC-RS232RS485</t>
  </si>
  <si>
    <t>CMC</t>
  </si>
  <si>
    <t>S209-DVP-12SA2</t>
  </si>
  <si>
    <t>S209-HTS-DOD8-W-24</t>
  </si>
  <si>
    <t>Adtek</t>
  </si>
  <si>
    <t>S209-I-7188EXD</t>
  </si>
  <si>
    <t>ICP DAS</t>
  </si>
  <si>
    <t>S210-ADAM-3651</t>
  </si>
  <si>
    <t>S210-ADAM-4018+</t>
  </si>
  <si>
    <t>S210-ADAM-4024</t>
  </si>
  <si>
    <t>S210-ADAM-5017</t>
  </si>
  <si>
    <t>S210-ADAM-6017</t>
  </si>
  <si>
    <t>S210-APAX-5570</t>
  </si>
  <si>
    <t>S210-BEMG-4110</t>
  </si>
  <si>
    <t>S210-ECU-1251</t>
  </si>
  <si>
    <t>S211-BCT38-LR3NA</t>
  </si>
  <si>
    <t>BCT</t>
  </si>
  <si>
    <t>S211-FP-108AX</t>
  </si>
  <si>
    <t>COMMONWEALTH</t>
  </si>
  <si>
    <t>S211-MISTMAKER-24V</t>
  </si>
  <si>
    <t>Gzer</t>
  </si>
  <si>
    <t>S211-TCS3008-32</t>
  </si>
  <si>
    <t>S211-WSD2CA2</t>
  </si>
  <si>
    <t>S212-APAX-5522PE</t>
  </si>
  <si>
    <t>T800-6100</t>
  </si>
  <si>
    <t>C7</t>
  </si>
  <si>
    <t>T800-YI202</t>
  </si>
  <si>
    <t>YI-HER</t>
  </si>
  <si>
    <t>T802-BWTYL-12RD-L</t>
  </si>
  <si>
    <t>BWTYL</t>
  </si>
  <si>
    <t>T802-BWTYL-12RD-XL</t>
  </si>
  <si>
    <t>T802-ESD-CAP</t>
  </si>
  <si>
    <t>T802-ESD-JACKET</t>
  </si>
  <si>
    <t>T802-ESD-PANTS</t>
  </si>
  <si>
    <t>T802-EVO-FACE-SHIELD</t>
  </si>
  <si>
    <t>T802-JULI-HARNESS</t>
  </si>
  <si>
    <t>T802-LED-VEST-RD</t>
  </si>
  <si>
    <t>T802-MESH-VEST-ORG</t>
  </si>
  <si>
    <t>T802-MESH-VEST-WH</t>
  </si>
  <si>
    <t>T802-SAFETY-HELMET-YL-LAMP</t>
  </si>
  <si>
    <t>T803-B2042LA</t>
  </si>
  <si>
    <t>Durofix</t>
  </si>
  <si>
    <t>T803-GBH2-26RE</t>
  </si>
  <si>
    <t>T803-HP1630</t>
  </si>
  <si>
    <t>Makita</t>
  </si>
  <si>
    <t>X500-HID-PROX-CARD</t>
  </si>
  <si>
    <t>X500-PATROL-POINT-CARD</t>
  </si>
  <si>
    <t>X503-8020C</t>
  </si>
  <si>
    <t>X504-K200</t>
  </si>
  <si>
    <t>LOGITECH</t>
  </si>
  <si>
    <t>X504-MK200-Keyboard</t>
  </si>
  <si>
    <t>Logitech</t>
  </si>
  <si>
    <t>B3*9+B4*9+B5*7</t>
  </si>
  <si>
    <t>X504-MK200-Mouse</t>
  </si>
  <si>
    <t>X504-M-U0026</t>
  </si>
  <si>
    <t>X504-SDRW-08D1S-U</t>
  </si>
  <si>
    <t>X504-SP-S110</t>
  </si>
  <si>
    <t>Genius</t>
  </si>
  <si>
    <t>X504-WIRED600</t>
  </si>
  <si>
    <t>X505-AA</t>
  </si>
  <si>
    <t>Tekcell</t>
  </si>
  <si>
    <t>X506-A24-Q</t>
  </si>
  <si>
    <t>A</t>
  </si>
  <si>
    <t>D500TC_S500MC</t>
  </si>
  <si>
    <t>MAPFAG007294408</t>
  </si>
  <si>
    <t>Lenovo</t>
  </si>
  <si>
    <t>90HT003YTV</t>
  </si>
  <si>
    <t>PC10QRS3</t>
  </si>
  <si>
    <t>VMware, Inc.</t>
  </si>
  <si>
    <t>VMware Virtual Platform</t>
  </si>
  <si>
    <t>VMware-56 4d 3b 91 2e ab a6 c5-46 20 a3 d0 35 08 1e 7d</t>
  </si>
  <si>
    <t>VMware7,1</t>
  </si>
  <si>
    <t>VMware-56 4d f3 de 9e 4d 02 88-e5 f5 a1 67 07 4a e4 db</t>
  </si>
  <si>
    <t>VMware-56 4d 4d d5 43 dc 4d b5-73 90 21 1a 9c f9 09 71</t>
  </si>
  <si>
    <t>VMware20,1</t>
  </si>
  <si>
    <t>VMware-56 4d 91 6a 56 7b b7 a2-2c e6 c5 16 e6 8c fe 0e</t>
  </si>
  <si>
    <t>VMware-56 4d ff 39 0d bb df 21-1a 14 0f 4e 4f 27 61 f3</t>
  </si>
  <si>
    <t>VMware-56 4d c4 01 88 56 13 5c-e6 d9 7f 16 79 eb 73 ba</t>
  </si>
  <si>
    <t>VMware-56 4d e0 0e 8d 41 2a af-5f 29 b8 c2 0a 23 49 20</t>
  </si>
  <si>
    <t>SF-DT-0001</t>
  </si>
  <si>
    <t>DESKTOP-TTI2R2D</t>
  </si>
  <si>
    <t>3801</t>
  </si>
  <si>
    <t>SF-DT-0002</t>
  </si>
  <si>
    <t>PRIME Z690-P WIFI</t>
  </si>
  <si>
    <t>2110 9291 1601 452</t>
  </si>
  <si>
    <t>SF-NB-0001</t>
  </si>
  <si>
    <t>UX410UQK</t>
  </si>
  <si>
    <t>H1N0CV00Z42401B</t>
  </si>
  <si>
    <t>SF-NB-0002</t>
  </si>
  <si>
    <t>Swift SFG14-73</t>
  </si>
  <si>
    <t>NXKSLTA00144500F6B2N00</t>
  </si>
  <si>
    <t>SF-NB-0003</t>
  </si>
  <si>
    <t>Surface Pro 11th Edition</t>
  </si>
  <si>
    <t>0F36WJ624313KV</t>
  </si>
  <si>
    <t>HP</t>
  </si>
  <si>
    <t>Laptop 15s-du1xxx</t>
  </si>
  <si>
    <t>CND1071HGT</t>
  </si>
  <si>
    <t>SF-NB-0005</t>
  </si>
  <si>
    <t>Swift SFG16-72</t>
  </si>
  <si>
    <t>NXKUBTA0025070385B2N00</t>
  </si>
  <si>
    <t>SF-NB-0006</t>
  </si>
  <si>
    <t>Aspire A514-55G</t>
  </si>
  <si>
    <t>NXK5ZTA001223048873400</t>
  </si>
  <si>
    <t>SF-NB-0007</t>
  </si>
  <si>
    <t>NXKV4TA001432012042N00</t>
  </si>
  <si>
    <t>SF-NB-0008</t>
  </si>
  <si>
    <t>NXKSLTA00144500F122N00</t>
  </si>
  <si>
    <t>SF-NB-0009</t>
  </si>
  <si>
    <t>IdeaPad Slim 3 15IRH10</t>
  </si>
  <si>
    <t>PF5GFF3D</t>
  </si>
  <si>
    <t>SF-NB-0010</t>
  </si>
  <si>
    <t>Swift SFG14-73T</t>
  </si>
  <si>
    <t>NXKSMTA0034080445C2N00</t>
  </si>
  <si>
    <t>SF-NB-0011</t>
  </si>
  <si>
    <t>MSI</t>
  </si>
  <si>
    <t>Raider GE76</t>
  </si>
  <si>
    <t>SF-NB-0012</t>
  </si>
  <si>
    <t>Swift SF314-511</t>
  </si>
  <si>
    <t>NXACTTA001137204843400</t>
  </si>
  <si>
    <t>SF-NB-0013</t>
  </si>
  <si>
    <t>Creator M16 HX C14V</t>
  </si>
  <si>
    <t>K2403N0019707</t>
  </si>
  <si>
    <t>SF-NB-0014</t>
  </si>
  <si>
    <t>Creator M16 HX C14VEG</t>
  </si>
  <si>
    <t>9S715P212042ZR3000006</t>
  </si>
  <si>
    <t>SF-MON-0001</t>
  </si>
  <si>
    <t>RC271U</t>
  </si>
  <si>
    <t>MMTXXVE00173702278240</t>
  </si>
  <si>
    <t>SF-MON-0002</t>
  </si>
  <si>
    <t>Xiaomi</t>
  </si>
  <si>
    <t>G27Qi</t>
  </si>
  <si>
    <t>SF-MON-0003</t>
  </si>
  <si>
    <t xml:space="preserve">A27Qi </t>
  </si>
  <si>
    <t>SF-MON-0004</t>
  </si>
  <si>
    <t>Acer EK271</t>
  </si>
  <si>
    <t>SF-MON-0005</t>
  </si>
  <si>
    <t>SF-MON-0006</t>
  </si>
  <si>
    <t>AOPEN</t>
  </si>
  <si>
    <t>27HC5R</t>
  </si>
  <si>
    <t>MMA1RTT003238094733W01</t>
  </si>
  <si>
    <t>SF-MON-0007</t>
  </si>
  <si>
    <t>ViewSonic</t>
  </si>
  <si>
    <t>VA2756-MN</t>
  </si>
  <si>
    <t xml:space="preserve">ViewSonic VA2756-MH VS17296 VGY210220110 VS17296 </t>
  </si>
  <si>
    <t>VGY210220110</t>
  </si>
  <si>
    <t>SF-MON-0008</t>
  </si>
  <si>
    <t>AOC</t>
  </si>
  <si>
    <t>Q32V4/96</t>
  </si>
  <si>
    <t>QHPP7HA001150</t>
  </si>
  <si>
    <t>SF-MON-0009</t>
  </si>
  <si>
    <t>W5N230700085</t>
  </si>
  <si>
    <t>SF-MON-0010</t>
  </si>
  <si>
    <t>PRO MP273 Series</t>
  </si>
  <si>
    <t>SF-MON-0011</t>
  </si>
  <si>
    <t>SF-MON-0012</t>
  </si>
  <si>
    <t>VA2FE1-1F</t>
  </si>
  <si>
    <t>SF-MON-0013</t>
  </si>
  <si>
    <t>VA27EHF</t>
  </si>
  <si>
    <t>SF-MON-0014</t>
  </si>
  <si>
    <t>SF-MON-0015</t>
  </si>
  <si>
    <t>P27QCA-RAGL</t>
  </si>
  <si>
    <t>SF-MON-0016</t>
  </si>
  <si>
    <t>LG</t>
  </si>
  <si>
    <t>W2353VQV</t>
  </si>
  <si>
    <t>907YHUU09926</t>
  </si>
  <si>
    <t>SF-MON-0017</t>
  </si>
  <si>
    <t>Philips</t>
  </si>
  <si>
    <t>Philips 243V5QHAB</t>
  </si>
  <si>
    <t>SF-STO-0003</t>
  </si>
  <si>
    <t>8 TB</t>
  </si>
  <si>
    <t>SF-STO-0001</t>
  </si>
  <si>
    <t>SF-STO-0002</t>
  </si>
  <si>
    <t>SF-STO-0004</t>
  </si>
  <si>
    <t>DS723+</t>
  </si>
  <si>
    <t>2440TPRCHEEPV</t>
  </si>
  <si>
    <t>SF-NAS-0002</t>
  </si>
  <si>
    <t>DS214+</t>
  </si>
  <si>
    <t>1420MZN003389</t>
  </si>
  <si>
    <t>SF-NAS-0003</t>
  </si>
  <si>
    <t>DX517</t>
  </si>
  <si>
    <t>SF-ACC-0001</t>
  </si>
  <si>
    <t>B</t>
  </si>
  <si>
    <t>SF-ACC-0002</t>
  </si>
  <si>
    <t>SF-ACC-0003</t>
  </si>
  <si>
    <t>Llgitech</t>
  </si>
  <si>
    <t>K200</t>
  </si>
  <si>
    <t>Llgitech K200</t>
  </si>
  <si>
    <t>SF-ACC-0005</t>
  </si>
  <si>
    <t>SF-ACC-0006</t>
  </si>
  <si>
    <t>X879297-010</t>
  </si>
  <si>
    <t>SF-ACC-0007</t>
  </si>
  <si>
    <t>SF-ACC-0011</t>
  </si>
  <si>
    <t>SF-ACC-0012</t>
  </si>
  <si>
    <t>SF-ACC-0013</t>
  </si>
  <si>
    <t>SF-ACC-0014</t>
  </si>
  <si>
    <t>SF-ACC-0015</t>
  </si>
  <si>
    <t>SF-ACC-0016</t>
  </si>
  <si>
    <t>M-U0026</t>
  </si>
  <si>
    <t>Logitech M-U0026</t>
  </si>
  <si>
    <t>SF-ACC-0017</t>
  </si>
  <si>
    <t>SF-ACC-0019</t>
  </si>
  <si>
    <t>X821908-015</t>
  </si>
  <si>
    <t>SF-ACC-0020</t>
  </si>
  <si>
    <t>Death Adder</t>
  </si>
  <si>
    <t>SF-ACC-0021</t>
  </si>
  <si>
    <t>SF-ACC-0022</t>
  </si>
  <si>
    <t>SF-ACC-0023</t>
  </si>
  <si>
    <t>SF-ACC-0025</t>
  </si>
  <si>
    <t>SF-ACC-0026</t>
  </si>
  <si>
    <t>SF-ACC-0027</t>
  </si>
  <si>
    <t>50-91-E3-C4-70-16</t>
  </si>
  <si>
    <t>SF-NET-0002</t>
  </si>
  <si>
    <t>TP-Link</t>
  </si>
  <si>
    <t>M4R</t>
  </si>
  <si>
    <t>SF-NET-0003</t>
  </si>
  <si>
    <t>SF-NET-0004</t>
  </si>
  <si>
    <t>SF-NET-0005</t>
  </si>
  <si>
    <t>Edimax</t>
  </si>
  <si>
    <t>ES-580G</t>
  </si>
  <si>
    <t>SF-NET-0006</t>
  </si>
  <si>
    <t>CERIO</t>
  </si>
  <si>
    <t>CS-1224G</t>
  </si>
  <si>
    <t>SF-NET-0007</t>
  </si>
  <si>
    <t>TL-SG108</t>
  </si>
  <si>
    <t>SF-NET-0008</t>
  </si>
  <si>
    <t>N150 WiFi</t>
  </si>
  <si>
    <t>SF-NET-0009</t>
  </si>
  <si>
    <t>TL-WR840N</t>
  </si>
  <si>
    <t>SF-NET-0010</t>
  </si>
  <si>
    <t>TL-WR1043ND</t>
  </si>
  <si>
    <t>SF-PRN-0001</t>
  </si>
  <si>
    <t>Brother</t>
  </si>
  <si>
    <t>MFC-L2750DW</t>
  </si>
  <si>
    <t>SF-PRN-0002</t>
  </si>
  <si>
    <t>Smart Tank 610 series</t>
  </si>
  <si>
    <r>
      <rPr>
        <b/>
        <sz val="10"/>
        <color rgb="FF000000"/>
        <rFont val="Calibri"/>
        <family val="2"/>
        <charset val="136"/>
        <scheme val="minor"/>
      </rPr>
      <t>產品編號</t>
    </r>
  </si>
  <si>
    <r>
      <rPr>
        <b/>
        <sz val="10"/>
        <color rgb="FF000000"/>
        <rFont val="Calibri"/>
        <family val="2"/>
        <charset val="136"/>
        <scheme val="minor"/>
      </rPr>
      <t>品名</t>
    </r>
  </si>
  <si>
    <r>
      <rPr>
        <b/>
        <sz val="10"/>
        <color rgb="FF000000"/>
        <rFont val="Calibri"/>
        <family val="2"/>
        <charset val="136"/>
        <scheme val="minor"/>
      </rPr>
      <t>數量</t>
    </r>
  </si>
  <si>
    <r>
      <rPr>
        <b/>
        <sz val="10"/>
        <color rgb="FF000000"/>
        <rFont val="Calibri"/>
        <family val="2"/>
        <charset val="136"/>
        <scheme val="minor"/>
      </rPr>
      <t>庫存
金額</t>
    </r>
  </si>
  <si>
    <r>
      <rPr>
        <b/>
        <sz val="10"/>
        <color rgb="FF000000"/>
        <rFont val="Calibri"/>
        <family val="2"/>
        <charset val="136"/>
        <scheme val="minor"/>
      </rPr>
      <t>實盤
數量</t>
    </r>
  </si>
  <si>
    <r>
      <rPr>
        <b/>
        <sz val="10"/>
        <color rgb="FF000000"/>
        <rFont val="Calibri"/>
        <family val="2"/>
        <charset val="136"/>
        <scheme val="minor"/>
      </rPr>
      <t>借出
數量</t>
    </r>
  </si>
  <si>
    <r>
      <rPr>
        <b/>
        <sz val="10"/>
        <color rgb="FF000000"/>
        <rFont val="Calibri"/>
        <family val="2"/>
        <charset val="136"/>
        <scheme val="minor"/>
      </rPr>
      <t>現有
數量</t>
    </r>
  </si>
  <si>
    <r>
      <rPr>
        <b/>
        <sz val="10"/>
        <color rgb="FF000000"/>
        <rFont val="Calibri"/>
        <family val="2"/>
        <charset val="136"/>
        <scheme val="minor"/>
      </rPr>
      <t>存放
位置</t>
    </r>
  </si>
  <si>
    <r>
      <rPr>
        <b/>
        <sz val="10"/>
        <color rgb="FF000000"/>
        <rFont val="Calibri"/>
        <family val="2"/>
        <charset val="136"/>
        <scheme val="minor"/>
      </rPr>
      <t>出貨
數量</t>
    </r>
  </si>
  <si>
    <r>
      <rPr>
        <b/>
        <sz val="10"/>
        <color rgb="FF000000"/>
        <rFont val="Calibri"/>
        <family val="2"/>
        <charset val="136"/>
        <scheme val="minor"/>
      </rPr>
      <t>已出</t>
    </r>
  </si>
  <si>
    <r>
      <rPr>
        <b/>
        <sz val="10"/>
        <color rgb="FF000000"/>
        <rFont val="Calibri"/>
        <family val="2"/>
        <charset val="136"/>
        <scheme val="minor"/>
      </rPr>
      <t>出貨</t>
    </r>
    <r>
      <rPr>
        <b/>
        <sz val="10"/>
        <color rgb="FF000000"/>
        <rFont val="Calibri"/>
        <family val="2"/>
        <scheme val="minor"/>
      </rPr>
      <t>(</t>
    </r>
    <r>
      <rPr>
        <b/>
        <sz val="10"/>
        <color rgb="FF000000"/>
        <rFont val="Calibri"/>
        <family val="2"/>
        <charset val="136"/>
        <scheme val="minor"/>
      </rPr>
      <t>台電</t>
    </r>
    <r>
      <rPr>
        <b/>
        <sz val="10"/>
        <color rgb="FF000000"/>
        <rFont val="Calibri"/>
        <family val="2"/>
        <scheme val="minor"/>
      </rPr>
      <t xml:space="preserve">)
</t>
    </r>
    <r>
      <rPr>
        <b/>
        <sz val="10"/>
        <color rgb="FF000000"/>
        <rFont val="Calibri"/>
        <family val="2"/>
        <charset val="136"/>
        <scheme val="minor"/>
      </rPr>
      <t>金額</t>
    </r>
  </si>
  <si>
    <r>
      <rPr>
        <b/>
        <sz val="10"/>
        <color rgb="FF000000"/>
        <rFont val="Calibri"/>
        <family val="2"/>
        <charset val="136"/>
        <scheme val="minor"/>
      </rPr>
      <t>出貨</t>
    </r>
    <r>
      <rPr>
        <b/>
        <sz val="10"/>
        <color rgb="FF000000"/>
        <rFont val="Calibri"/>
        <family val="2"/>
        <scheme val="minor"/>
      </rPr>
      <t>(</t>
    </r>
    <r>
      <rPr>
        <b/>
        <sz val="10"/>
        <color rgb="FF000000"/>
        <rFont val="Calibri"/>
        <family val="2"/>
        <charset val="136"/>
        <scheme val="minor"/>
      </rPr>
      <t>華電</t>
    </r>
    <r>
      <rPr>
        <b/>
        <sz val="10"/>
        <color rgb="FF000000"/>
        <rFont val="Calibri"/>
        <family val="2"/>
        <scheme val="minor"/>
      </rPr>
      <t xml:space="preserve">)
</t>
    </r>
    <r>
      <rPr>
        <b/>
        <sz val="10"/>
        <color rgb="FF000000"/>
        <rFont val="Calibri"/>
        <family val="2"/>
        <charset val="136"/>
        <scheme val="minor"/>
      </rPr>
      <t>金額</t>
    </r>
  </si>
  <si>
    <r>
      <rPr>
        <b/>
        <sz val="10"/>
        <color rgb="FF000000"/>
        <rFont val="Calibri"/>
        <family val="2"/>
        <charset val="136"/>
        <scheme val="minor"/>
      </rPr>
      <t>出貨</t>
    </r>
    <r>
      <rPr>
        <b/>
        <sz val="10"/>
        <color rgb="FF000000"/>
        <rFont val="Calibri"/>
        <family val="2"/>
        <scheme val="minor"/>
      </rPr>
      <t>(</t>
    </r>
    <r>
      <rPr>
        <b/>
        <sz val="10"/>
        <color rgb="FF000000"/>
        <rFont val="Calibri"/>
        <family val="2"/>
        <charset val="136"/>
        <scheme val="minor"/>
      </rPr>
      <t>誠士</t>
    </r>
    <r>
      <rPr>
        <b/>
        <sz val="10"/>
        <color rgb="FF000000"/>
        <rFont val="Calibri"/>
        <family val="2"/>
        <scheme val="minor"/>
      </rPr>
      <t xml:space="preserve">)
</t>
    </r>
    <r>
      <rPr>
        <b/>
        <sz val="10"/>
        <color rgb="FF000000"/>
        <rFont val="Calibri"/>
        <family val="2"/>
        <charset val="136"/>
        <scheme val="minor"/>
      </rPr>
      <t>金額</t>
    </r>
  </si>
  <si>
    <r>
      <rPr>
        <b/>
        <sz val="10"/>
        <color rgb="FF000000"/>
        <rFont val="Calibri"/>
        <family val="2"/>
        <charset val="136"/>
        <scheme val="minor"/>
      </rPr>
      <t>出貨</t>
    </r>
    <r>
      <rPr>
        <b/>
        <sz val="10"/>
        <color rgb="FF000000"/>
        <rFont val="Calibri"/>
        <family val="2"/>
        <scheme val="minor"/>
      </rPr>
      <t>(</t>
    </r>
    <r>
      <rPr>
        <b/>
        <sz val="10"/>
        <color rgb="FF000000"/>
        <rFont val="Calibri"/>
        <family val="2"/>
        <charset val="136"/>
        <scheme val="minor"/>
      </rPr>
      <t>晨陽</t>
    </r>
    <r>
      <rPr>
        <b/>
        <sz val="10"/>
        <color rgb="FF000000"/>
        <rFont val="Calibri"/>
        <family val="2"/>
        <scheme val="minor"/>
      </rPr>
      <t xml:space="preserve">)
</t>
    </r>
    <r>
      <rPr>
        <b/>
        <sz val="10"/>
        <color rgb="FF000000"/>
        <rFont val="Calibri"/>
        <family val="2"/>
        <charset val="136"/>
        <scheme val="minor"/>
      </rPr>
      <t>金額</t>
    </r>
  </si>
  <si>
    <r>
      <rPr>
        <b/>
        <sz val="10"/>
        <color rgb="FF000000"/>
        <rFont val="Calibri"/>
        <family val="2"/>
        <charset val="136"/>
        <scheme val="minor"/>
      </rPr>
      <t>出貨</t>
    </r>
    <r>
      <rPr>
        <b/>
        <sz val="10"/>
        <color rgb="FF000000"/>
        <rFont val="Calibri"/>
        <family val="2"/>
        <scheme val="minor"/>
      </rPr>
      <t>(</t>
    </r>
    <r>
      <rPr>
        <b/>
        <sz val="10"/>
        <color rgb="FF000000"/>
        <rFont val="Calibri"/>
        <family val="2"/>
        <charset val="136"/>
        <scheme val="minor"/>
      </rPr>
      <t>其他</t>
    </r>
    <r>
      <rPr>
        <b/>
        <sz val="10"/>
        <color rgb="FF000000"/>
        <rFont val="Calibri"/>
        <family val="2"/>
        <scheme val="minor"/>
      </rPr>
      <t xml:space="preserve">)
</t>
    </r>
    <r>
      <rPr>
        <b/>
        <sz val="10"/>
        <color rgb="FF000000"/>
        <rFont val="Calibri"/>
        <family val="2"/>
        <charset val="136"/>
        <scheme val="minor"/>
      </rPr>
      <t>金額</t>
    </r>
  </si>
  <si>
    <r>
      <rPr>
        <b/>
        <sz val="10"/>
        <color rgb="FF000000"/>
        <rFont val="Calibri"/>
        <family val="2"/>
        <charset val="136"/>
        <scheme val="minor"/>
      </rPr>
      <t>盤損
數量</t>
    </r>
  </si>
  <si>
    <r>
      <rPr>
        <b/>
        <sz val="10"/>
        <color rgb="FF000000"/>
        <rFont val="Calibri"/>
        <family val="2"/>
        <charset val="136"/>
        <scheme val="minor"/>
      </rPr>
      <t>盤損
金額</t>
    </r>
  </si>
  <si>
    <r>
      <rPr>
        <b/>
        <sz val="10"/>
        <color rgb="FF000000"/>
        <rFont val="Calibri"/>
        <family val="2"/>
        <charset val="136"/>
        <scheme val="minor"/>
      </rPr>
      <t>待銷
金額</t>
    </r>
  </si>
  <si>
    <r>
      <rPr>
        <b/>
        <sz val="10"/>
        <color rgb="FF000000"/>
        <rFont val="Calibri"/>
        <family val="2"/>
        <charset val="136"/>
        <scheme val="minor"/>
      </rPr>
      <t>待銷
客戶</t>
    </r>
  </si>
  <si>
    <r>
      <rPr>
        <b/>
        <sz val="10"/>
        <color rgb="FF000000"/>
        <rFont val="Calibri"/>
        <family val="2"/>
        <charset val="136"/>
        <scheme val="minor"/>
      </rPr>
      <t>總計</t>
    </r>
  </si>
  <si>
    <r>
      <rPr>
        <sz val="10"/>
        <color rgb="FFFF0000"/>
        <rFont val="Calibri"/>
        <family val="2"/>
        <charset val="136"/>
        <scheme val="minor"/>
      </rPr>
      <t>檢查</t>
    </r>
  </si>
  <si>
    <r>
      <rPr>
        <b/>
        <sz val="10"/>
        <color rgb="FF000000"/>
        <rFont val="Calibri"/>
        <family val="2"/>
        <charset val="136"/>
        <scheme val="minor"/>
      </rPr>
      <t>借出
單號</t>
    </r>
  </si>
  <si>
    <r>
      <rPr>
        <b/>
        <sz val="10"/>
        <color rgb="FF000000"/>
        <rFont val="Calibri"/>
        <family val="2"/>
        <charset val="136"/>
        <scheme val="minor"/>
      </rPr>
      <t>借出
對象</t>
    </r>
  </si>
  <si>
    <r>
      <rPr>
        <b/>
        <sz val="10"/>
        <color rgb="FF000000"/>
        <rFont val="Calibri"/>
        <family val="2"/>
        <charset val="136"/>
        <scheme val="minor"/>
      </rPr>
      <t>備註</t>
    </r>
  </si>
  <si>
    <r>
      <rPr>
        <sz val="10"/>
        <color rgb="FF000000"/>
        <rFont val="Calibri"/>
        <family val="2"/>
        <scheme val="minor"/>
      </rPr>
      <t xml:space="preserve">3M </t>
    </r>
    <r>
      <rPr>
        <sz val="10"/>
        <color rgb="FF000000"/>
        <rFont val="Calibri"/>
        <family val="2"/>
        <charset val="136"/>
        <scheme val="minor"/>
      </rPr>
      <t>漏水檢知器高感度型</t>
    </r>
  </si>
  <si>
    <r>
      <rPr>
        <sz val="10"/>
        <color rgb="FF000000"/>
        <rFont val="Calibri"/>
        <family val="2"/>
        <charset val="136"/>
        <scheme val="minor"/>
      </rPr>
      <t>國眾</t>
    </r>
    <r>
      <rPr>
        <sz val="10"/>
        <color rgb="FF000000"/>
        <rFont val="Calibri"/>
        <family val="2"/>
        <scheme val="minor"/>
      </rPr>
      <t>x2</t>
    </r>
  </si>
  <si>
    <r>
      <rPr>
        <sz val="10"/>
        <color rgb="FF000000"/>
        <rFont val="Calibri"/>
        <family val="2"/>
        <charset val="136"/>
        <scheme val="minor"/>
      </rPr>
      <t>漏水檢知器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本體</t>
    </r>
  </si>
  <si>
    <r>
      <rPr>
        <sz val="10"/>
        <color rgb="FF000000"/>
        <rFont val="Calibri"/>
        <family val="2"/>
        <scheme val="minor"/>
      </rPr>
      <t>220</t>
    </r>
    <r>
      <rPr>
        <sz val="10"/>
        <color rgb="FF000000"/>
        <rFont val="Calibri"/>
        <family val="2"/>
        <charset val="136"/>
        <scheme val="minor"/>
      </rPr>
      <t>焊接式繼電器</t>
    </r>
  </si>
  <si>
    <r>
      <rPr>
        <sz val="10"/>
        <color rgb="FF000000"/>
        <rFont val="Calibri"/>
        <family val="2"/>
        <charset val="136"/>
        <scheme val="minor"/>
      </rPr>
      <t>台大農場</t>
    </r>
    <r>
      <rPr>
        <sz val="10"/>
        <color rgb="FF000000"/>
        <rFont val="Calibri"/>
        <family val="2"/>
        <scheme val="minor"/>
      </rPr>
      <t>x2</t>
    </r>
  </si>
  <si>
    <r>
      <rPr>
        <sz val="10"/>
        <color rgb="FF000000"/>
        <rFont val="Calibri"/>
        <family val="2"/>
        <scheme val="minor"/>
      </rPr>
      <t>Mifare</t>
    </r>
    <r>
      <rPr>
        <sz val="10"/>
        <color rgb="FF000000"/>
        <rFont val="Calibri"/>
        <family val="2"/>
        <charset val="136"/>
        <scheme val="minor"/>
      </rPr>
      <t>卡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非接觸式門禁卡</t>
    </r>
  </si>
  <si>
    <r>
      <rPr>
        <sz val="10"/>
        <color rgb="FF000000"/>
        <rFont val="Calibri"/>
        <family val="2"/>
        <charset val="136"/>
        <scheme val="minor"/>
      </rPr>
      <t>奕龍</t>
    </r>
    <r>
      <rPr>
        <sz val="10"/>
        <color rgb="FF000000"/>
        <rFont val="Calibri"/>
        <family val="2"/>
        <scheme val="minor"/>
      </rPr>
      <t xml:space="preserve">/ </t>
    </r>
    <r>
      <rPr>
        <sz val="10"/>
        <color rgb="FF000000"/>
        <rFont val="Calibri"/>
        <family val="2"/>
        <charset val="136"/>
        <scheme val="minor"/>
      </rPr>
      <t>鋁軌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無陽極</t>
    </r>
    <r>
      <rPr>
        <sz val="10"/>
        <color rgb="FF000000"/>
        <rFont val="Calibri"/>
        <family val="2"/>
        <scheme val="minor"/>
      </rPr>
      <t xml:space="preserve"> (35mm)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</si>
  <si>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x20</t>
    </r>
  </si>
  <si>
    <r>
      <rPr>
        <sz val="10"/>
        <color rgb="FF000000"/>
        <rFont val="Calibri"/>
        <family val="2"/>
        <charset val="136"/>
        <scheme val="minor"/>
      </rPr>
      <t>奕龍</t>
    </r>
    <r>
      <rPr>
        <sz val="10"/>
        <color rgb="FF000000"/>
        <rFont val="Calibri"/>
        <family val="2"/>
        <scheme val="minor"/>
      </rPr>
      <t xml:space="preserve">/ </t>
    </r>
    <r>
      <rPr>
        <sz val="10"/>
        <color rgb="FF000000"/>
        <rFont val="Calibri"/>
        <family val="2"/>
        <charset val="136"/>
        <scheme val="minor"/>
      </rPr>
      <t>五金零料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德盈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彰化台電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</si>
  <si>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x1</t>
    </r>
  </si>
  <si>
    <r>
      <rPr>
        <sz val="10"/>
        <color rgb="FF000000"/>
        <rFont val="Calibri"/>
        <family val="2"/>
        <charset val="136"/>
        <scheme val="minor"/>
      </rPr>
      <t>茂旭</t>
    </r>
    <r>
      <rPr>
        <sz val="10"/>
        <color rgb="FF000000"/>
        <rFont val="Calibri"/>
        <family val="2"/>
        <scheme val="minor"/>
      </rPr>
      <t>/ AR-101-PBI-L  E5/PBP9/Short</t>
    </r>
    <r>
      <rPr>
        <sz val="10"/>
        <color rgb="FF000000"/>
        <rFont val="Calibri"/>
        <family val="2"/>
        <charset val="136"/>
        <scheme val="minor"/>
      </rPr>
      <t>玻璃</t>
    </r>
    <r>
      <rPr>
        <sz val="10"/>
        <color rgb="FF000000"/>
        <rFont val="Calibri"/>
        <family val="2"/>
        <scheme val="minor"/>
      </rPr>
      <t>/</t>
    </r>
    <r>
      <rPr>
        <sz val="10"/>
        <color rgb="FF000000"/>
        <rFont val="Calibri"/>
        <family val="2"/>
        <charset val="136"/>
        <scheme val="minor"/>
      </rPr>
      <t>紅外線</t>
    </r>
  </si>
  <si>
    <r>
      <rPr>
        <sz val="10"/>
        <color rgb="FF000000"/>
        <rFont val="Calibri"/>
        <family val="2"/>
        <charset val="136"/>
        <scheme val="minor"/>
      </rPr>
      <t>京兆成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Calibri"/>
        <family val="2"/>
        <charset val="136"/>
        <scheme val="minor"/>
      </rPr>
      <t>嘉澤</t>
    </r>
    <r>
      <rPr>
        <sz val="10"/>
        <color rgb="FF000000"/>
        <rFont val="Calibri"/>
        <family val="2"/>
        <scheme val="minor"/>
      </rPr>
      <t>x1</t>
    </r>
  </si>
  <si>
    <r>
      <rPr>
        <sz val="10"/>
        <color rgb="FF000000"/>
        <rFont val="Calibri"/>
        <family val="2"/>
        <scheme val="minor"/>
      </rPr>
      <t>ACTI E42B</t>
    </r>
    <r>
      <rPr>
        <sz val="10"/>
        <color rgb="FF000000"/>
        <rFont val="Calibri"/>
        <family val="2"/>
        <charset val="136"/>
        <scheme val="minor"/>
      </rPr>
      <t>網路攝影機</t>
    </r>
  </si>
  <si>
    <r>
      <rPr>
        <sz val="10"/>
        <color rgb="FF000000"/>
        <rFont val="Calibri"/>
        <family val="2"/>
        <charset val="136"/>
        <scheme val="minor"/>
      </rPr>
      <t>國發會</t>
    </r>
    <r>
      <rPr>
        <sz val="10"/>
        <color rgb="FF000000"/>
        <rFont val="Calibri"/>
        <family val="2"/>
        <scheme val="minor"/>
      </rPr>
      <t>x2</t>
    </r>
  </si>
  <si>
    <r>
      <rPr>
        <sz val="10"/>
        <color rgb="FF000000"/>
        <rFont val="Calibri"/>
        <family val="2"/>
        <scheme val="minor"/>
      </rPr>
      <t xml:space="preserve">ADAM-4017+-CE 8ch </t>
    </r>
    <r>
      <rPr>
        <sz val="10"/>
        <color rgb="FF000000"/>
        <rFont val="Calibri"/>
        <family val="2"/>
        <charset val="136"/>
        <scheme val="minor"/>
      </rPr>
      <t>數位輸入模組</t>
    </r>
  </si>
  <si>
    <r>
      <rPr>
        <sz val="10"/>
        <color rgb="FF000000"/>
        <rFont val="Calibri"/>
        <family val="2"/>
        <charset val="136"/>
        <scheme val="minor"/>
      </rPr>
      <t>台大農場</t>
    </r>
    <r>
      <rPr>
        <sz val="10"/>
        <color rgb="FF000000"/>
        <rFont val="Calibri"/>
        <family val="2"/>
        <scheme val="minor"/>
      </rPr>
      <t>x8</t>
    </r>
  </si>
  <si>
    <r>
      <rPr>
        <sz val="10"/>
        <color theme="1"/>
        <rFont val="Calibri"/>
        <family val="2"/>
        <charset val="136"/>
        <scheme val="minor"/>
      </rPr>
      <t>曹桓豪</t>
    </r>
  </si>
  <si>
    <r>
      <rPr>
        <sz val="10"/>
        <color rgb="FF000000"/>
        <rFont val="Calibri"/>
        <family val="2"/>
        <charset val="136"/>
        <scheme val="minor"/>
      </rPr>
      <t>緊急壓扣開關</t>
    </r>
  </si>
  <si>
    <r>
      <rPr>
        <sz val="10"/>
        <color rgb="FF000000"/>
        <rFont val="Calibri"/>
        <family val="2"/>
        <charset val="136"/>
        <scheme val="minor"/>
      </rPr>
      <t>防滴防誤觸保護盒</t>
    </r>
  </si>
  <si>
    <r>
      <rPr>
        <sz val="10"/>
        <color rgb="FF000000"/>
        <rFont val="Calibri"/>
        <family val="2"/>
        <charset val="136"/>
        <scheme val="minor"/>
      </rPr>
      <t>副感應讀卡機</t>
    </r>
  </si>
  <si>
    <r>
      <rPr>
        <sz val="10"/>
        <color rgb="FF000000"/>
        <rFont val="Calibri"/>
        <family val="2"/>
        <scheme val="minor"/>
      </rPr>
      <t>0600-LZ</t>
    </r>
    <r>
      <rPr>
        <sz val="10"/>
        <color rgb="FF000000"/>
        <rFont val="Calibri"/>
        <family val="2"/>
        <charset val="136"/>
        <scheme val="minor"/>
      </rPr>
      <t>支架</t>
    </r>
  </si>
  <si>
    <r>
      <rPr>
        <sz val="10"/>
        <color rgb="FF000000"/>
        <rFont val="Calibri"/>
        <family val="2"/>
        <scheme val="minor"/>
      </rPr>
      <t xml:space="preserve">Soyal E3/TCP1P/RS485 </t>
    </r>
    <r>
      <rPr>
        <sz val="10"/>
        <color rgb="FF000000"/>
        <rFont val="Calibri"/>
        <family val="2"/>
        <charset val="136"/>
        <scheme val="minor"/>
      </rPr>
      <t>轉換器</t>
    </r>
    <r>
      <rPr>
        <sz val="10"/>
        <color rgb="FF000000"/>
        <rFont val="Calibri"/>
        <family val="2"/>
        <scheme val="minor"/>
      </rPr>
      <t>(</t>
    </r>
    <r>
      <rPr>
        <sz val="10"/>
        <color rgb="FF000000"/>
        <rFont val="Calibri"/>
        <family val="2"/>
        <charset val="136"/>
        <scheme val="minor"/>
      </rPr>
      <t>其中</t>
    </r>
    <r>
      <rPr>
        <sz val="10"/>
        <color rgb="FF000000"/>
        <rFont val="Calibri"/>
        <family val="2"/>
        <scheme val="minor"/>
      </rPr>
      <t>1</t>
    </r>
    <r>
      <rPr>
        <sz val="10"/>
        <color rgb="FF000000"/>
        <rFont val="Calibri"/>
        <family val="2"/>
        <charset val="136"/>
        <scheme val="minor"/>
      </rPr>
      <t>個無盒無背蓋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</si>
  <si>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charset val="136"/>
        <scheme val="minor"/>
      </rPr>
      <t>機械式開門按鈕</t>
    </r>
    <r>
      <rPr>
        <sz val="10"/>
        <color rgb="FF000000"/>
        <rFont val="Calibri"/>
        <family val="2"/>
        <scheme val="minor"/>
      </rPr>
      <t>/</t>
    </r>
    <r>
      <rPr>
        <sz val="10"/>
        <color rgb="FF000000"/>
        <rFont val="Calibri"/>
        <family val="2"/>
        <charset val="136"/>
        <scheme val="minor"/>
      </rPr>
      <t>圓弧</t>
    </r>
    <r>
      <rPr>
        <sz val="10"/>
        <color rgb="FF000000"/>
        <rFont val="Calibri"/>
        <family val="2"/>
        <scheme val="minor"/>
      </rPr>
      <t>/</t>
    </r>
    <r>
      <rPr>
        <sz val="10"/>
        <color rgb="FF000000"/>
        <rFont val="Calibri"/>
        <family val="2"/>
        <charset val="136"/>
        <scheme val="minor"/>
      </rPr>
      <t>銀色</t>
    </r>
    <r>
      <rPr>
        <sz val="10"/>
        <color rgb="FF000000"/>
        <rFont val="Calibri"/>
        <family val="2"/>
        <scheme val="minor"/>
      </rPr>
      <t>*5*70*115mm</t>
    </r>
  </si>
  <si>
    <r>
      <rPr>
        <sz val="10"/>
        <color rgb="FF000000"/>
        <rFont val="Calibri"/>
        <family val="2"/>
        <charset val="136"/>
        <scheme val="minor"/>
      </rPr>
      <t>國發會</t>
    </r>
    <r>
      <rPr>
        <sz val="10"/>
        <color rgb="FF000000"/>
        <rFont val="Calibri"/>
        <family val="2"/>
        <scheme val="minor"/>
      </rPr>
      <t>x3</t>
    </r>
  </si>
  <si>
    <r>
      <rPr>
        <sz val="10"/>
        <color rgb="FF000000"/>
        <rFont val="Calibri"/>
        <family val="2"/>
        <charset val="136"/>
        <scheme val="minor"/>
      </rPr>
      <t>感應卡</t>
    </r>
  </si>
  <si>
    <r>
      <rPr>
        <sz val="10"/>
        <color rgb="FF000000"/>
        <rFont val="Calibri"/>
        <family val="2"/>
        <charset val="136"/>
        <scheme val="minor"/>
      </rPr>
      <t>躍訊</t>
    </r>
    <r>
      <rPr>
        <sz val="10"/>
        <color rgb="FF000000"/>
        <rFont val="Calibri"/>
        <family val="2"/>
        <scheme val="minor"/>
      </rPr>
      <t>x10</t>
    </r>
  </si>
  <si>
    <r>
      <rPr>
        <sz val="10"/>
        <color rgb="FF000000"/>
        <rFont val="Calibri"/>
        <family val="2"/>
        <scheme val="minor"/>
      </rPr>
      <t>HID</t>
    </r>
    <r>
      <rPr>
        <sz val="10"/>
        <color rgb="FF000000"/>
        <rFont val="Calibri"/>
        <family val="2"/>
        <charset val="136"/>
        <scheme val="minor"/>
      </rPr>
      <t>雙頻模組</t>
    </r>
  </si>
  <si>
    <r>
      <rPr>
        <sz val="10"/>
        <color rgb="FF000000"/>
        <rFont val="Calibri"/>
        <family val="2"/>
        <charset val="136"/>
        <scheme val="minor"/>
      </rPr>
      <t>小型斷路器</t>
    </r>
    <r>
      <rPr>
        <sz val="10"/>
        <color rgb="FF000000"/>
        <rFont val="Calibri"/>
        <family val="2"/>
        <scheme val="minor"/>
      </rPr>
      <t>2P32A(</t>
    </r>
    <r>
      <rPr>
        <sz val="10"/>
        <color rgb="FF000000"/>
        <rFont val="Calibri"/>
        <family val="2"/>
        <charset val="136"/>
        <scheme val="minor"/>
      </rPr>
      <t>士林</t>
    </r>
    <r>
      <rPr>
        <sz val="10"/>
        <color rgb="FF000000"/>
        <rFont val="Calibri"/>
        <family val="2"/>
        <scheme val="minor"/>
      </rPr>
      <t>)_</t>
    </r>
    <r>
      <rPr>
        <sz val="10"/>
        <color rgb="FF000000"/>
        <rFont val="Calibri"/>
        <family val="2"/>
        <charset val="136"/>
        <scheme val="minor"/>
      </rPr>
      <t>奕龍電機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</si>
  <si>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x56</t>
    </r>
  </si>
  <si>
    <r>
      <rPr>
        <sz val="10"/>
        <color rgb="FF000000"/>
        <rFont val="Calibri"/>
        <family val="2"/>
        <charset val="136"/>
        <scheme val="minor"/>
      </rPr>
      <t>奕龍</t>
    </r>
    <r>
      <rPr>
        <sz val="10"/>
        <color rgb="FF000000"/>
        <rFont val="Calibri"/>
        <family val="2"/>
        <scheme val="minor"/>
      </rPr>
      <t>/ QE</t>
    </r>
    <r>
      <rPr>
        <sz val="10"/>
        <color rgb="FF000000"/>
        <rFont val="Calibri"/>
        <family val="2"/>
        <charset val="136"/>
        <scheme val="minor"/>
      </rPr>
      <t>電源線</t>
    </r>
    <r>
      <rPr>
        <sz val="10"/>
        <color rgb="FF000000"/>
        <rFont val="Calibri"/>
        <family val="2"/>
        <scheme val="minor"/>
      </rPr>
      <t>C13.C14 1.8</t>
    </r>
    <r>
      <rPr>
        <sz val="10"/>
        <color rgb="FF000000"/>
        <rFont val="Calibri"/>
        <family val="2"/>
        <charset val="136"/>
        <scheme val="minor"/>
      </rPr>
      <t>米</t>
    </r>
    <r>
      <rPr>
        <sz val="10"/>
        <color rgb="FF000000"/>
        <rFont val="Calibri"/>
        <family val="2"/>
        <scheme val="minor"/>
      </rPr>
      <t xml:space="preserve"> 10A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</si>
  <si>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x26</t>
    </r>
  </si>
  <si>
    <r>
      <rPr>
        <sz val="10"/>
        <color rgb="FF000000"/>
        <rFont val="Calibri"/>
        <family val="2"/>
        <charset val="136"/>
        <scheme val="minor"/>
      </rPr>
      <t>奕龍</t>
    </r>
    <r>
      <rPr>
        <sz val="10"/>
        <color rgb="FF000000"/>
        <rFont val="Calibri"/>
        <family val="2"/>
        <scheme val="minor"/>
      </rPr>
      <t>/ QE</t>
    </r>
    <r>
      <rPr>
        <sz val="10"/>
        <color rgb="FF000000"/>
        <rFont val="Calibri"/>
        <family val="2"/>
        <charset val="136"/>
        <scheme val="minor"/>
      </rPr>
      <t>電源線</t>
    </r>
    <r>
      <rPr>
        <sz val="10"/>
        <color rgb="FF000000"/>
        <rFont val="Calibri"/>
        <family val="2"/>
        <scheme val="minor"/>
      </rPr>
      <t>C13.C14 1.8</t>
    </r>
    <r>
      <rPr>
        <sz val="10"/>
        <color rgb="FF000000"/>
        <rFont val="Calibri"/>
        <family val="2"/>
        <charset val="136"/>
        <scheme val="minor"/>
      </rPr>
      <t>米</t>
    </r>
    <r>
      <rPr>
        <sz val="10"/>
        <color rgb="FF000000"/>
        <rFont val="Calibri"/>
        <family val="2"/>
        <scheme val="minor"/>
      </rPr>
      <t xml:space="preserve"> 15A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</si>
  <si>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x8</t>
    </r>
  </si>
  <si>
    <r>
      <rPr>
        <sz val="10"/>
        <color rgb="FF000000"/>
        <rFont val="Calibri"/>
        <family val="2"/>
        <charset val="136"/>
        <scheme val="minor"/>
      </rPr>
      <t>奕龍</t>
    </r>
    <r>
      <rPr>
        <sz val="10"/>
        <color rgb="FF000000"/>
        <rFont val="Calibri"/>
        <family val="2"/>
        <scheme val="minor"/>
      </rPr>
      <t>/ NHD</t>
    </r>
    <r>
      <rPr>
        <sz val="10"/>
        <color rgb="FF000000"/>
        <rFont val="Calibri"/>
        <family val="2"/>
        <charset val="136"/>
        <scheme val="minor"/>
      </rPr>
      <t>組合式端子台</t>
    </r>
    <r>
      <rPr>
        <sz val="10"/>
        <color rgb="FF000000"/>
        <rFont val="Calibri"/>
        <family val="2"/>
        <scheme val="minor"/>
      </rPr>
      <t xml:space="preserve"> MEC-15A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</si>
  <si>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x100</t>
    </r>
  </si>
  <si>
    <r>
      <rPr>
        <sz val="10"/>
        <color rgb="FF000000"/>
        <rFont val="Calibri"/>
        <family val="2"/>
        <charset val="136"/>
        <scheme val="minor"/>
      </rPr>
      <t>奕龍</t>
    </r>
    <r>
      <rPr>
        <sz val="10"/>
        <color rgb="FF000000"/>
        <rFont val="Calibri"/>
        <family val="2"/>
        <scheme val="minor"/>
      </rPr>
      <t>/ TEND</t>
    </r>
    <r>
      <rPr>
        <sz val="10"/>
        <color rgb="FF000000"/>
        <rFont val="Calibri"/>
        <family val="2"/>
        <charset val="136"/>
        <scheme val="minor"/>
      </rPr>
      <t>雙層端子台</t>
    </r>
    <r>
      <rPr>
        <sz val="10"/>
        <color rgb="FF000000"/>
        <rFont val="Calibri"/>
        <family val="2"/>
        <scheme val="minor"/>
      </rPr>
      <t xml:space="preserve"> TBH-10A</t>
    </r>
  </si>
  <si>
    <r>
      <rPr>
        <sz val="10"/>
        <color rgb="FF000000"/>
        <rFont val="Calibri"/>
        <family val="2"/>
        <charset val="136"/>
        <scheme val="minor"/>
      </rPr>
      <t>錄影主機</t>
    </r>
    <r>
      <rPr>
        <sz val="10"/>
        <color rgb="FF000000"/>
        <rFont val="Calibri"/>
        <family val="2"/>
        <scheme val="minor"/>
      </rPr>
      <t xml:space="preserve"> 100channel 6-bay tower standalone NVR</t>
    </r>
  </si>
  <si>
    <r>
      <rPr>
        <sz val="10"/>
        <color rgb="FF000000"/>
        <rFont val="Calibri"/>
        <family val="2"/>
        <charset val="136"/>
        <scheme val="minor"/>
      </rPr>
      <t>陳修慶</t>
    </r>
  </si>
  <si>
    <r>
      <rPr>
        <sz val="10"/>
        <color rgb="FF000000"/>
        <rFont val="Calibri"/>
        <family val="2"/>
        <scheme val="minor"/>
      </rPr>
      <t>2</t>
    </r>
    <r>
      <rPr>
        <sz val="10"/>
        <color rgb="FF000000"/>
        <rFont val="Calibri"/>
        <family val="2"/>
        <charset val="136"/>
        <scheme val="minor"/>
      </rPr>
      <t>百萬畫素迷你半球型網路攝影機</t>
    </r>
    <r>
      <rPr>
        <sz val="10"/>
        <color rgb="FF000000"/>
        <rFont val="Calibri"/>
        <family val="2"/>
        <scheme val="minor"/>
      </rPr>
      <t xml:space="preserve"> Z910</t>
    </r>
  </si>
  <si>
    <r>
      <rPr>
        <sz val="10"/>
        <color rgb="FF000000"/>
        <rFont val="Calibri"/>
        <family val="2"/>
        <scheme val="minor"/>
      </rPr>
      <t>32</t>
    </r>
    <r>
      <rPr>
        <sz val="10"/>
        <color rgb="FF000000"/>
        <rFont val="Calibri"/>
        <family val="2"/>
        <charset val="136"/>
        <scheme val="minor"/>
      </rPr>
      <t>隨身碟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</si>
  <si>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Calibri"/>
        <family val="2"/>
        <charset val="136"/>
        <scheme val="minor"/>
      </rPr>
      <t>長榮</t>
    </r>
    <r>
      <rPr>
        <sz val="10"/>
        <color rgb="FF000000"/>
        <rFont val="Calibri"/>
        <family val="2"/>
        <scheme val="minor"/>
      </rPr>
      <t>x1</t>
    </r>
  </si>
  <si>
    <r>
      <rPr>
        <sz val="10"/>
        <color theme="1"/>
        <rFont val="Calibri"/>
        <family val="2"/>
        <charset val="136"/>
        <scheme val="minor"/>
      </rPr>
      <t>蘇柏丞</t>
    </r>
  </si>
  <si>
    <r>
      <rPr>
        <sz val="10"/>
        <color rgb="FF000000"/>
        <rFont val="Calibri"/>
        <family val="2"/>
        <scheme val="minor"/>
      </rPr>
      <t>16-ch DI/DO</t>
    </r>
    <r>
      <rPr>
        <sz val="10"/>
        <color rgb="FF000000"/>
        <rFont val="Calibri"/>
        <family val="2"/>
        <charset val="136"/>
        <scheme val="minor"/>
      </rPr>
      <t>模組</t>
    </r>
    <r>
      <rPr>
        <sz val="10"/>
        <color rgb="FF000000"/>
        <rFont val="Calibri"/>
        <family val="2"/>
        <scheme val="minor"/>
      </rPr>
      <t xml:space="preserve"> ADAM-4055-c</t>
    </r>
  </si>
  <si>
    <r>
      <rPr>
        <sz val="10"/>
        <color rgb="FF000000"/>
        <rFont val="Calibri"/>
        <family val="2"/>
        <scheme val="minor"/>
      </rPr>
      <t xml:space="preserve">APAX-5070-BE </t>
    </r>
    <r>
      <rPr>
        <sz val="10"/>
        <color rgb="FF000000"/>
        <rFont val="Calibri"/>
        <family val="2"/>
        <charset val="136"/>
        <scheme val="minor"/>
      </rPr>
      <t>控制器通訊通信模組</t>
    </r>
  </si>
  <si>
    <r>
      <rPr>
        <sz val="10"/>
        <color rgb="FF000000"/>
        <rFont val="Calibri"/>
        <family val="2"/>
        <scheme val="minor"/>
      </rPr>
      <t xml:space="preserve">ECU-1051TL </t>
    </r>
    <r>
      <rPr>
        <sz val="10"/>
        <color rgb="FF000000"/>
        <rFont val="Calibri"/>
        <family val="2"/>
        <charset val="136"/>
        <scheme val="minor"/>
      </rPr>
      <t>閘道器</t>
    </r>
  </si>
  <si>
    <r>
      <rPr>
        <sz val="10"/>
        <color rgb="FF000000"/>
        <rFont val="Calibri"/>
        <family val="2"/>
        <charset val="136"/>
        <scheme val="minor"/>
      </rPr>
      <t>蘇柏丞
曹桓豪
胡蔚雯</t>
    </r>
  </si>
  <si>
    <r>
      <rPr>
        <sz val="10"/>
        <color rgb="FF000000"/>
        <rFont val="Calibri"/>
        <family val="2"/>
        <charset val="136"/>
        <scheme val="minor"/>
      </rPr>
      <t>筆記型電腦</t>
    </r>
    <r>
      <rPr>
        <sz val="10"/>
        <color rgb="FF000000"/>
        <rFont val="Calibri"/>
        <family val="2"/>
        <scheme val="minor"/>
      </rPr>
      <t xml:space="preserve"> ASUS X1502A</t>
    </r>
  </si>
  <si>
    <r>
      <rPr>
        <sz val="10"/>
        <color rgb="FF000000"/>
        <rFont val="Calibri"/>
        <family val="2"/>
        <scheme val="minor"/>
      </rPr>
      <t>HDMI</t>
    </r>
    <r>
      <rPr>
        <sz val="10"/>
        <color rgb="FF000000"/>
        <rFont val="Calibri"/>
        <family val="2"/>
        <charset val="136"/>
        <scheme val="minor"/>
      </rPr>
      <t>訊號延長器</t>
    </r>
    <r>
      <rPr>
        <sz val="10"/>
        <color rgb="FF000000"/>
        <rFont val="Calibri"/>
        <family val="2"/>
        <scheme val="minor"/>
      </rPr>
      <t xml:space="preserve">    VE801</t>
    </r>
  </si>
  <si>
    <r>
      <rPr>
        <sz val="10"/>
        <color rgb="FF000000"/>
        <rFont val="Calibri"/>
        <family val="2"/>
        <charset val="136"/>
        <scheme val="minor"/>
      </rPr>
      <t>一體型蹼輪式流量傳送器</t>
    </r>
    <r>
      <rPr>
        <sz val="10"/>
        <color rgb="FF000000"/>
        <rFont val="Calibri"/>
        <family val="2"/>
        <scheme val="minor"/>
      </rPr>
      <t xml:space="preserve"> CFSX-100</t>
    </r>
  </si>
  <si>
    <r>
      <rPr>
        <sz val="10"/>
        <color rgb="FF000000"/>
        <rFont val="Calibri"/>
        <family val="2"/>
        <charset val="136"/>
        <scheme val="minor"/>
      </rPr>
      <t>脈波輸入瞬間量累積量錶</t>
    </r>
    <r>
      <rPr>
        <sz val="10"/>
        <color rgb="FF000000"/>
        <rFont val="Calibri"/>
        <family val="2"/>
        <scheme val="minor"/>
      </rPr>
      <t xml:space="preserve"> CG5F-FR-N2-A-NNNNNY</t>
    </r>
  </si>
  <si>
    <r>
      <rPr>
        <sz val="10"/>
        <color rgb="FF000000"/>
        <rFont val="Calibri"/>
        <family val="2"/>
        <charset val="136"/>
        <scheme val="minor"/>
      </rPr>
      <t>台達</t>
    </r>
    <r>
      <rPr>
        <sz val="10"/>
        <color rgb="FF000000"/>
        <rFont val="Calibri"/>
        <family val="2"/>
        <scheme val="minor"/>
      </rPr>
      <t>RT-3KVA-LV 110V</t>
    </r>
    <r>
      <rPr>
        <sz val="10"/>
        <color rgb="FF000000"/>
        <rFont val="Calibri"/>
        <family val="2"/>
        <charset val="136"/>
        <scheme val="minor"/>
      </rPr>
      <t>不斷電系統</t>
    </r>
  </si>
  <si>
    <r>
      <rPr>
        <sz val="10"/>
        <color rgb="FF000000"/>
        <rFont val="Calibri"/>
        <family val="2"/>
        <scheme val="minor"/>
      </rPr>
      <t>(AL)</t>
    </r>
    <r>
      <rPr>
        <sz val="10"/>
        <color rgb="FF000000"/>
        <rFont val="Calibri"/>
        <family val="2"/>
        <charset val="136"/>
        <scheme val="minor"/>
      </rPr>
      <t>開口式比流器</t>
    </r>
    <r>
      <rPr>
        <sz val="10"/>
        <color rgb="FF000000"/>
        <rFont val="Calibri"/>
        <family val="2"/>
        <scheme val="minor"/>
      </rPr>
      <t>400/5A50</t>
    </r>
  </si>
  <si>
    <r>
      <rPr>
        <sz val="10"/>
        <color rgb="FF000000"/>
        <rFont val="Calibri"/>
        <family val="2"/>
        <charset val="136"/>
        <scheme val="minor"/>
      </rPr>
      <t>三相多功能電表</t>
    </r>
  </si>
  <si>
    <r>
      <rPr>
        <sz val="10"/>
        <color rgb="FF000000"/>
        <rFont val="Calibri"/>
        <family val="2"/>
        <charset val="136"/>
        <scheme val="minor"/>
      </rPr>
      <t>凱煬</t>
    </r>
    <r>
      <rPr>
        <sz val="10"/>
        <color rgb="FF000000"/>
        <rFont val="Calibri"/>
        <family val="2"/>
        <scheme val="minor"/>
      </rPr>
      <t>x1</t>
    </r>
  </si>
  <si>
    <r>
      <rPr>
        <sz val="10"/>
        <color rgb="FF000000"/>
        <rFont val="Calibri"/>
        <family val="2"/>
        <charset val="136"/>
        <scheme val="minor"/>
      </rPr>
      <t>單埠標準</t>
    </r>
    <r>
      <rPr>
        <sz val="10"/>
        <color rgb="FF000000"/>
        <rFont val="Calibri"/>
        <family val="2"/>
        <scheme val="minor"/>
      </rPr>
      <t>POE</t>
    </r>
    <r>
      <rPr>
        <sz val="10"/>
        <color rgb="FF000000"/>
        <rFont val="Calibri"/>
        <family val="2"/>
        <charset val="136"/>
        <scheme val="minor"/>
      </rPr>
      <t>供電器</t>
    </r>
  </si>
  <si>
    <r>
      <rPr>
        <sz val="10"/>
        <color rgb="FF000000"/>
        <rFont val="Calibri"/>
        <family val="2"/>
        <scheme val="minor"/>
      </rPr>
      <t xml:space="preserve">HPE-DL320-GEN1144LFF </t>
    </r>
    <r>
      <rPr>
        <sz val="10"/>
        <color rgb="FF000000"/>
        <rFont val="Calibri"/>
        <family val="2"/>
        <charset val="136"/>
        <scheme val="minor"/>
      </rPr>
      <t>主機</t>
    </r>
    <r>
      <rPr>
        <sz val="10"/>
        <color rgb="FF000000"/>
        <rFont val="Calibri"/>
        <family val="2"/>
        <scheme val="minor"/>
      </rPr>
      <t xml:space="preserve">   Altos S330 F6 Zbox</t>
    </r>
  </si>
  <si>
    <r>
      <rPr>
        <sz val="10"/>
        <color rgb="FF000000"/>
        <rFont val="Calibri"/>
        <family val="2"/>
        <charset val="136"/>
        <scheme val="minor"/>
      </rPr>
      <t>比流器</t>
    </r>
    <r>
      <rPr>
        <sz val="10"/>
        <color rgb="FF000000"/>
        <rFont val="Calibri"/>
        <family val="2"/>
        <scheme val="minor"/>
      </rPr>
      <t xml:space="preserve"> 200/5A 15VA 0.3</t>
    </r>
    <r>
      <rPr>
        <sz val="10"/>
        <color rgb="FF000000"/>
        <rFont val="Calibri"/>
        <family val="2"/>
        <charset val="136"/>
        <scheme val="minor"/>
      </rPr>
      <t>級</t>
    </r>
    <r>
      <rPr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charset val="136"/>
        <scheme val="minor"/>
      </rPr>
      <t>孔徑</t>
    </r>
    <r>
      <rPr>
        <sz val="10"/>
        <color rgb="FF000000"/>
        <rFont val="Calibri"/>
        <family val="2"/>
        <scheme val="minor"/>
      </rPr>
      <t>38mm</t>
    </r>
  </si>
  <si>
    <r>
      <rPr>
        <sz val="10"/>
        <color rgb="FF000000"/>
        <rFont val="Calibri"/>
        <family val="2"/>
        <charset val="136"/>
        <scheme val="minor"/>
      </rPr>
      <t>比流器</t>
    </r>
    <r>
      <rPr>
        <sz val="10"/>
        <color rgb="FF000000"/>
        <rFont val="Calibri"/>
        <family val="2"/>
        <scheme val="minor"/>
      </rPr>
      <t xml:space="preserve"> 600/5A 15VA 0.3</t>
    </r>
    <r>
      <rPr>
        <sz val="10"/>
        <color rgb="FF000000"/>
        <rFont val="Calibri"/>
        <family val="2"/>
        <charset val="136"/>
        <scheme val="minor"/>
      </rPr>
      <t>級</t>
    </r>
    <r>
      <rPr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charset val="136"/>
        <scheme val="minor"/>
      </rPr>
      <t>孔徑</t>
    </r>
    <r>
      <rPr>
        <sz val="10"/>
        <color rgb="FF000000"/>
        <rFont val="Calibri"/>
        <family val="2"/>
        <scheme val="minor"/>
      </rPr>
      <t>50mm</t>
    </r>
  </si>
  <si>
    <r>
      <rPr>
        <sz val="10"/>
        <color rgb="FF000000"/>
        <rFont val="Calibri"/>
        <family val="2"/>
        <scheme val="minor"/>
      </rPr>
      <t>2MP 25</t>
    </r>
    <r>
      <rPr>
        <sz val="10"/>
        <color rgb="FF000000"/>
        <rFont val="Calibri"/>
        <family val="2"/>
        <charset val="136"/>
        <scheme val="minor"/>
      </rPr>
      <t>米</t>
    </r>
    <r>
      <rPr>
        <sz val="10"/>
        <color rgb="FF000000"/>
        <rFont val="Calibri"/>
        <family val="2"/>
        <scheme val="minor"/>
      </rPr>
      <t xml:space="preserve"> IR IP DOME POE 3.6mm</t>
    </r>
  </si>
  <si>
    <r>
      <rPr>
        <sz val="10"/>
        <color rgb="FF000000"/>
        <rFont val="Calibri"/>
        <family val="2"/>
        <scheme val="minor"/>
      </rPr>
      <t xml:space="preserve">1080P </t>
    </r>
    <r>
      <rPr>
        <sz val="10"/>
        <color rgb="FF000000"/>
        <rFont val="Calibri"/>
        <family val="2"/>
        <charset val="136"/>
        <scheme val="minor"/>
      </rPr>
      <t>半球型紅外線攝影機</t>
    </r>
    <r>
      <rPr>
        <sz val="10"/>
        <color rgb="FF000000"/>
        <rFont val="Calibri"/>
        <family val="2"/>
        <scheme val="minor"/>
      </rPr>
      <t xml:space="preserve"> 3.6mm</t>
    </r>
  </si>
  <si>
    <r>
      <rPr>
        <sz val="10"/>
        <color rgb="FF000000"/>
        <rFont val="Calibri"/>
        <family val="2"/>
        <scheme val="minor"/>
      </rPr>
      <t xml:space="preserve">12V 1A </t>
    </r>
    <r>
      <rPr>
        <sz val="10"/>
        <color rgb="FF000000"/>
        <rFont val="Calibri"/>
        <family val="2"/>
        <charset val="136"/>
        <scheme val="minor"/>
      </rPr>
      <t>電源供應器</t>
    </r>
    <r>
      <rPr>
        <sz val="10"/>
        <color rgb="FF000000"/>
        <rFont val="Calibri"/>
        <family val="2"/>
        <scheme val="minor"/>
      </rPr>
      <t xml:space="preserve"> PF11 </t>
    </r>
    <r>
      <rPr>
        <sz val="10"/>
        <color rgb="FF000000"/>
        <rFont val="Calibri"/>
        <family val="2"/>
        <charset val="136"/>
        <scheme val="minor"/>
      </rPr>
      <t>帶燈</t>
    </r>
  </si>
  <si>
    <r>
      <rPr>
        <sz val="10"/>
        <color theme="1"/>
        <rFont val="Calibri"/>
        <family val="2"/>
        <charset val="136"/>
        <scheme val="minor"/>
      </rPr>
      <t>蘇柏丞
曹桓豪</t>
    </r>
  </si>
  <si>
    <r>
      <rPr>
        <sz val="10"/>
        <color rgb="FF000000"/>
        <rFont val="Calibri"/>
        <family val="2"/>
        <scheme val="minor"/>
      </rPr>
      <t>12V 2A</t>
    </r>
    <r>
      <rPr>
        <sz val="10"/>
        <color rgb="FF000000"/>
        <rFont val="Calibri"/>
        <family val="2"/>
        <charset val="136"/>
        <scheme val="minor"/>
      </rPr>
      <t>變壓器美規</t>
    </r>
    <r>
      <rPr>
        <sz val="10"/>
        <color rgb="FF000000"/>
        <rFont val="Calibri"/>
        <family val="2"/>
        <scheme val="minor"/>
      </rPr>
      <t>DA1SP-021</t>
    </r>
  </si>
  <si>
    <r>
      <rPr>
        <sz val="10"/>
        <color rgb="FF000000"/>
        <rFont val="Calibri"/>
        <family val="2"/>
        <charset val="136"/>
        <scheme val="minor"/>
      </rPr>
      <t>汐止緯創</t>
    </r>
    <r>
      <rPr>
        <sz val="10"/>
        <color rgb="FF000000"/>
        <rFont val="Calibri"/>
        <family val="2"/>
        <scheme val="minor"/>
      </rPr>
      <t>x4</t>
    </r>
  </si>
  <si>
    <r>
      <rPr>
        <sz val="10"/>
        <color rgb="FF000000"/>
        <rFont val="Calibri"/>
        <family val="2"/>
        <charset val="136"/>
        <scheme val="minor"/>
      </rPr>
      <t>電腦主機</t>
    </r>
    <r>
      <rPr>
        <sz val="10"/>
        <color rgb="FF000000"/>
        <rFont val="Calibri"/>
        <family val="2"/>
        <scheme val="minor"/>
      </rPr>
      <t xml:space="preserve">(i5-14600) FOR </t>
    </r>
    <r>
      <rPr>
        <sz val="10"/>
        <color rgb="FF000000"/>
        <rFont val="Calibri"/>
        <family val="2"/>
        <charset val="136"/>
        <scheme val="minor"/>
      </rPr>
      <t>彰化台電</t>
    </r>
  </si>
  <si>
    <r>
      <rPr>
        <sz val="10"/>
        <color rgb="FF000000"/>
        <rFont val="Calibri"/>
        <family val="2"/>
        <charset val="136"/>
        <scheme val="minor"/>
      </rPr>
      <t>感應式按鈕</t>
    </r>
    <r>
      <rPr>
        <sz val="10"/>
        <color rgb="FF000000"/>
        <rFont val="Calibri"/>
        <family val="2"/>
        <scheme val="minor"/>
      </rPr>
      <t>(E5/PBP9/</t>
    </r>
    <r>
      <rPr>
        <sz val="10"/>
        <color rgb="FF000000"/>
        <rFont val="Calibri"/>
        <family val="2"/>
        <charset val="136"/>
        <scheme val="minor"/>
      </rPr>
      <t>紅外線</t>
    </r>
    <r>
      <rPr>
        <sz val="10"/>
        <color rgb="FF000000"/>
        <rFont val="Calibri"/>
        <family val="2"/>
        <scheme val="minor"/>
      </rPr>
      <t>/</t>
    </r>
    <r>
      <rPr>
        <sz val="10"/>
        <color rgb="FF000000"/>
        <rFont val="Calibri"/>
        <family val="2"/>
        <charset val="136"/>
        <scheme val="minor"/>
      </rPr>
      <t>綠紅</t>
    </r>
    <r>
      <rPr>
        <sz val="10"/>
        <color rgb="FF000000"/>
        <rFont val="Calibri"/>
        <family val="2"/>
        <scheme val="minor"/>
      </rPr>
      <t>/</t>
    </r>
    <r>
      <rPr>
        <sz val="10"/>
        <color rgb="FF000000"/>
        <rFont val="Calibri"/>
        <family val="2"/>
        <charset val="136"/>
        <scheme val="minor"/>
      </rPr>
      <t>手</t>
    </r>
    <r>
      <rPr>
        <sz val="10"/>
        <color rgb="FF000000"/>
        <rFont val="Calibri"/>
        <family val="2"/>
        <scheme val="minor"/>
      </rPr>
      <t>+WIFI</t>
    </r>
    <r>
      <rPr>
        <sz val="10"/>
        <color rgb="FF000000"/>
        <rFont val="Calibri"/>
        <family val="2"/>
        <charset val="136"/>
        <scheme val="minor"/>
      </rPr>
      <t>銘板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</si>
  <si>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charset val="136"/>
        <scheme val="minor"/>
      </rPr>
      <t>正文</t>
    </r>
    <r>
      <rPr>
        <sz val="10"/>
        <color rgb="FF000000"/>
        <rFont val="Calibri"/>
        <family val="2"/>
        <scheme val="minor"/>
      </rPr>
      <t>x1</t>
    </r>
  </si>
  <si>
    <r>
      <rPr>
        <sz val="10"/>
        <color rgb="FF000000"/>
        <rFont val="Calibri"/>
        <family val="2"/>
        <charset val="136"/>
        <scheme val="minor"/>
      </rPr>
      <t>埋入式陽極鎖</t>
    </r>
    <r>
      <rPr>
        <sz val="10"/>
        <color rgb="FF000000"/>
        <rFont val="Calibri"/>
        <family val="2"/>
        <scheme val="minor"/>
      </rPr>
      <t>/</t>
    </r>
    <r>
      <rPr>
        <sz val="10"/>
        <color rgb="FF000000"/>
        <rFont val="Calibri"/>
        <family val="2"/>
        <charset val="136"/>
        <scheme val="minor"/>
      </rPr>
      <t>斷電開</t>
    </r>
    <r>
      <rPr>
        <sz val="10"/>
        <color rgb="FF000000"/>
        <rFont val="Calibri"/>
        <family val="2"/>
        <scheme val="minor"/>
      </rPr>
      <t>/LED</t>
    </r>
  </si>
  <si>
    <r>
      <rPr>
        <sz val="10"/>
        <color rgb="FF000000"/>
        <rFont val="Calibri"/>
        <family val="2"/>
        <scheme val="minor"/>
      </rPr>
      <t>RS485</t>
    </r>
    <r>
      <rPr>
        <sz val="10"/>
        <color rgb="FF000000"/>
        <rFont val="Calibri"/>
        <family val="2"/>
        <charset val="136"/>
        <scheme val="minor"/>
      </rPr>
      <t>光合有效輻射</t>
    </r>
    <r>
      <rPr>
        <sz val="10"/>
        <color rgb="FF000000"/>
        <rFont val="Calibri"/>
        <family val="2"/>
        <scheme val="minor"/>
      </rPr>
      <t>(PAR)</t>
    </r>
    <r>
      <rPr>
        <sz val="10"/>
        <color rgb="FF000000"/>
        <rFont val="Calibri"/>
        <family val="2"/>
        <charset val="136"/>
        <scheme val="minor"/>
      </rPr>
      <t>感測器</t>
    </r>
    <r>
      <rPr>
        <sz val="10"/>
        <color rgb="FF000000"/>
        <rFont val="Calibri"/>
        <family val="2"/>
        <scheme val="minor"/>
      </rPr>
      <t>(400-700nm) SNL-014800</t>
    </r>
  </si>
  <si>
    <r>
      <rPr>
        <sz val="10"/>
        <color rgb="FF000000"/>
        <rFont val="Calibri"/>
        <family val="2"/>
        <scheme val="minor"/>
      </rPr>
      <t>200</t>
    </r>
    <r>
      <rPr>
        <sz val="10"/>
        <color rgb="FF000000"/>
        <rFont val="Calibri"/>
        <family val="2"/>
        <charset val="136"/>
        <scheme val="minor"/>
      </rPr>
      <t>萬畫素半球型定焦網路攝影機</t>
    </r>
  </si>
  <si>
    <r>
      <rPr>
        <sz val="10"/>
        <color rgb="FF000000"/>
        <rFont val="Calibri"/>
        <family val="2"/>
        <charset val="136"/>
        <scheme val="minor"/>
      </rPr>
      <t>溫溼度感測器</t>
    </r>
    <r>
      <rPr>
        <sz val="10"/>
        <color rgb="FF000000"/>
        <rFont val="Calibri"/>
        <family val="2"/>
        <scheme val="minor"/>
      </rPr>
      <t>(</t>
    </r>
    <r>
      <rPr>
        <sz val="10"/>
        <color rgb="FF000000"/>
        <rFont val="Calibri"/>
        <family val="2"/>
        <charset val="136"/>
        <scheme val="minor"/>
      </rPr>
      <t>含防水防護罩</t>
    </r>
    <r>
      <rPr>
        <sz val="10"/>
        <color rgb="FF000000"/>
        <rFont val="Calibri"/>
        <family val="2"/>
        <scheme val="minor"/>
      </rPr>
      <t>+</t>
    </r>
    <r>
      <rPr>
        <sz val="10"/>
        <color rgb="FF000000"/>
        <rFont val="Calibri"/>
        <family val="2"/>
        <charset val="136"/>
        <scheme val="minor"/>
      </rPr>
      <t>鐵片</t>
    </r>
    <r>
      <rPr>
        <sz val="10"/>
        <color rgb="FF000000"/>
        <rFont val="Calibri"/>
        <family val="2"/>
        <scheme val="minor"/>
      </rPr>
      <t>) WCH-2P-1-R-15M</t>
    </r>
  </si>
  <si>
    <r>
      <rPr>
        <sz val="10"/>
        <color rgb="FF000000"/>
        <rFont val="Calibri"/>
        <family val="2"/>
        <scheme val="minor"/>
      </rPr>
      <t>TEAM Micro SDHC 32G</t>
    </r>
    <r>
      <rPr>
        <sz val="10"/>
        <color rgb="FF000000"/>
        <rFont val="Calibri"/>
        <family val="2"/>
        <charset val="136"/>
        <scheme val="minor"/>
      </rPr>
      <t>記憶卡含轉卡</t>
    </r>
  </si>
  <si>
    <r>
      <rPr>
        <sz val="10"/>
        <color rgb="FF000000"/>
        <rFont val="Calibri"/>
        <family val="2"/>
        <scheme val="minor"/>
      </rPr>
      <t>EBA-43ASCAM 30 (100) A 110 ~480V ~_</t>
    </r>
    <r>
      <rPr>
        <sz val="10"/>
        <color rgb="FF000000"/>
        <rFont val="Calibri"/>
        <family val="2"/>
        <charset val="136"/>
        <scheme val="minor"/>
      </rPr>
      <t>大同數位電錶</t>
    </r>
  </si>
  <si>
    <r>
      <rPr>
        <sz val="10"/>
        <color rgb="FF000000"/>
        <rFont val="Calibri"/>
        <family val="2"/>
        <charset val="136"/>
        <scheme val="minor"/>
      </rPr>
      <t>原能會</t>
    </r>
  </si>
  <si>
    <r>
      <rPr>
        <sz val="10"/>
        <color rgb="FF000000"/>
        <rFont val="Calibri"/>
        <family val="2"/>
        <charset val="136"/>
        <scheme val="minor"/>
      </rPr>
      <t>電源供應器</t>
    </r>
    <r>
      <rPr>
        <sz val="10"/>
        <color rgb="FF000000"/>
        <rFont val="Calibri"/>
        <family val="2"/>
        <scheme val="minor"/>
      </rPr>
      <t>-EDR-120-12(</t>
    </r>
    <r>
      <rPr>
        <sz val="10"/>
        <color rgb="FF000000"/>
        <rFont val="Calibri"/>
        <family val="2"/>
        <charset val="136"/>
        <scheme val="minor"/>
      </rPr>
      <t>奕能電機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</si>
  <si>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charset val="136"/>
        <scheme val="minor"/>
      </rPr>
      <t>鋁軌式電源供應器</t>
    </r>
    <r>
      <rPr>
        <sz val="10"/>
        <color rgb="FF000000"/>
        <rFont val="Calibri"/>
        <family val="2"/>
        <scheme val="minor"/>
      </rPr>
      <t>_EDR-120-24</t>
    </r>
  </si>
  <si>
    <r>
      <rPr>
        <sz val="10"/>
        <color rgb="FF000000"/>
        <rFont val="Calibri"/>
        <family val="2"/>
        <charset val="136"/>
        <scheme val="minor"/>
      </rPr>
      <t>電源供應器</t>
    </r>
    <r>
      <rPr>
        <sz val="10"/>
        <color rgb="FF000000"/>
        <rFont val="Calibri"/>
        <family val="2"/>
        <scheme val="minor"/>
      </rPr>
      <t>(</t>
    </r>
    <r>
      <rPr>
        <sz val="10"/>
        <color rgb="FF000000"/>
        <rFont val="Calibri"/>
        <family val="2"/>
        <charset val="136"/>
        <scheme val="minor"/>
      </rPr>
      <t>薄型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</si>
  <si>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charset val="136"/>
        <scheme val="minor"/>
      </rPr>
      <t>歐式端子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</si>
  <si>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x1000</t>
    </r>
  </si>
  <si>
    <r>
      <rPr>
        <sz val="10"/>
        <color rgb="FF000000"/>
        <rFont val="Calibri"/>
        <family val="2"/>
        <charset val="136"/>
        <scheme val="minor"/>
      </rPr>
      <t>鐵箱附底板</t>
    </r>
    <r>
      <rPr>
        <sz val="10"/>
        <color rgb="FF000000"/>
        <rFont val="Calibri"/>
        <family val="2"/>
        <scheme val="minor"/>
      </rPr>
      <t>460*360*185(B4)</t>
    </r>
  </si>
  <si>
    <r>
      <rPr>
        <sz val="10"/>
        <color rgb="FF000000"/>
        <rFont val="Calibri"/>
        <family val="2"/>
        <charset val="136"/>
        <scheme val="minor"/>
      </rPr>
      <t>台灣翰菱</t>
    </r>
    <r>
      <rPr>
        <sz val="10"/>
        <color rgb="FF000000"/>
        <rFont val="Calibri"/>
        <family val="2"/>
        <scheme val="minor"/>
      </rPr>
      <t xml:space="preserve">/ </t>
    </r>
    <r>
      <rPr>
        <sz val="10"/>
        <color rgb="FF000000"/>
        <rFont val="Calibri"/>
        <family val="2"/>
        <charset val="136"/>
        <scheme val="minor"/>
      </rPr>
      <t>簡訊機</t>
    </r>
    <r>
      <rPr>
        <sz val="10"/>
        <color rgb="FF000000"/>
        <rFont val="Calibri"/>
        <family val="2"/>
        <scheme val="minor"/>
      </rPr>
      <t xml:space="preserve"> WEBDYN/EasyTunnel EASYTUNNEL 4G RS232 RS485 Dual SIM</t>
    </r>
  </si>
  <si>
    <r>
      <rPr>
        <sz val="10"/>
        <color rgb="FF000000"/>
        <rFont val="Calibri"/>
        <family val="2"/>
        <charset val="136"/>
        <scheme val="minor"/>
      </rPr>
      <t>研華</t>
    </r>
    <r>
      <rPr>
        <sz val="10"/>
        <color rgb="FF000000"/>
        <rFont val="Calibri"/>
        <family val="2"/>
        <scheme val="minor"/>
      </rPr>
      <t>/ ROUTER AND SWITCH 5-PORT 10/100MBPS UNMANAGED SWITCH W/T</t>
    </r>
  </si>
  <si>
    <r>
      <rPr>
        <sz val="10"/>
        <color rgb="FF000000"/>
        <rFont val="Calibri"/>
        <family val="2"/>
        <charset val="136"/>
        <scheme val="minor"/>
      </rPr>
      <t>網路家庭</t>
    </r>
    <r>
      <rPr>
        <sz val="10"/>
        <color rgb="FF000000"/>
        <rFont val="Calibri"/>
        <family val="2"/>
        <scheme val="minor"/>
      </rPr>
      <t>/ WD</t>
    </r>
    <r>
      <rPr>
        <sz val="10"/>
        <color rgb="FF000000"/>
        <rFont val="Calibri"/>
        <family val="2"/>
        <charset val="136"/>
        <scheme val="minor"/>
      </rPr>
      <t>紫標</t>
    </r>
    <r>
      <rPr>
        <sz val="10"/>
        <color rgb="FF000000"/>
        <rFont val="Calibri"/>
        <family val="2"/>
        <scheme val="minor"/>
      </rPr>
      <t xml:space="preserve"> 8TB 3.5</t>
    </r>
    <r>
      <rPr>
        <sz val="10"/>
        <color rgb="FF000000"/>
        <rFont val="Calibri"/>
        <family val="2"/>
        <charset val="136"/>
        <scheme val="minor"/>
      </rPr>
      <t>吋</t>
    </r>
    <r>
      <rPr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charset val="136"/>
        <scheme val="minor"/>
      </rPr>
      <t>監控系統專用硬碟</t>
    </r>
  </si>
  <si>
    <r>
      <rPr>
        <sz val="10"/>
        <color rgb="FF000000"/>
        <rFont val="Calibri"/>
        <family val="2"/>
        <charset val="136"/>
        <scheme val="minor"/>
      </rPr>
      <t>整合</t>
    </r>
    <r>
      <rPr>
        <sz val="10"/>
        <color rgb="FF000000"/>
        <rFont val="Calibri"/>
        <family val="2"/>
        <scheme val="minor"/>
      </rPr>
      <t xml:space="preserve">/ </t>
    </r>
    <r>
      <rPr>
        <sz val="10"/>
        <color rgb="FF000000"/>
        <rFont val="Calibri"/>
        <family val="2"/>
        <charset val="136"/>
        <scheme val="minor"/>
      </rPr>
      <t>直立式電源</t>
    </r>
    <r>
      <rPr>
        <sz val="10"/>
        <color rgb="FF000000"/>
        <rFont val="Calibri"/>
        <family val="2"/>
        <scheme val="minor"/>
      </rPr>
      <t xml:space="preserve"> 110VAC</t>
    </r>
    <r>
      <rPr>
        <sz val="10"/>
        <color rgb="FF000000"/>
        <rFont val="Calibri"/>
        <family val="2"/>
        <charset val="136"/>
        <scheme val="minor"/>
      </rPr>
      <t>含電源表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</si>
  <si>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x14</t>
    </r>
  </si>
  <si>
    <r>
      <rPr>
        <sz val="10"/>
        <color rgb="FF000000"/>
        <rFont val="Calibri"/>
        <family val="2"/>
        <charset val="136"/>
        <scheme val="minor"/>
      </rPr>
      <t>鎧鋒</t>
    </r>
    <r>
      <rPr>
        <sz val="10"/>
        <color rgb="FF000000"/>
        <rFont val="Calibri"/>
        <family val="2"/>
        <scheme val="minor"/>
      </rPr>
      <t>/ 5MP 20</t>
    </r>
    <r>
      <rPr>
        <sz val="10"/>
        <color rgb="FF000000"/>
        <rFont val="Calibri"/>
        <family val="2"/>
        <charset val="136"/>
        <scheme val="minor"/>
      </rPr>
      <t>米</t>
    </r>
    <r>
      <rPr>
        <sz val="10"/>
        <color rgb="FF000000"/>
        <rFont val="Calibri"/>
        <family val="2"/>
        <scheme val="minor"/>
      </rPr>
      <t xml:space="preserve"> IR IP DOME POE 3.6mm</t>
    </r>
  </si>
  <si>
    <r>
      <rPr>
        <sz val="10"/>
        <color rgb="FF000000"/>
        <rFont val="Calibri"/>
        <family val="2"/>
        <charset val="136"/>
        <scheme val="minor"/>
      </rPr>
      <t>台灣高鐵</t>
    </r>
    <r>
      <rPr>
        <sz val="10"/>
        <color rgb="FF000000"/>
        <rFont val="Calibri"/>
        <family val="2"/>
        <scheme val="minor"/>
      </rPr>
      <t>x1</t>
    </r>
  </si>
  <si>
    <r>
      <rPr>
        <sz val="10"/>
        <color rgb="FF000000"/>
        <rFont val="Calibri"/>
        <family val="2"/>
        <charset val="136"/>
        <scheme val="minor"/>
      </rPr>
      <t>鎧鋒</t>
    </r>
    <r>
      <rPr>
        <sz val="10"/>
        <color rgb="FF000000"/>
        <rFont val="Calibri"/>
        <family val="2"/>
        <scheme val="minor"/>
      </rPr>
      <t>/ 2MP 30</t>
    </r>
    <r>
      <rPr>
        <sz val="10"/>
        <color rgb="FF000000"/>
        <rFont val="Calibri"/>
        <family val="2"/>
        <charset val="136"/>
        <scheme val="minor"/>
      </rPr>
      <t>米</t>
    </r>
    <r>
      <rPr>
        <sz val="10"/>
        <color rgb="FF000000"/>
        <rFont val="Calibri"/>
        <family val="2"/>
        <scheme val="minor"/>
      </rPr>
      <t xml:space="preserve"> IR IP CMAERA POE 3.6MM</t>
    </r>
  </si>
  <si>
    <r>
      <rPr>
        <sz val="10"/>
        <color rgb="FF000000"/>
        <rFont val="Calibri"/>
        <family val="2"/>
        <charset val="136"/>
        <scheme val="minor"/>
      </rPr>
      <t>緯耀科技</t>
    </r>
    <r>
      <rPr>
        <sz val="10"/>
        <color rgb="FF000000"/>
        <rFont val="Calibri"/>
        <family val="2"/>
        <scheme val="minor"/>
      </rPr>
      <t>/ 10</t>
    </r>
    <r>
      <rPr>
        <sz val="10"/>
        <color rgb="FF000000"/>
        <rFont val="Calibri"/>
        <family val="2"/>
        <charset val="136"/>
        <scheme val="minor"/>
      </rPr>
      <t>吋人機介面</t>
    </r>
    <r>
      <rPr>
        <sz val="10"/>
        <color rgb="FF000000"/>
        <rFont val="Calibri"/>
        <family val="2"/>
        <scheme val="minor"/>
      </rPr>
      <t xml:space="preserve"> HMIET6500</t>
    </r>
  </si>
  <si>
    <r>
      <rPr>
        <sz val="10"/>
        <color rgb="FF000000"/>
        <rFont val="Calibri"/>
        <family val="2"/>
        <charset val="136"/>
        <scheme val="minor"/>
      </rPr>
      <t>研華</t>
    </r>
    <r>
      <rPr>
        <sz val="10"/>
        <color rgb="FF000000"/>
        <rFont val="Calibri"/>
        <family val="2"/>
        <scheme val="minor"/>
      </rPr>
      <t xml:space="preserve">/ </t>
    </r>
    <r>
      <rPr>
        <sz val="10"/>
        <color rgb="FF000000"/>
        <rFont val="Calibri"/>
        <family val="2"/>
        <charset val="136"/>
        <scheme val="minor"/>
      </rPr>
      <t>人機介面</t>
    </r>
    <r>
      <rPr>
        <sz val="10"/>
        <color rgb="FF000000"/>
        <rFont val="Calibri"/>
        <family val="2"/>
        <scheme val="minor"/>
      </rPr>
      <t xml:space="preserve"> ADVANTECH/WebOP WOP-215K-NAE</t>
    </r>
  </si>
  <si>
    <r>
      <rPr>
        <sz val="10"/>
        <color rgb="FF000000"/>
        <rFont val="Calibri"/>
        <family val="2"/>
        <charset val="136"/>
        <scheme val="minor"/>
      </rPr>
      <t>晨陽</t>
    </r>
    <r>
      <rPr>
        <sz val="10"/>
        <color rgb="FF000000"/>
        <rFont val="Calibri"/>
        <family val="2"/>
        <scheme val="minor"/>
      </rPr>
      <t>x2</t>
    </r>
  </si>
  <si>
    <r>
      <rPr>
        <sz val="10"/>
        <color rgb="FF000000"/>
        <rFont val="Calibri"/>
        <family val="2"/>
        <charset val="136"/>
        <scheme val="minor"/>
      </rPr>
      <t>宏瑞</t>
    </r>
    <r>
      <rPr>
        <sz val="10"/>
        <color rgb="FF000000"/>
        <rFont val="Calibri"/>
        <family val="2"/>
        <scheme val="minor"/>
      </rPr>
      <t>/ 12v</t>
    </r>
    <r>
      <rPr>
        <sz val="10"/>
        <color rgb="FF000000"/>
        <rFont val="Calibri"/>
        <family val="2"/>
        <charset val="136"/>
        <scheme val="minor"/>
      </rPr>
      <t>電源供應器</t>
    </r>
  </si>
  <si>
    <r>
      <rPr>
        <sz val="10"/>
        <color rgb="FF000000"/>
        <rFont val="Calibri"/>
        <family val="2"/>
        <charset val="136"/>
        <scheme val="minor"/>
      </rPr>
      <t>緯耀科技</t>
    </r>
    <r>
      <rPr>
        <sz val="10"/>
        <color rgb="FF000000"/>
        <rFont val="Calibri"/>
        <family val="2"/>
        <scheme val="minor"/>
      </rPr>
      <t xml:space="preserve">/ </t>
    </r>
    <r>
      <rPr>
        <sz val="10"/>
        <color rgb="FF000000"/>
        <rFont val="Calibri"/>
        <family val="2"/>
        <charset val="136"/>
        <scheme val="minor"/>
      </rPr>
      <t>電源供應器</t>
    </r>
    <r>
      <rPr>
        <sz val="10"/>
        <color rgb="FF000000"/>
        <rFont val="Calibri"/>
        <family val="2"/>
        <scheme val="minor"/>
      </rPr>
      <t xml:space="preserve"> AD1048-24FS 48W</t>
    </r>
  </si>
  <si>
    <r>
      <rPr>
        <sz val="10"/>
        <color rgb="FF000000"/>
        <rFont val="Calibri"/>
        <family val="2"/>
        <charset val="136"/>
        <scheme val="minor"/>
      </rPr>
      <t>永鉅</t>
    </r>
    <r>
      <rPr>
        <sz val="10"/>
        <color rgb="FF000000"/>
        <rFont val="Calibri"/>
        <family val="2"/>
        <scheme val="minor"/>
      </rPr>
      <t xml:space="preserve">/ </t>
    </r>
    <r>
      <rPr>
        <sz val="10"/>
        <color rgb="FF000000"/>
        <rFont val="Calibri"/>
        <family val="2"/>
        <charset val="136"/>
        <scheme val="minor"/>
      </rPr>
      <t>電源供應器</t>
    </r>
    <r>
      <rPr>
        <sz val="10"/>
        <color rgb="FF000000"/>
        <rFont val="Calibri"/>
        <family val="2"/>
        <scheme val="minor"/>
      </rPr>
      <t xml:space="preserve"> 12V 62. 5A</t>
    </r>
  </si>
  <si>
    <r>
      <rPr>
        <sz val="10"/>
        <color rgb="FF000000"/>
        <rFont val="Calibri"/>
        <family val="2"/>
        <charset val="136"/>
        <scheme val="minor"/>
      </rPr>
      <t>高檢署</t>
    </r>
    <r>
      <rPr>
        <sz val="10"/>
        <color rgb="FF000000"/>
        <rFont val="Calibri"/>
        <family val="2"/>
        <scheme val="minor"/>
      </rPr>
      <t>x1</t>
    </r>
  </si>
  <si>
    <r>
      <rPr>
        <sz val="10"/>
        <color rgb="FF000000"/>
        <rFont val="Calibri"/>
        <family val="2"/>
        <charset val="136"/>
        <scheme val="minor"/>
      </rPr>
      <t>中華郵政</t>
    </r>
  </si>
  <si>
    <r>
      <rPr>
        <sz val="10"/>
        <color rgb="FF000000"/>
        <rFont val="Calibri"/>
        <family val="2"/>
        <charset val="136"/>
        <scheme val="minor"/>
      </rPr>
      <t>疾管署</t>
    </r>
    <r>
      <rPr>
        <sz val="10"/>
        <color rgb="FF000000"/>
        <rFont val="Calibri"/>
        <family val="2"/>
        <scheme val="minor"/>
      </rPr>
      <t>x1</t>
    </r>
  </si>
  <si>
    <r>
      <rPr>
        <sz val="10"/>
        <color rgb="FF000000"/>
        <rFont val="Calibri"/>
        <family val="2"/>
        <charset val="136"/>
        <scheme val="minor"/>
      </rPr>
      <t>網路板</t>
    </r>
  </si>
  <si>
    <r>
      <rPr>
        <sz val="10"/>
        <color rgb="FF000000"/>
        <rFont val="Calibri"/>
        <family val="2"/>
        <charset val="136"/>
        <scheme val="minor"/>
      </rPr>
      <t>導覽櫃</t>
    </r>
  </si>
  <si>
    <r>
      <rPr>
        <sz val="10"/>
        <color rgb="FF000000"/>
        <rFont val="Calibri"/>
        <family val="2"/>
        <charset val="136"/>
        <scheme val="minor"/>
      </rPr>
      <t>室外防護罩</t>
    </r>
  </si>
  <si>
    <r>
      <rPr>
        <sz val="10"/>
        <color rgb="FF000000"/>
        <rFont val="Calibri"/>
        <family val="2"/>
        <charset val="136"/>
        <scheme val="minor"/>
      </rPr>
      <t>研華</t>
    </r>
  </si>
  <si>
    <r>
      <rPr>
        <sz val="10"/>
        <color rgb="FF000000"/>
        <rFont val="Calibri"/>
        <family val="2"/>
        <charset val="136"/>
        <scheme val="minor"/>
      </rPr>
      <t>光電式煙霧蜂鳴警報器</t>
    </r>
  </si>
  <si>
    <r>
      <rPr>
        <sz val="10"/>
        <color rgb="FF000000"/>
        <rFont val="Calibri"/>
        <family val="2"/>
        <charset val="136"/>
        <scheme val="minor"/>
      </rPr>
      <t>桃稅</t>
    </r>
    <r>
      <rPr>
        <sz val="10"/>
        <color rgb="FF000000"/>
        <rFont val="Calibri"/>
        <family val="2"/>
        <scheme val="minor"/>
      </rPr>
      <t xml:space="preserve">x9
</t>
    </r>
    <r>
      <rPr>
        <sz val="10"/>
        <color rgb="FF000000"/>
        <rFont val="Calibri"/>
        <family val="2"/>
        <charset val="136"/>
        <scheme val="minor"/>
      </rPr>
      <t>統一</t>
    </r>
    <r>
      <rPr>
        <sz val="10"/>
        <color rgb="FF000000"/>
        <rFont val="Calibri"/>
        <family val="2"/>
        <scheme val="minor"/>
      </rPr>
      <t>x1</t>
    </r>
  </si>
  <si>
    <r>
      <rPr>
        <sz val="10"/>
        <color rgb="FF000000"/>
        <rFont val="Calibri"/>
        <family val="2"/>
        <charset val="136"/>
        <scheme val="minor"/>
      </rPr>
      <t>海巡署
監理所</t>
    </r>
  </si>
  <si>
    <r>
      <rPr>
        <sz val="10"/>
        <color rgb="FF000000"/>
        <rFont val="Calibri"/>
        <family val="2"/>
        <scheme val="minor"/>
      </rPr>
      <t>1U</t>
    </r>
    <r>
      <rPr>
        <sz val="10"/>
        <color rgb="FF000000"/>
        <rFont val="Calibri"/>
        <family val="2"/>
        <charset val="136"/>
        <scheme val="minor"/>
      </rPr>
      <t>免工具式載重板</t>
    </r>
    <r>
      <rPr>
        <sz val="10"/>
        <color rgb="FF000000"/>
        <rFont val="Calibri"/>
        <family val="2"/>
        <scheme val="minor"/>
      </rPr>
      <t>JR-1U-690mm(</t>
    </r>
    <r>
      <rPr>
        <sz val="10"/>
        <color rgb="FF000000"/>
        <rFont val="Calibri"/>
        <family val="2"/>
        <charset val="136"/>
        <scheme val="minor"/>
      </rPr>
      <t>米白色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</si>
  <si>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charset val="136"/>
        <scheme val="minor"/>
      </rPr>
      <t>鮮綠農業</t>
    </r>
  </si>
  <si>
    <r>
      <rPr>
        <sz val="10"/>
        <color rgb="FF000000"/>
        <rFont val="Calibri"/>
        <family val="2"/>
        <charset val="136"/>
        <scheme val="minor"/>
      </rPr>
      <t>土壤四合一偵測器</t>
    </r>
    <r>
      <rPr>
        <sz val="10"/>
        <color rgb="FF000000"/>
        <rFont val="Calibri"/>
        <family val="2"/>
        <scheme val="minor"/>
      </rPr>
      <t>JSMHP</t>
    </r>
  </si>
  <si>
    <r>
      <rPr>
        <sz val="10"/>
        <color rgb="FF000000"/>
        <rFont val="Calibri"/>
        <family val="2"/>
        <charset val="136"/>
        <scheme val="minor"/>
      </rPr>
      <t>紅外線網路攝影機</t>
    </r>
    <r>
      <rPr>
        <sz val="10"/>
        <color rgb="FF000000"/>
        <rFont val="Calibri"/>
        <family val="2"/>
        <scheme val="minor"/>
      </rPr>
      <t>(2M 60</t>
    </r>
    <r>
      <rPr>
        <sz val="10"/>
        <color rgb="FF000000"/>
        <rFont val="Calibri"/>
        <family val="2"/>
        <charset val="136"/>
        <scheme val="minor"/>
      </rPr>
      <t>米</t>
    </r>
    <r>
      <rPr>
        <sz val="10"/>
        <color rgb="FF000000"/>
        <rFont val="Calibri"/>
        <family val="2"/>
        <scheme val="minor"/>
      </rPr>
      <t>)KI7755V</t>
    </r>
  </si>
  <si>
    <r>
      <rPr>
        <sz val="10"/>
        <color rgb="FF000000"/>
        <rFont val="Calibri"/>
        <family val="2"/>
        <charset val="136"/>
        <scheme val="minor"/>
      </rPr>
      <t>三冠王有線</t>
    </r>
  </si>
  <si>
    <r>
      <rPr>
        <sz val="10"/>
        <color rgb="FF000000"/>
        <rFont val="Calibri"/>
        <family val="2"/>
        <charset val="136"/>
        <scheme val="minor"/>
      </rPr>
      <t>攝影機</t>
    </r>
    <r>
      <rPr>
        <sz val="10"/>
        <color rgb="FF000000"/>
        <rFont val="Calibri"/>
        <family val="2"/>
        <scheme val="minor"/>
      </rPr>
      <t>KI7785V-720P</t>
    </r>
    <r>
      <rPr>
        <sz val="10"/>
        <color rgb="FF000000"/>
        <rFont val="Calibri"/>
        <family val="2"/>
        <charset val="136"/>
        <scheme val="minor"/>
      </rPr>
      <t>百萬畫素</t>
    </r>
    <r>
      <rPr>
        <sz val="10"/>
        <color rgb="FF000000"/>
        <rFont val="Calibri"/>
        <family val="2"/>
        <scheme val="minor"/>
      </rPr>
      <t>50</t>
    </r>
    <r>
      <rPr>
        <sz val="10"/>
        <color rgb="FF000000"/>
        <rFont val="Calibri"/>
        <family val="2"/>
        <charset val="136"/>
        <scheme val="minor"/>
      </rPr>
      <t>米紅外線一體成型</t>
    </r>
  </si>
  <si>
    <r>
      <rPr>
        <sz val="10"/>
        <color rgb="FF000000"/>
        <rFont val="Calibri"/>
        <family val="2"/>
        <charset val="136"/>
        <scheme val="minor"/>
      </rPr>
      <t>蘇澳通信隊</t>
    </r>
  </si>
  <si>
    <r>
      <rPr>
        <sz val="10"/>
        <color rgb="FF000000"/>
        <rFont val="Calibri"/>
        <family val="2"/>
        <charset val="136"/>
        <scheme val="minor"/>
      </rPr>
      <t>研華</t>
    </r>
    <r>
      <rPr>
        <sz val="10"/>
        <color rgb="FF000000"/>
        <rFont val="Calibri"/>
        <family val="2"/>
        <scheme val="minor"/>
      </rPr>
      <t>/ Webaccess additional 600 tags</t>
    </r>
  </si>
  <si>
    <r>
      <rPr>
        <sz val="10"/>
        <color rgb="FF000000"/>
        <rFont val="Calibri"/>
        <family val="2"/>
        <charset val="136"/>
        <scheme val="minor"/>
      </rPr>
      <t>塑膠盒</t>
    </r>
    <r>
      <rPr>
        <sz val="10"/>
        <color rgb="FF000000"/>
        <rFont val="Calibri"/>
        <family val="2"/>
        <scheme val="minor"/>
      </rPr>
      <t>150*250*130</t>
    </r>
  </si>
  <si>
    <r>
      <rPr>
        <sz val="10"/>
        <color rgb="FF000000"/>
        <rFont val="Calibri"/>
        <family val="2"/>
        <charset val="136"/>
        <scheme val="minor"/>
      </rPr>
      <t>塑膠盒</t>
    </r>
    <r>
      <rPr>
        <sz val="10"/>
        <color rgb="FF000000"/>
        <rFont val="Calibri"/>
        <family val="2"/>
        <scheme val="minor"/>
      </rPr>
      <t>200*200*130</t>
    </r>
  </si>
  <si>
    <r>
      <rPr>
        <sz val="10"/>
        <color rgb="FF000000"/>
        <rFont val="Calibri"/>
        <family val="2"/>
        <charset val="136"/>
        <scheme val="minor"/>
      </rPr>
      <t>機房雙空調控制器</t>
    </r>
    <r>
      <rPr>
        <sz val="10"/>
        <color rgb="FF000000"/>
        <rFont val="Calibri"/>
        <family val="2"/>
        <scheme val="minor"/>
      </rPr>
      <t>AC220V</t>
    </r>
    <r>
      <rPr>
        <sz val="10"/>
        <color rgb="FF000000"/>
        <rFont val="Calibri"/>
        <family val="2"/>
        <charset val="136"/>
        <scheme val="minor"/>
      </rPr>
      <t>含溫度感知器</t>
    </r>
  </si>
  <si>
    <r>
      <rPr>
        <sz val="10"/>
        <color rgb="FF000000"/>
        <rFont val="Calibri"/>
        <family val="2"/>
        <charset val="136"/>
        <scheme val="minor"/>
      </rPr>
      <t>鋁軌</t>
    </r>
    <r>
      <rPr>
        <sz val="10"/>
        <color rgb="FF000000"/>
        <rFont val="Calibri"/>
        <family val="2"/>
        <scheme val="minor"/>
      </rPr>
      <t>_</t>
    </r>
    <r>
      <rPr>
        <sz val="10"/>
        <color rgb="FF000000"/>
        <rFont val="Calibri"/>
        <family val="2"/>
        <charset val="136"/>
        <scheme val="minor"/>
      </rPr>
      <t>無陽極</t>
    </r>
    <r>
      <rPr>
        <sz val="10"/>
        <color rgb="FF000000"/>
        <rFont val="Calibri"/>
        <family val="2"/>
        <scheme val="minor"/>
      </rPr>
      <t xml:space="preserve"> (35mm)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</si>
  <si>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x170</t>
    </r>
  </si>
  <si>
    <r>
      <rPr>
        <sz val="10"/>
        <color rgb="FF000000"/>
        <rFont val="Calibri"/>
        <family val="2"/>
        <scheme val="minor"/>
      </rPr>
      <t>(+-)</t>
    </r>
    <r>
      <rPr>
        <sz val="10"/>
        <color rgb="FF000000"/>
        <rFont val="Calibri"/>
        <family val="2"/>
        <charset val="136"/>
        <scheme val="minor"/>
      </rPr>
      <t>鋁軌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無陽極</t>
    </r>
  </si>
  <si>
    <r>
      <rPr>
        <sz val="10"/>
        <color rgb="FF000000"/>
        <rFont val="Calibri"/>
        <family val="2"/>
        <charset val="136"/>
        <scheme val="minor"/>
      </rPr>
      <t>當宏</t>
    </r>
    <r>
      <rPr>
        <sz val="10"/>
        <color rgb="FF000000"/>
        <rFont val="Calibri"/>
        <family val="2"/>
        <scheme val="minor"/>
      </rPr>
      <t>x2</t>
    </r>
  </si>
  <si>
    <r>
      <rPr>
        <sz val="10"/>
        <color rgb="FF000000"/>
        <rFont val="Calibri"/>
        <family val="2"/>
        <scheme val="minor"/>
      </rPr>
      <t>LED-10</t>
    </r>
    <r>
      <rPr>
        <sz val="10"/>
        <color rgb="FF000000"/>
        <rFont val="Calibri"/>
        <family val="2"/>
        <charset val="136"/>
        <scheme val="minor"/>
      </rPr>
      <t>燈泡</t>
    </r>
    <r>
      <rPr>
        <sz val="10"/>
        <color rgb="FF000000"/>
        <rFont val="Calibri"/>
        <family val="2"/>
        <scheme val="minor"/>
      </rPr>
      <t>24V</t>
    </r>
  </si>
  <si>
    <r>
      <rPr>
        <sz val="10"/>
        <color rgb="FF000000"/>
        <rFont val="Calibri"/>
        <family val="2"/>
        <scheme val="minor"/>
      </rPr>
      <t>(SH)S-9LED</t>
    </r>
    <r>
      <rPr>
        <sz val="10"/>
        <color rgb="FF000000"/>
        <rFont val="Calibri"/>
        <family val="2"/>
        <charset val="136"/>
        <scheme val="minor"/>
      </rPr>
      <t>燈泡</t>
    </r>
    <r>
      <rPr>
        <sz val="10"/>
        <color rgb="FF000000"/>
        <rFont val="Calibri"/>
        <family val="2"/>
        <scheme val="minor"/>
      </rPr>
      <t>220V(</t>
    </r>
    <r>
      <rPr>
        <sz val="10"/>
        <color rgb="FF000000"/>
        <rFont val="Calibri"/>
        <family val="2"/>
        <charset val="136"/>
        <scheme val="minor"/>
      </rPr>
      <t>白色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</si>
  <si>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scheme val="minor"/>
      </rPr>
      <t>46</t>
    </r>
    <r>
      <rPr>
        <sz val="10"/>
        <color rgb="FF000000"/>
        <rFont val="Calibri"/>
        <family val="2"/>
        <charset val="136"/>
        <scheme val="minor"/>
      </rPr>
      <t>吋</t>
    </r>
    <r>
      <rPr>
        <sz val="10"/>
        <color rgb="FF000000"/>
        <rFont val="Calibri"/>
        <family val="2"/>
        <scheme val="minor"/>
      </rPr>
      <t>1920*1080</t>
    </r>
    <r>
      <rPr>
        <sz val="10"/>
        <color rgb="FF000000"/>
        <rFont val="Calibri"/>
        <family val="2"/>
        <charset val="136"/>
        <scheme val="minor"/>
      </rPr>
      <t>背光</t>
    </r>
    <r>
      <rPr>
        <sz val="10"/>
        <color rgb="FF000000"/>
        <rFont val="Calibri"/>
        <family val="2"/>
        <scheme val="minor"/>
      </rPr>
      <t>LED</t>
    </r>
    <r>
      <rPr>
        <sz val="10"/>
        <color rgb="FF000000"/>
        <rFont val="Calibri"/>
        <family val="2"/>
        <charset val="136"/>
        <scheme val="minor"/>
      </rPr>
      <t>亮度</t>
    </r>
    <r>
      <rPr>
        <sz val="10"/>
        <color rgb="FF000000"/>
        <rFont val="Calibri"/>
        <family val="2"/>
        <scheme val="minor"/>
      </rPr>
      <t>500CD*W2</t>
    </r>
    <r>
      <rPr>
        <sz val="10"/>
        <color rgb="FF000000"/>
        <rFont val="Calibri"/>
        <family val="2"/>
        <charset val="136"/>
        <scheme val="minor"/>
      </rPr>
      <t>兩邊接縫</t>
    </r>
    <r>
      <rPr>
        <sz val="10"/>
        <color rgb="FF000000"/>
        <rFont val="Calibri"/>
        <family val="2"/>
        <scheme val="minor"/>
      </rPr>
      <t>5mm</t>
    </r>
  </si>
  <si>
    <r>
      <rPr>
        <sz val="10"/>
        <color rgb="FF000000"/>
        <rFont val="Calibri"/>
        <family val="2"/>
        <charset val="136"/>
        <scheme val="minor"/>
      </rPr>
      <t>海總電視牆</t>
    </r>
  </si>
  <si>
    <r>
      <rPr>
        <sz val="10"/>
        <color rgb="FF000000"/>
        <rFont val="Calibri"/>
        <family val="2"/>
        <scheme val="minor"/>
      </rPr>
      <t>42</t>
    </r>
    <r>
      <rPr>
        <sz val="10"/>
        <color rgb="FF000000"/>
        <rFont val="Calibri"/>
        <family val="2"/>
        <charset val="136"/>
        <scheme val="minor"/>
      </rPr>
      <t>吋</t>
    </r>
    <r>
      <rPr>
        <sz val="10"/>
        <color rgb="FF000000"/>
        <rFont val="Calibri"/>
        <family val="2"/>
        <scheme val="minor"/>
      </rPr>
      <t>VC4206</t>
    </r>
  </si>
  <si>
    <r>
      <rPr>
        <sz val="10"/>
        <color rgb="FF000000"/>
        <rFont val="Calibri"/>
        <family val="2"/>
        <charset val="136"/>
        <scheme val="minor"/>
      </rPr>
      <t>電話自動報警機</t>
    </r>
    <r>
      <rPr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charset val="136"/>
        <scheme val="minor"/>
      </rPr>
      <t>單觸發</t>
    </r>
    <r>
      <rPr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charset val="136"/>
        <scheme val="minor"/>
      </rPr>
      <t>單語音</t>
    </r>
  </si>
  <si>
    <r>
      <rPr>
        <sz val="10"/>
        <color rgb="FF000000"/>
        <rFont val="Calibri"/>
        <family val="2"/>
        <charset val="136"/>
        <scheme val="minor"/>
      </rPr>
      <t>聯邦
北市警局</t>
    </r>
  </si>
  <si>
    <r>
      <rPr>
        <sz val="10"/>
        <color rgb="FF000000"/>
        <rFont val="Calibri"/>
        <family val="2"/>
        <charset val="136"/>
        <scheme val="minor"/>
      </rPr>
      <t>拉線式緊急壓扣開關</t>
    </r>
    <r>
      <rPr>
        <sz val="10"/>
        <color rgb="FF000000"/>
        <rFont val="Calibri"/>
        <family val="2"/>
        <scheme val="minor"/>
      </rPr>
      <t>(</t>
    </r>
    <r>
      <rPr>
        <sz val="10"/>
        <color rgb="FF000000"/>
        <rFont val="Calibri"/>
        <family val="2"/>
        <charset val="136"/>
        <scheme val="minor"/>
      </rPr>
      <t>龍光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</si>
  <si>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charset val="136"/>
        <scheme val="minor"/>
      </rPr>
      <t>電源供應器</t>
    </r>
    <r>
      <rPr>
        <sz val="10"/>
        <color rgb="FF000000"/>
        <rFont val="Calibri"/>
        <family val="2"/>
        <scheme val="minor"/>
      </rPr>
      <t>_LRS-350-12   350</t>
    </r>
    <r>
      <rPr>
        <sz val="10"/>
        <color rgb="FF000000"/>
        <rFont val="Calibri"/>
        <family val="2"/>
        <charset val="136"/>
        <scheme val="minor"/>
      </rPr>
      <t>瓦</t>
    </r>
    <r>
      <rPr>
        <sz val="10"/>
        <color rgb="FF000000"/>
        <rFont val="Calibri"/>
        <family val="2"/>
        <scheme val="minor"/>
      </rPr>
      <t>12</t>
    </r>
    <r>
      <rPr>
        <sz val="10"/>
        <color rgb="FF000000"/>
        <rFont val="Calibri"/>
        <family val="2"/>
        <charset val="136"/>
        <scheme val="minor"/>
      </rPr>
      <t>伏特</t>
    </r>
    <r>
      <rPr>
        <sz val="10"/>
        <color rgb="FF000000"/>
        <rFont val="Calibri"/>
        <family val="2"/>
        <scheme val="minor"/>
      </rPr>
      <t xml:space="preserve">  (</t>
    </r>
    <r>
      <rPr>
        <sz val="10"/>
        <color rgb="FF000000"/>
        <rFont val="Calibri"/>
        <family val="2"/>
        <charset val="136"/>
        <scheme val="minor"/>
      </rPr>
      <t>永鉅電機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</si>
  <si>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charset val="136"/>
        <scheme val="minor"/>
      </rPr>
      <t>電源供應器</t>
    </r>
    <r>
      <rPr>
        <sz val="10"/>
        <color rgb="FF000000"/>
        <rFont val="Calibri"/>
        <family val="2"/>
        <scheme val="minor"/>
      </rPr>
      <t>_ DV 12V (</t>
    </r>
    <r>
      <rPr>
        <sz val="10"/>
        <color rgb="FF000000"/>
        <rFont val="Calibri"/>
        <family val="2"/>
        <charset val="136"/>
        <scheme val="minor"/>
      </rPr>
      <t>明緯</t>
    </r>
    <r>
      <rPr>
        <sz val="10"/>
        <color rgb="FF000000"/>
        <rFont val="Calibri"/>
        <family val="2"/>
        <scheme val="minor"/>
      </rPr>
      <t>_</t>
    </r>
    <r>
      <rPr>
        <sz val="10"/>
        <color rgb="FF000000"/>
        <rFont val="Calibri"/>
        <family val="2"/>
        <charset val="136"/>
        <scheme val="minor"/>
      </rPr>
      <t>永鉅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</si>
  <si>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charset val="136"/>
        <scheme val="minor"/>
      </rPr>
      <t>鋁軌擋片</t>
    </r>
  </si>
  <si>
    <r>
      <rPr>
        <sz val="10"/>
        <color rgb="FF000000"/>
        <rFont val="Calibri"/>
        <family val="2"/>
        <charset val="136"/>
        <scheme val="minor"/>
      </rPr>
      <t>江申</t>
    </r>
  </si>
  <si>
    <r>
      <rPr>
        <sz val="10"/>
        <color rgb="FF000000"/>
        <rFont val="Calibri"/>
        <family val="2"/>
        <charset val="136"/>
        <scheme val="minor"/>
      </rPr>
      <t>維修費</t>
    </r>
  </si>
  <si>
    <r>
      <rPr>
        <sz val="10"/>
        <color rgb="FF000000"/>
        <rFont val="Calibri"/>
        <family val="2"/>
        <charset val="136"/>
        <scheme val="minor"/>
      </rPr>
      <t>整合</t>
    </r>
    <r>
      <rPr>
        <sz val="10"/>
        <color rgb="FF000000"/>
        <rFont val="Calibri"/>
        <family val="2"/>
        <scheme val="minor"/>
      </rPr>
      <t xml:space="preserve">/ </t>
    </r>
    <r>
      <rPr>
        <sz val="10"/>
        <color rgb="FF000000"/>
        <rFont val="Calibri"/>
        <family val="2"/>
        <charset val="136"/>
        <scheme val="minor"/>
      </rPr>
      <t>機櫃</t>
    </r>
    <r>
      <rPr>
        <sz val="10"/>
        <color rgb="FF000000"/>
        <rFont val="Calibri"/>
        <family val="2"/>
        <scheme val="minor"/>
      </rPr>
      <t xml:space="preserve"> RA1-41U-900</t>
    </r>
  </si>
  <si>
    <r>
      <rPr>
        <sz val="10"/>
        <color rgb="FF000000"/>
        <rFont val="Calibri"/>
        <family val="2"/>
        <charset val="136"/>
        <scheme val="minor"/>
      </rPr>
      <t>整合</t>
    </r>
    <r>
      <rPr>
        <sz val="10"/>
        <color rgb="FF000000"/>
        <rFont val="Calibri"/>
        <family val="2"/>
        <scheme val="minor"/>
      </rPr>
      <t>/ 2U</t>
    </r>
    <r>
      <rPr>
        <sz val="10"/>
        <color rgb="FF000000"/>
        <rFont val="Calibri"/>
        <family val="2"/>
        <charset val="136"/>
        <scheme val="minor"/>
      </rPr>
      <t>機櫃承板</t>
    </r>
  </si>
  <si>
    <r>
      <rPr>
        <sz val="10"/>
        <color rgb="FF000000"/>
        <rFont val="Calibri"/>
        <family val="2"/>
        <charset val="136"/>
        <scheme val="minor"/>
      </rPr>
      <t>力久</t>
    </r>
    <r>
      <rPr>
        <sz val="10"/>
        <color rgb="FF000000"/>
        <rFont val="Calibri"/>
        <family val="2"/>
        <scheme val="minor"/>
      </rPr>
      <t>/#304</t>
    </r>
    <r>
      <rPr>
        <sz val="10"/>
        <color rgb="FF000000"/>
        <rFont val="Calibri"/>
        <family val="2"/>
        <charset val="136"/>
        <scheme val="minor"/>
      </rPr>
      <t>白鐵屋外金庫型</t>
    </r>
    <r>
      <rPr>
        <sz val="10"/>
        <color rgb="FF000000"/>
        <rFont val="Calibri"/>
        <family val="2"/>
        <scheme val="minor"/>
      </rPr>
      <t>1</t>
    </r>
    <r>
      <rPr>
        <sz val="10"/>
        <color rgb="FF000000"/>
        <rFont val="Calibri"/>
        <family val="2"/>
        <charset val="136"/>
        <scheme val="minor"/>
      </rPr>
      <t>錶</t>
    </r>
    <r>
      <rPr>
        <sz val="10"/>
        <color rgb="FF000000"/>
        <rFont val="Calibri"/>
        <family val="2"/>
        <scheme val="minor"/>
      </rPr>
      <t>(</t>
    </r>
    <r>
      <rPr>
        <sz val="10"/>
        <color rgb="FF000000"/>
        <rFont val="Calibri"/>
        <family val="2"/>
        <charset val="136"/>
        <scheme val="minor"/>
      </rPr>
      <t>視窗在下方</t>
    </r>
    <r>
      <rPr>
        <sz val="10"/>
        <color rgb="FF000000"/>
        <rFont val="Calibri"/>
        <family val="2"/>
        <scheme val="minor"/>
      </rPr>
      <t>)</t>
    </r>
    <r>
      <rPr>
        <sz val="10"/>
        <color rgb="FF000000"/>
        <rFont val="Calibri"/>
        <family val="2"/>
        <charset val="136"/>
        <scheme val="minor"/>
      </rPr>
      <t>附鍍鋅網底</t>
    </r>
    <r>
      <rPr>
        <sz val="10"/>
        <color rgb="FF000000"/>
        <rFont val="Calibri"/>
        <family val="2"/>
        <scheme val="minor"/>
      </rPr>
      <t>1</t>
    </r>
    <r>
      <rPr>
        <sz val="10"/>
        <color rgb="FF000000"/>
        <rFont val="Calibri"/>
        <family val="2"/>
        <charset val="136"/>
        <scheme val="minor"/>
      </rPr>
      <t>片</t>
    </r>
    <r>
      <rPr>
        <sz val="10"/>
        <color rgb="FF000000"/>
        <rFont val="Calibri"/>
        <family val="2"/>
        <scheme val="minor"/>
      </rPr>
      <t>(300*600*250</t>
    </r>
    <r>
      <rPr>
        <sz val="10"/>
        <color rgb="FF000000"/>
        <rFont val="Calibri"/>
        <family val="2"/>
        <charset val="136"/>
        <scheme val="minor"/>
      </rPr>
      <t>直式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</si>
  <si>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charset val="136"/>
        <scheme val="minor"/>
      </rPr>
      <t>凱煬大恭</t>
    </r>
    <r>
      <rPr>
        <sz val="10"/>
        <color rgb="FF000000"/>
        <rFont val="Calibri"/>
        <family val="2"/>
        <scheme val="minor"/>
      </rPr>
      <t>x1</t>
    </r>
  </si>
  <si>
    <r>
      <rPr>
        <sz val="10"/>
        <color rgb="FF000000"/>
        <rFont val="Calibri"/>
        <family val="2"/>
        <charset val="136"/>
        <scheme val="minor"/>
      </rPr>
      <t>數位電表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研華</t>
    </r>
  </si>
  <si>
    <r>
      <rPr>
        <sz val="10"/>
        <color rgb="FF000000"/>
        <rFont val="Calibri"/>
        <family val="2"/>
        <charset val="136"/>
        <scheme val="minor"/>
      </rPr>
      <t>崴康科技</t>
    </r>
  </si>
  <si>
    <r>
      <rPr>
        <sz val="10"/>
        <color rgb="FF000000"/>
        <rFont val="Calibri"/>
        <family val="2"/>
        <charset val="136"/>
        <scheme val="minor"/>
      </rPr>
      <t>接收端</t>
    </r>
    <r>
      <rPr>
        <sz val="10"/>
        <color rgb="FF000000"/>
        <rFont val="Calibri"/>
        <family val="2"/>
        <scheme val="minor"/>
      </rPr>
      <t>(R</t>
    </r>
    <r>
      <rPr>
        <sz val="10"/>
        <color rgb="FF000000"/>
        <rFont val="Calibri"/>
        <family val="2"/>
        <charset val="136"/>
        <scheme val="minor"/>
      </rPr>
      <t>端</t>
    </r>
    <r>
      <rPr>
        <sz val="10"/>
        <color rgb="FF000000"/>
        <rFont val="Calibri"/>
        <family val="2"/>
        <scheme val="minor"/>
      </rPr>
      <t>)-HDMI</t>
    </r>
  </si>
  <si>
    <r>
      <rPr>
        <sz val="10"/>
        <color rgb="FF000000"/>
        <rFont val="Calibri"/>
        <family val="2"/>
        <charset val="136"/>
        <scheme val="minor"/>
      </rPr>
      <t>台北通信隊</t>
    </r>
  </si>
  <si>
    <r>
      <rPr>
        <sz val="10"/>
        <color rgb="FF000000"/>
        <rFont val="Calibri"/>
        <family val="2"/>
        <charset val="136"/>
        <scheme val="minor"/>
      </rPr>
      <t>傳輸端</t>
    </r>
    <r>
      <rPr>
        <sz val="10"/>
        <color rgb="FF000000"/>
        <rFont val="Calibri"/>
        <family val="2"/>
        <scheme val="minor"/>
      </rPr>
      <t>(T</t>
    </r>
    <r>
      <rPr>
        <sz val="10"/>
        <color rgb="FF000000"/>
        <rFont val="Calibri"/>
        <family val="2"/>
        <charset val="136"/>
        <scheme val="minor"/>
      </rPr>
      <t>端</t>
    </r>
    <r>
      <rPr>
        <sz val="10"/>
        <color rgb="FF000000"/>
        <rFont val="Calibri"/>
        <family val="2"/>
        <scheme val="minor"/>
      </rPr>
      <t>)-VGA+USB*2+AUDIO+IRV3.03</t>
    </r>
  </si>
  <si>
    <r>
      <rPr>
        <sz val="10"/>
        <color rgb="FF000000"/>
        <rFont val="Calibri"/>
        <family val="2"/>
        <charset val="136"/>
        <scheme val="minor"/>
      </rPr>
      <t>台北通信隊
海總</t>
    </r>
  </si>
  <si>
    <r>
      <rPr>
        <sz val="10"/>
        <color rgb="FF000000"/>
        <rFont val="Calibri"/>
        <family val="2"/>
        <charset val="136"/>
        <scheme val="minor"/>
      </rPr>
      <t>硬碟</t>
    </r>
    <r>
      <rPr>
        <sz val="10"/>
        <color rgb="FF000000"/>
        <rFont val="Calibri"/>
        <family val="2"/>
        <scheme val="minor"/>
      </rPr>
      <t>4TB HDD</t>
    </r>
  </si>
  <si>
    <r>
      <rPr>
        <sz val="10"/>
        <color rgb="FF000000"/>
        <rFont val="Calibri"/>
        <family val="2"/>
        <charset val="136"/>
        <scheme val="minor"/>
      </rPr>
      <t>市警局</t>
    </r>
  </si>
  <si>
    <r>
      <rPr>
        <sz val="10"/>
        <color rgb="FF000000"/>
        <rFont val="Calibri"/>
        <family val="2"/>
        <charset val="136"/>
        <scheme val="minor"/>
      </rPr>
      <t>鈳恩</t>
    </r>
    <r>
      <rPr>
        <sz val="10"/>
        <color rgb="FF000000"/>
        <rFont val="Calibri"/>
        <family val="2"/>
        <scheme val="minor"/>
      </rPr>
      <t xml:space="preserve">/ </t>
    </r>
    <r>
      <rPr>
        <sz val="10"/>
        <color rgb="FF000000"/>
        <rFont val="Calibri"/>
        <family val="2"/>
        <charset val="136"/>
        <scheme val="minor"/>
      </rPr>
      <t>安裝施工費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大同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南亞新港玻璃纖維</t>
    </r>
    <r>
      <rPr>
        <sz val="10"/>
        <color rgb="FF000000"/>
        <rFont val="Calibri"/>
        <family val="2"/>
        <scheme val="minor"/>
      </rPr>
      <t>1</t>
    </r>
    <r>
      <rPr>
        <sz val="10"/>
        <color rgb="FF000000"/>
        <rFont val="Calibri"/>
        <family val="2"/>
        <charset val="136"/>
        <scheme val="minor"/>
      </rPr>
      <t>廠</t>
    </r>
  </si>
  <si>
    <r>
      <rPr>
        <sz val="10"/>
        <color rgb="FF000000"/>
        <rFont val="Calibri"/>
        <family val="2"/>
        <charset val="136"/>
        <scheme val="minor"/>
      </rPr>
      <t>大同南亞</t>
    </r>
    <r>
      <rPr>
        <sz val="10"/>
        <color rgb="FF000000"/>
        <rFont val="Calibri"/>
        <family val="2"/>
        <scheme val="minor"/>
      </rPr>
      <t>x1</t>
    </r>
  </si>
  <si>
    <r>
      <rPr>
        <sz val="10"/>
        <color rgb="FF000000"/>
        <rFont val="Calibri"/>
        <family val="2"/>
        <charset val="136"/>
        <scheme val="minor"/>
      </rPr>
      <t>宏瑞</t>
    </r>
    <r>
      <rPr>
        <sz val="10"/>
        <color rgb="FF000000"/>
        <rFont val="Calibri"/>
        <family val="2"/>
        <scheme val="minor"/>
      </rPr>
      <t xml:space="preserve">/ </t>
    </r>
    <r>
      <rPr>
        <sz val="10"/>
        <color rgb="FF000000"/>
        <rFont val="Calibri"/>
        <family val="2"/>
        <charset val="136"/>
        <scheme val="minor"/>
      </rPr>
      <t>安裝施工費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凱煬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大恭化學</t>
    </r>
  </si>
  <si>
    <r>
      <rPr>
        <sz val="10"/>
        <color rgb="FF000000"/>
        <rFont val="Calibri"/>
        <family val="2"/>
        <charset val="136"/>
        <scheme val="minor"/>
      </rPr>
      <t>進豐</t>
    </r>
    <r>
      <rPr>
        <sz val="10"/>
        <color rgb="FF000000"/>
        <rFont val="Calibri"/>
        <family val="2"/>
        <scheme val="minor"/>
      </rPr>
      <t xml:space="preserve">/ </t>
    </r>
    <r>
      <rPr>
        <sz val="10"/>
        <color rgb="FF000000"/>
        <rFont val="Calibri"/>
        <family val="2"/>
        <charset val="136"/>
        <scheme val="minor"/>
      </rPr>
      <t>安裝施工費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太創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聯夏食品</t>
    </r>
  </si>
  <si>
    <r>
      <rPr>
        <sz val="10"/>
        <color rgb="FF000000"/>
        <rFont val="Calibri"/>
        <family val="2"/>
        <charset val="136"/>
        <scheme val="minor"/>
      </rPr>
      <t>太創聯夏</t>
    </r>
    <r>
      <rPr>
        <sz val="10"/>
        <color rgb="FF000000"/>
        <rFont val="Calibri"/>
        <family val="2"/>
        <scheme val="minor"/>
      </rPr>
      <t>x1</t>
    </r>
  </si>
  <si>
    <r>
      <rPr>
        <sz val="10"/>
        <color rgb="FF000000"/>
        <rFont val="Calibri"/>
        <family val="2"/>
        <charset val="136"/>
        <scheme val="minor"/>
      </rPr>
      <t>當宏</t>
    </r>
    <r>
      <rPr>
        <sz val="10"/>
        <color rgb="FF000000"/>
        <rFont val="Calibri"/>
        <family val="2"/>
        <scheme val="minor"/>
      </rPr>
      <t xml:space="preserve">/ </t>
    </r>
    <r>
      <rPr>
        <sz val="10"/>
        <color rgb="FF000000"/>
        <rFont val="Calibri"/>
        <family val="2"/>
        <charset val="136"/>
        <scheme val="minor"/>
      </rPr>
      <t>技術顧問費</t>
    </r>
    <r>
      <rPr>
        <sz val="10"/>
        <color rgb="FF000000"/>
        <rFont val="Calibri"/>
        <family val="2"/>
        <scheme val="minor"/>
      </rPr>
      <t xml:space="preserve"> IT202409003-1</t>
    </r>
  </si>
  <si>
    <r>
      <rPr>
        <sz val="10"/>
        <color rgb="FF000000"/>
        <rFont val="Calibri"/>
        <family val="2"/>
        <charset val="136"/>
        <scheme val="minor"/>
      </rPr>
      <t>峰儀</t>
    </r>
  </si>
  <si>
    <r>
      <rPr>
        <sz val="10"/>
        <color rgb="FF000000"/>
        <rFont val="Calibri"/>
        <family val="2"/>
        <charset val="136"/>
        <scheme val="minor"/>
      </rPr>
      <t>奕龍</t>
    </r>
    <r>
      <rPr>
        <sz val="10"/>
        <color rgb="FF000000"/>
        <rFont val="Calibri"/>
        <family val="2"/>
        <scheme val="minor"/>
      </rPr>
      <t xml:space="preserve">/ </t>
    </r>
    <r>
      <rPr>
        <sz val="10"/>
        <color rgb="FF000000"/>
        <rFont val="Calibri"/>
        <family val="2"/>
        <charset val="136"/>
        <scheme val="minor"/>
      </rPr>
      <t>運費</t>
    </r>
    <r>
      <rPr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charset val="136"/>
        <scheme val="minor"/>
      </rPr>
      <t>德盈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彰化台電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</si>
  <si>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x2</t>
    </r>
  </si>
  <si>
    <r>
      <rPr>
        <sz val="10"/>
        <color rgb="FF000000"/>
        <rFont val="Calibri"/>
        <family val="2"/>
        <charset val="136"/>
        <scheme val="minor"/>
      </rPr>
      <t>茂旭</t>
    </r>
    <r>
      <rPr>
        <sz val="10"/>
        <color rgb="FF000000"/>
        <rFont val="Calibri"/>
        <family val="2"/>
        <scheme val="minor"/>
      </rPr>
      <t xml:space="preserve">/ </t>
    </r>
    <r>
      <rPr>
        <sz val="10"/>
        <color rgb="FF000000"/>
        <rFont val="Calibri"/>
        <family val="2"/>
        <charset val="136"/>
        <scheme val="minor"/>
      </rPr>
      <t>運費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嘉澤電子</t>
    </r>
  </si>
  <si>
    <r>
      <rPr>
        <sz val="10"/>
        <color rgb="FF000000"/>
        <rFont val="Calibri"/>
        <family val="2"/>
        <charset val="136"/>
        <scheme val="minor"/>
      </rPr>
      <t>嘉澤</t>
    </r>
    <r>
      <rPr>
        <sz val="10"/>
        <color rgb="FF000000"/>
        <rFont val="Calibri"/>
        <family val="2"/>
        <scheme val="minor"/>
      </rPr>
      <t>X2</t>
    </r>
  </si>
  <si>
    <r>
      <rPr>
        <sz val="10"/>
        <color rgb="FF000000"/>
        <rFont val="Calibri"/>
        <family val="2"/>
        <scheme val="minor"/>
      </rPr>
      <t>1U</t>
    </r>
    <r>
      <rPr>
        <sz val="10"/>
        <color rgb="FF000000"/>
        <rFont val="Calibri"/>
        <family val="2"/>
        <charset val="136"/>
        <scheme val="minor"/>
      </rPr>
      <t>橫向</t>
    </r>
    <r>
      <rPr>
        <sz val="10"/>
        <color rgb="FF000000"/>
        <rFont val="Calibri"/>
        <family val="2"/>
        <scheme val="minor"/>
      </rPr>
      <t>3*8</t>
    </r>
    <r>
      <rPr>
        <sz val="10"/>
        <color rgb="FF000000"/>
        <rFont val="Calibri"/>
        <family val="2"/>
        <charset val="136"/>
        <scheme val="minor"/>
      </rPr>
      <t>只式電源組</t>
    </r>
    <r>
      <rPr>
        <sz val="10"/>
        <color rgb="FF000000"/>
        <rFont val="Calibri"/>
        <family val="2"/>
        <scheme val="minor"/>
      </rPr>
      <t>20A</t>
    </r>
  </si>
  <si>
    <r>
      <rPr>
        <sz val="10"/>
        <color rgb="FF000000"/>
        <rFont val="Calibri"/>
        <family val="2"/>
        <charset val="136"/>
        <scheme val="minor"/>
      </rPr>
      <t>驊宏</t>
    </r>
  </si>
  <si>
    <r>
      <rPr>
        <sz val="10"/>
        <color rgb="FF000000"/>
        <rFont val="Calibri"/>
        <family val="2"/>
        <charset val="136"/>
        <scheme val="minor"/>
      </rPr>
      <t>陰極鎖</t>
    </r>
    <r>
      <rPr>
        <sz val="10"/>
        <color rgb="FF000000"/>
        <rFont val="Calibri"/>
        <family val="2"/>
        <scheme val="minor"/>
      </rPr>
      <t>(</t>
    </r>
    <r>
      <rPr>
        <sz val="10"/>
        <color rgb="FF000000"/>
        <rFont val="Calibri"/>
        <family val="2"/>
        <charset val="136"/>
        <scheme val="minor"/>
      </rPr>
      <t>自動復位功能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</si>
  <si>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charset val="136"/>
        <scheme val="minor"/>
      </rPr>
      <t>中科院</t>
    </r>
  </si>
  <si>
    <r>
      <rPr>
        <sz val="10"/>
        <color rgb="FF000000"/>
        <rFont val="Calibri"/>
        <family val="2"/>
        <charset val="136"/>
        <scheme val="minor"/>
      </rPr>
      <t>電源供應器</t>
    </r>
    <r>
      <rPr>
        <sz val="10"/>
        <color rgb="FF000000"/>
        <rFont val="Calibri"/>
        <family val="2"/>
        <scheme val="minor"/>
      </rPr>
      <t>100W-</t>
    </r>
    <r>
      <rPr>
        <sz val="10"/>
        <color rgb="FF000000"/>
        <rFont val="Calibri"/>
        <family val="2"/>
        <charset val="136"/>
        <scheme val="minor"/>
      </rPr>
      <t>鋁軌式</t>
    </r>
  </si>
  <si>
    <r>
      <rPr>
        <sz val="10"/>
        <color rgb="FF000000"/>
        <rFont val="Calibri"/>
        <family val="2"/>
        <scheme val="minor"/>
      </rPr>
      <t>485</t>
    </r>
    <r>
      <rPr>
        <sz val="10"/>
        <color rgb="FF000000"/>
        <rFont val="Calibri"/>
        <family val="2"/>
        <charset val="136"/>
        <scheme val="minor"/>
      </rPr>
      <t>轉</t>
    </r>
    <r>
      <rPr>
        <sz val="10"/>
        <color rgb="FF000000"/>
        <rFont val="Calibri"/>
        <family val="2"/>
        <scheme val="minor"/>
      </rPr>
      <t>TCP</t>
    </r>
    <r>
      <rPr>
        <sz val="10"/>
        <color rgb="FF000000"/>
        <rFont val="Calibri"/>
        <family val="2"/>
        <charset val="136"/>
        <scheme val="minor"/>
      </rPr>
      <t>工業網路轉換器</t>
    </r>
  </si>
  <si>
    <r>
      <rPr>
        <sz val="10"/>
        <color rgb="FF000000"/>
        <rFont val="Calibri"/>
        <family val="2"/>
        <charset val="136"/>
        <scheme val="minor"/>
      </rPr>
      <t>屏東酒廠
慶聯</t>
    </r>
  </si>
  <si>
    <r>
      <rPr>
        <sz val="10"/>
        <color rgb="FF000000"/>
        <rFont val="Calibri"/>
        <family val="2"/>
        <charset val="136"/>
        <scheme val="minor"/>
      </rPr>
      <t>郵局</t>
    </r>
  </si>
  <si>
    <r>
      <rPr>
        <sz val="10"/>
        <color rgb="FF000000"/>
        <rFont val="Calibri"/>
        <family val="2"/>
        <charset val="136"/>
        <scheme val="minor"/>
      </rPr>
      <t>環境自動化控制平套插母</t>
    </r>
  </si>
  <si>
    <r>
      <rPr>
        <sz val="10"/>
        <color rgb="FF000000"/>
        <rFont val="Calibri"/>
        <family val="2"/>
        <charset val="136"/>
        <scheme val="minor"/>
      </rPr>
      <t>電源供應器</t>
    </r>
    <r>
      <rPr>
        <sz val="10"/>
        <color rgb="FF000000"/>
        <rFont val="Calibri"/>
        <family val="2"/>
        <scheme val="minor"/>
      </rPr>
      <t>PHS-35-24</t>
    </r>
  </si>
  <si>
    <r>
      <rPr>
        <sz val="10"/>
        <color rgb="FF000000"/>
        <rFont val="Calibri"/>
        <family val="2"/>
        <charset val="136"/>
        <scheme val="minor"/>
      </rPr>
      <t>正文</t>
    </r>
    <r>
      <rPr>
        <sz val="10"/>
        <color rgb="FF000000"/>
        <rFont val="Calibri"/>
        <family val="2"/>
        <scheme val="minor"/>
      </rPr>
      <t>x13</t>
    </r>
  </si>
  <si>
    <r>
      <rPr>
        <sz val="10"/>
        <color rgb="FF000000"/>
        <rFont val="Calibri"/>
        <family val="2"/>
        <charset val="136"/>
        <scheme val="minor"/>
      </rPr>
      <t>繼電器座</t>
    </r>
  </si>
  <si>
    <r>
      <rPr>
        <sz val="10"/>
        <color rgb="FF000000"/>
        <rFont val="Calibri"/>
        <family val="2"/>
        <charset val="136"/>
        <scheme val="minor"/>
      </rPr>
      <t>門禁讀卡機</t>
    </r>
    <r>
      <rPr>
        <sz val="10"/>
        <color rgb="FF000000"/>
        <rFont val="Calibri"/>
        <family val="2"/>
        <scheme val="minor"/>
      </rPr>
      <t>(</t>
    </r>
    <r>
      <rPr>
        <sz val="10"/>
        <color rgb="FF000000"/>
        <rFont val="Calibri"/>
        <family val="2"/>
        <charset val="136"/>
        <scheme val="minor"/>
      </rPr>
      <t>按鍵</t>
    </r>
    <r>
      <rPr>
        <sz val="10"/>
        <color rgb="FF000000"/>
        <rFont val="Calibri"/>
        <family val="2"/>
        <scheme val="minor"/>
      </rPr>
      <t>)</t>
    </r>
    <r>
      <rPr>
        <sz val="10"/>
        <color rgb="FF000000"/>
        <rFont val="Calibri"/>
        <family val="2"/>
        <charset val="136"/>
        <scheme val="minor"/>
      </rPr>
      <t>漢軍</t>
    </r>
  </si>
  <si>
    <r>
      <rPr>
        <sz val="10"/>
        <color rgb="FF000000"/>
        <rFont val="Calibri"/>
        <family val="2"/>
        <charset val="136"/>
        <scheme val="minor"/>
      </rPr>
      <t>按鈕開關</t>
    </r>
    <r>
      <rPr>
        <sz val="10"/>
        <color rgb="FF000000"/>
        <rFont val="Calibri"/>
        <family val="2"/>
        <scheme val="minor"/>
      </rPr>
      <t>(</t>
    </r>
    <r>
      <rPr>
        <sz val="10"/>
        <color rgb="FF000000"/>
        <rFont val="Calibri"/>
        <family val="2"/>
        <charset val="136"/>
        <scheme val="minor"/>
      </rPr>
      <t>綠色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</si>
  <si>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charset val="136"/>
        <scheme val="minor"/>
      </rPr>
      <t>按鈕開關</t>
    </r>
    <r>
      <rPr>
        <sz val="10"/>
        <color rgb="FF000000"/>
        <rFont val="Calibri"/>
        <family val="2"/>
        <scheme val="minor"/>
      </rPr>
      <t>(</t>
    </r>
    <r>
      <rPr>
        <sz val="10"/>
        <color rgb="FF000000"/>
        <rFont val="Calibri"/>
        <family val="2"/>
        <charset val="136"/>
        <scheme val="minor"/>
      </rPr>
      <t>紅色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</si>
  <si>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scheme val="minor"/>
      </rPr>
      <t>R410A_</t>
    </r>
    <r>
      <rPr>
        <sz val="10"/>
        <color rgb="FF000000"/>
        <rFont val="Calibri"/>
        <family val="2"/>
        <charset val="136"/>
        <scheme val="minor"/>
      </rPr>
      <t>空調設備</t>
    </r>
  </si>
  <si>
    <r>
      <rPr>
        <sz val="10"/>
        <color rgb="FF000000"/>
        <rFont val="Calibri"/>
        <family val="2"/>
        <scheme val="minor"/>
      </rPr>
      <t xml:space="preserve">RAM-155JKQB </t>
    </r>
    <r>
      <rPr>
        <sz val="10"/>
        <color rgb="FF000000"/>
        <rFont val="Calibri"/>
        <family val="2"/>
        <charset val="136"/>
        <scheme val="minor"/>
      </rPr>
      <t>空調設備</t>
    </r>
  </si>
  <si>
    <r>
      <rPr>
        <sz val="10"/>
        <color rgb="FF000000"/>
        <rFont val="Calibri"/>
        <family val="2"/>
        <scheme val="minor"/>
      </rPr>
      <t xml:space="preserve">RAS-110NX1 </t>
    </r>
    <r>
      <rPr>
        <sz val="10"/>
        <color rgb="FF000000"/>
        <rFont val="Calibri"/>
        <family val="2"/>
        <charset val="136"/>
        <scheme val="minor"/>
      </rPr>
      <t>空調機器設備</t>
    </r>
  </si>
  <si>
    <r>
      <rPr>
        <sz val="10"/>
        <color rgb="FF000000"/>
        <rFont val="Calibri"/>
        <family val="2"/>
        <charset val="136"/>
        <scheme val="minor"/>
      </rPr>
      <t>繼電器</t>
    </r>
  </si>
  <si>
    <r>
      <rPr>
        <sz val="10"/>
        <color rgb="FF000000"/>
        <rFont val="Calibri"/>
        <family val="2"/>
        <charset val="136"/>
        <scheme val="minor"/>
      </rPr>
      <t>長榮</t>
    </r>
    <r>
      <rPr>
        <sz val="10"/>
        <color rgb="FF000000"/>
        <rFont val="Calibri"/>
        <family val="2"/>
        <scheme val="minor"/>
      </rPr>
      <t>X10</t>
    </r>
  </si>
  <si>
    <r>
      <rPr>
        <sz val="10"/>
        <color rgb="FF000000"/>
        <rFont val="Calibri"/>
        <family val="2"/>
        <scheme val="minor"/>
      </rPr>
      <t>NES-100-24(24V4.5A 100W)</t>
    </r>
    <r>
      <rPr>
        <sz val="10"/>
        <color rgb="FF000000"/>
        <rFont val="Calibri"/>
        <family val="2"/>
        <charset val="136"/>
        <scheme val="minor"/>
      </rPr>
      <t>單電源</t>
    </r>
    <r>
      <rPr>
        <sz val="10"/>
        <color rgb="FF000000"/>
        <rFont val="Calibri"/>
        <family val="2"/>
        <scheme val="minor"/>
      </rPr>
      <t>/</t>
    </r>
    <r>
      <rPr>
        <sz val="10"/>
        <color rgb="FF000000"/>
        <rFont val="Calibri"/>
        <family val="2"/>
        <charset val="136"/>
        <scheme val="minor"/>
      </rPr>
      <t>電源供應器</t>
    </r>
  </si>
  <si>
    <r>
      <rPr>
        <sz val="10"/>
        <color rgb="FF000000"/>
        <rFont val="Calibri"/>
        <family val="2"/>
        <charset val="136"/>
        <scheme val="minor"/>
      </rPr>
      <t>龍光</t>
    </r>
    <r>
      <rPr>
        <sz val="10"/>
        <color rgb="FF000000"/>
        <rFont val="Calibri"/>
        <family val="2"/>
        <scheme val="minor"/>
      </rPr>
      <t xml:space="preserve">/ </t>
    </r>
    <r>
      <rPr>
        <sz val="10"/>
        <color rgb="FF000000"/>
        <rFont val="Calibri"/>
        <family val="2"/>
        <charset val="136"/>
        <scheme val="minor"/>
      </rPr>
      <t>磁簧開關</t>
    </r>
    <r>
      <rPr>
        <sz val="10"/>
        <color rgb="FF000000"/>
        <rFont val="Calibri"/>
        <family val="2"/>
        <scheme val="minor"/>
      </rPr>
      <t xml:space="preserve"> LK-155</t>
    </r>
  </si>
  <si>
    <r>
      <rPr>
        <sz val="10"/>
        <color rgb="FF000000"/>
        <rFont val="Calibri"/>
        <family val="2"/>
        <charset val="136"/>
        <scheme val="minor"/>
      </rPr>
      <t>宏瑞</t>
    </r>
    <r>
      <rPr>
        <sz val="10"/>
        <color rgb="FF000000"/>
        <rFont val="Calibri"/>
        <family val="2"/>
        <scheme val="minor"/>
      </rPr>
      <t xml:space="preserve">/ 400A /5A </t>
    </r>
    <r>
      <rPr>
        <sz val="10"/>
        <color rgb="FF000000"/>
        <rFont val="Calibri"/>
        <family val="2"/>
        <charset val="136"/>
        <scheme val="minor"/>
      </rPr>
      <t>可扣式</t>
    </r>
    <r>
      <rPr>
        <sz val="10"/>
        <color rgb="FF000000"/>
        <rFont val="Calibri"/>
        <family val="2"/>
        <scheme val="minor"/>
      </rPr>
      <t>CT</t>
    </r>
  </si>
  <si>
    <r>
      <rPr>
        <sz val="10"/>
        <color rgb="FF000000"/>
        <rFont val="Calibri"/>
        <family val="2"/>
        <charset val="136"/>
        <scheme val="minor"/>
      </rPr>
      <t>凱煬大恭</t>
    </r>
    <r>
      <rPr>
        <sz val="10"/>
        <color rgb="FF000000"/>
        <rFont val="Calibri"/>
        <family val="2"/>
        <scheme val="minor"/>
      </rPr>
      <t>x3</t>
    </r>
  </si>
  <si>
    <r>
      <rPr>
        <sz val="10"/>
        <color rgb="FF000000"/>
        <rFont val="Calibri"/>
        <family val="2"/>
        <charset val="136"/>
        <scheme val="minor"/>
      </rPr>
      <t>永嘉</t>
    </r>
    <r>
      <rPr>
        <sz val="10"/>
        <color rgb="FF000000"/>
        <rFont val="Calibri"/>
        <family val="2"/>
        <scheme val="minor"/>
      </rPr>
      <t xml:space="preserve">/ </t>
    </r>
    <r>
      <rPr>
        <sz val="10"/>
        <color rgb="FF000000"/>
        <rFont val="Calibri"/>
        <family val="2"/>
        <charset val="136"/>
        <scheme val="minor"/>
      </rPr>
      <t>沉水式液位傳訊器</t>
    </r>
    <r>
      <rPr>
        <sz val="10"/>
        <color rgb="FF000000"/>
        <rFont val="Calibri"/>
        <family val="2"/>
        <scheme val="minor"/>
      </rPr>
      <t xml:space="preserve"> TCS5600-10</t>
    </r>
  </si>
  <si>
    <r>
      <rPr>
        <sz val="10"/>
        <color rgb="FF000000"/>
        <rFont val="Calibri"/>
        <family val="2"/>
        <charset val="136"/>
        <scheme val="minor"/>
      </rPr>
      <t>晨陽</t>
    </r>
    <r>
      <rPr>
        <sz val="10"/>
        <color rgb="FF000000"/>
        <rFont val="Calibri"/>
        <family val="2"/>
        <scheme val="minor"/>
      </rPr>
      <t>x10</t>
    </r>
  </si>
  <si>
    <r>
      <rPr>
        <sz val="10"/>
        <color rgb="FF000000"/>
        <rFont val="Calibri"/>
        <family val="2"/>
        <charset val="136"/>
        <scheme val="minor"/>
      </rPr>
      <t>研華</t>
    </r>
    <r>
      <rPr>
        <sz val="10"/>
        <color rgb="FF000000"/>
        <rFont val="Calibri"/>
        <family val="2"/>
        <scheme val="minor"/>
      </rPr>
      <t xml:space="preserve">/ </t>
    </r>
    <r>
      <rPr>
        <sz val="10"/>
        <color rgb="FF000000"/>
        <rFont val="Calibri"/>
        <family val="2"/>
        <charset val="136"/>
        <scheme val="minor"/>
      </rPr>
      <t>數位</t>
    </r>
    <r>
      <rPr>
        <sz val="10"/>
        <color rgb="FF000000"/>
        <rFont val="Calibri"/>
        <family val="2"/>
        <scheme val="minor"/>
      </rPr>
      <t xml:space="preserve"> I/O </t>
    </r>
    <r>
      <rPr>
        <sz val="10"/>
        <color rgb="FF000000"/>
        <rFont val="Calibri"/>
        <family val="2"/>
        <charset val="136"/>
        <scheme val="minor"/>
      </rPr>
      <t>控制模組</t>
    </r>
    <r>
      <rPr>
        <sz val="10"/>
        <color rgb="FF000000"/>
        <rFont val="Calibri"/>
        <family val="2"/>
        <scheme val="minor"/>
      </rPr>
      <t xml:space="preserve"> ADVANTECH/ADAM-3617-AE</t>
    </r>
  </si>
  <si>
    <r>
      <rPr>
        <sz val="10"/>
        <color rgb="FF000000"/>
        <rFont val="Calibri"/>
        <family val="2"/>
        <charset val="136"/>
        <scheme val="minor"/>
      </rPr>
      <t>晨陽</t>
    </r>
    <r>
      <rPr>
        <sz val="10"/>
        <color rgb="FF000000"/>
        <rFont val="Calibri"/>
        <family val="2"/>
        <scheme val="minor"/>
      </rPr>
      <t>x3</t>
    </r>
  </si>
  <si>
    <r>
      <rPr>
        <sz val="10"/>
        <color rgb="FF000000"/>
        <rFont val="Calibri"/>
        <family val="2"/>
        <charset val="136"/>
        <scheme val="minor"/>
      </rPr>
      <t>研華</t>
    </r>
    <r>
      <rPr>
        <sz val="10"/>
        <color rgb="FF000000"/>
        <rFont val="Calibri"/>
        <family val="2"/>
        <scheme val="minor"/>
      </rPr>
      <t xml:space="preserve"> / I/O EXTENDSION 8-CH DI MODULE ADVANTECH</t>
    </r>
  </si>
  <si>
    <r>
      <rPr>
        <sz val="10"/>
        <color rgb="FF000000"/>
        <rFont val="Calibri"/>
        <family val="2"/>
        <charset val="136"/>
        <scheme val="minor"/>
      </rPr>
      <t>研華</t>
    </r>
    <r>
      <rPr>
        <sz val="10"/>
        <color rgb="FF000000"/>
        <rFont val="Calibri"/>
        <family val="2"/>
        <scheme val="minor"/>
      </rPr>
      <t xml:space="preserve"> / I/O EXTENSION 8-CH DO MODULE ADVANTECH</t>
    </r>
  </si>
  <si>
    <r>
      <rPr>
        <sz val="10"/>
        <color rgb="FF000000"/>
        <rFont val="Calibri"/>
        <family val="2"/>
        <charset val="136"/>
        <scheme val="minor"/>
      </rPr>
      <t>研華</t>
    </r>
    <r>
      <rPr>
        <sz val="10"/>
        <color rgb="FF000000"/>
        <rFont val="Calibri"/>
        <family val="2"/>
        <scheme val="minor"/>
      </rPr>
      <t>/CIRCUIT MODULE 16-CH ISOLATED DI MODUKE W/ LED &amp; MODBUS</t>
    </r>
  </si>
  <si>
    <r>
      <rPr>
        <sz val="10"/>
        <color rgb="FF000000"/>
        <rFont val="Calibri"/>
        <family val="2"/>
        <scheme val="minor"/>
      </rPr>
      <t>12V/3A 35W</t>
    </r>
    <r>
      <rPr>
        <sz val="10"/>
        <color rgb="FF000000"/>
        <rFont val="Calibri"/>
        <family val="2"/>
        <charset val="136"/>
        <scheme val="minor"/>
      </rPr>
      <t>單電源</t>
    </r>
  </si>
  <si>
    <r>
      <rPr>
        <sz val="10"/>
        <color rgb="FF000000"/>
        <rFont val="Calibri"/>
        <family val="2"/>
        <charset val="136"/>
        <scheme val="minor"/>
      </rPr>
      <t>壁掛式溫濕度傳送器</t>
    </r>
  </si>
  <si>
    <r>
      <rPr>
        <sz val="10"/>
        <color rgb="FF000000"/>
        <rFont val="Calibri"/>
        <family val="2"/>
        <charset val="136"/>
        <scheme val="minor"/>
      </rPr>
      <t>陽極鎖</t>
    </r>
    <r>
      <rPr>
        <sz val="10"/>
        <color rgb="FF000000"/>
        <rFont val="Calibri"/>
        <family val="2"/>
        <scheme val="minor"/>
      </rPr>
      <t>-DA-L62</t>
    </r>
    <r>
      <rPr>
        <sz val="10"/>
        <color rgb="FF000000"/>
        <rFont val="Calibri"/>
        <family val="2"/>
        <charset val="136"/>
        <scheme val="minor"/>
      </rPr>
      <t>磁簧式陽極鎖</t>
    </r>
  </si>
  <si>
    <r>
      <rPr>
        <sz val="10"/>
        <color rgb="FF000000"/>
        <rFont val="Calibri"/>
        <family val="2"/>
        <charset val="136"/>
        <scheme val="minor"/>
      </rPr>
      <t>端子台</t>
    </r>
    <r>
      <rPr>
        <sz val="10"/>
        <color rgb="FF000000"/>
        <rFont val="Calibri"/>
        <family val="2"/>
        <scheme val="minor"/>
      </rPr>
      <t>SHINING TR-10(</t>
    </r>
    <r>
      <rPr>
        <sz val="10"/>
        <color rgb="FF000000"/>
        <rFont val="Calibri"/>
        <family val="2"/>
        <charset val="136"/>
        <scheme val="minor"/>
      </rPr>
      <t>含短路片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</si>
  <si>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charset val="136"/>
        <scheme val="minor"/>
      </rPr>
      <t>電磁流量計</t>
    </r>
  </si>
  <si>
    <r>
      <rPr>
        <sz val="10"/>
        <color rgb="FF000000"/>
        <rFont val="Calibri"/>
        <family val="2"/>
        <charset val="136"/>
        <scheme val="minor"/>
      </rPr>
      <t>緯創</t>
    </r>
    <r>
      <rPr>
        <sz val="10"/>
        <color rgb="FF000000"/>
        <rFont val="Calibri"/>
        <family val="2"/>
        <scheme val="minor"/>
      </rPr>
      <t>x1</t>
    </r>
  </si>
  <si>
    <r>
      <rPr>
        <sz val="10"/>
        <color rgb="FF000000"/>
        <rFont val="Calibri"/>
        <family val="2"/>
        <scheme val="minor"/>
      </rPr>
      <t>SNT-8D0120TF_</t>
    </r>
    <r>
      <rPr>
        <sz val="10"/>
        <color rgb="FF000000"/>
        <rFont val="Calibri"/>
        <family val="2"/>
        <charset val="136"/>
        <scheme val="minor"/>
      </rPr>
      <t>攝影機</t>
    </r>
    <r>
      <rPr>
        <sz val="10"/>
        <color rgb="FF000000"/>
        <rFont val="Calibri"/>
        <family val="2"/>
        <scheme val="minor"/>
      </rPr>
      <t>(</t>
    </r>
    <r>
      <rPr>
        <sz val="10"/>
        <color rgb="FF000000"/>
        <rFont val="Calibri"/>
        <family val="2"/>
        <charset val="136"/>
        <scheme val="minor"/>
      </rPr>
      <t>禾企電子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</si>
  <si>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charset val="136"/>
        <scheme val="minor"/>
      </rPr>
      <t>陸軍後勤</t>
    </r>
  </si>
  <si>
    <r>
      <rPr>
        <sz val="10"/>
        <color rgb="FF000000"/>
        <rFont val="Calibri"/>
        <family val="2"/>
        <scheme val="minor"/>
      </rPr>
      <t>1/3"SONY NTSC,420tvl,6mm DC 12V</t>
    </r>
    <r>
      <rPr>
        <sz val="10"/>
        <color rgb="FF000000"/>
        <rFont val="Calibri"/>
        <family val="2"/>
        <charset val="136"/>
        <scheme val="minor"/>
      </rPr>
      <t>紅外線攝影機</t>
    </r>
  </si>
  <si>
    <r>
      <rPr>
        <sz val="10"/>
        <color rgb="FF000000"/>
        <rFont val="Calibri"/>
        <family val="2"/>
        <scheme val="minor"/>
      </rPr>
      <t>Soyal 727CM-V2 TCP/IP</t>
    </r>
    <r>
      <rPr>
        <sz val="10"/>
        <color rgb="FF000000"/>
        <rFont val="Calibri"/>
        <family val="2"/>
        <charset val="136"/>
        <scheme val="minor"/>
      </rPr>
      <t>轉換器</t>
    </r>
  </si>
  <si>
    <r>
      <rPr>
        <sz val="10"/>
        <color rgb="FF000000"/>
        <rFont val="Calibri"/>
        <family val="2"/>
        <scheme val="minor"/>
      </rPr>
      <t>Mifare-Reader/Writer USB (</t>
    </r>
    <r>
      <rPr>
        <sz val="10"/>
        <color rgb="FF000000"/>
        <rFont val="Calibri"/>
        <family val="2"/>
        <charset val="136"/>
        <scheme val="minor"/>
      </rPr>
      <t>含寫入軟體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</si>
  <si>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scheme val="minor"/>
      </rPr>
      <t>AR-829E 13.56MHz RS-485</t>
    </r>
    <r>
      <rPr>
        <sz val="10"/>
        <color rgb="FF000000"/>
        <rFont val="Calibri"/>
        <family val="2"/>
        <charset val="136"/>
        <scheme val="minor"/>
      </rPr>
      <t>門禁卡鐘</t>
    </r>
  </si>
  <si>
    <r>
      <rPr>
        <sz val="10"/>
        <color rgb="FF000000"/>
        <rFont val="Calibri"/>
        <family val="2"/>
        <charset val="136"/>
        <scheme val="minor"/>
      </rPr>
      <t>陰極鎖</t>
    </r>
  </si>
  <si>
    <r>
      <rPr>
        <sz val="10"/>
        <color rgb="FF000000"/>
        <rFont val="Calibri"/>
        <family val="2"/>
        <charset val="136"/>
        <scheme val="minor"/>
      </rPr>
      <t>壓條</t>
    </r>
  </si>
  <si>
    <r>
      <rPr>
        <sz val="10"/>
        <color rgb="FF000000"/>
        <rFont val="Calibri"/>
        <family val="2"/>
        <charset val="136"/>
        <scheme val="minor"/>
      </rPr>
      <t>中嘉</t>
    </r>
  </si>
  <si>
    <r>
      <rPr>
        <sz val="10"/>
        <color rgb="FF000000"/>
        <rFont val="Calibri"/>
        <family val="2"/>
        <charset val="136"/>
        <scheme val="minor"/>
      </rPr>
      <t>電料</t>
    </r>
  </si>
  <si>
    <r>
      <rPr>
        <sz val="10"/>
        <color rgb="FF000000"/>
        <rFont val="Calibri"/>
        <family val="2"/>
        <charset val="136"/>
        <scheme val="minor"/>
      </rPr>
      <t>橡膠插頭</t>
    </r>
    <r>
      <rPr>
        <sz val="10"/>
        <color rgb="FF000000"/>
        <rFont val="Calibri"/>
        <family val="2"/>
        <scheme val="minor"/>
      </rPr>
      <t>15A/125V</t>
    </r>
  </si>
  <si>
    <r>
      <rPr>
        <sz val="10"/>
        <color rgb="FF000000"/>
        <rFont val="Calibri"/>
        <family val="2"/>
        <charset val="136"/>
        <scheme val="minor"/>
      </rPr>
      <t>比流器</t>
    </r>
    <r>
      <rPr>
        <sz val="10"/>
        <color rgb="FF000000"/>
        <rFont val="Calibri"/>
        <family val="2"/>
        <scheme val="minor"/>
      </rPr>
      <t>150</t>
    </r>
    <r>
      <rPr>
        <sz val="10"/>
        <color rgb="FF000000"/>
        <rFont val="Calibri"/>
        <family val="2"/>
        <charset val="136"/>
        <scheme val="minor"/>
      </rPr>
      <t>安培</t>
    </r>
  </si>
  <si>
    <r>
      <rPr>
        <sz val="10"/>
        <color rgb="FF000000"/>
        <rFont val="Calibri"/>
        <family val="2"/>
        <charset val="136"/>
        <scheme val="minor"/>
      </rPr>
      <t>五金材料</t>
    </r>
  </si>
  <si>
    <r>
      <rPr>
        <sz val="10"/>
        <color rgb="FF000000"/>
        <rFont val="Calibri"/>
        <family val="2"/>
        <scheme val="minor"/>
      </rPr>
      <t>24V</t>
    </r>
    <r>
      <rPr>
        <sz val="10"/>
        <color rgb="FF000000"/>
        <rFont val="Calibri"/>
        <family val="2"/>
        <charset val="136"/>
        <scheme val="minor"/>
      </rPr>
      <t>繼電器座</t>
    </r>
    <r>
      <rPr>
        <sz val="10"/>
        <color rgb="FF000000"/>
        <rFont val="Calibri"/>
        <family val="2"/>
        <scheme val="minor"/>
      </rPr>
      <t>(Relay)</t>
    </r>
  </si>
  <si>
    <r>
      <rPr>
        <sz val="10"/>
        <color rgb="FF000000"/>
        <rFont val="Calibri"/>
        <family val="2"/>
        <scheme val="minor"/>
      </rPr>
      <t>24V</t>
    </r>
    <r>
      <rPr>
        <sz val="10"/>
        <color rgb="FF000000"/>
        <rFont val="Calibri"/>
        <family val="2"/>
        <charset val="136"/>
        <scheme val="minor"/>
      </rPr>
      <t>焊接式繼電器</t>
    </r>
    <r>
      <rPr>
        <sz val="10"/>
        <color rgb="FF000000"/>
        <rFont val="Calibri"/>
        <family val="2"/>
        <scheme val="minor"/>
      </rPr>
      <t>(Relay)</t>
    </r>
  </si>
  <si>
    <r>
      <rPr>
        <sz val="10"/>
        <color rgb="FF000000"/>
        <rFont val="Calibri"/>
        <family val="2"/>
        <scheme val="minor"/>
      </rPr>
      <t>Y</t>
    </r>
    <r>
      <rPr>
        <sz val="10"/>
        <color rgb="FF000000"/>
        <rFont val="Calibri"/>
        <family val="2"/>
        <charset val="136"/>
        <scheme val="minor"/>
      </rPr>
      <t>型絕緣端子</t>
    </r>
    <r>
      <rPr>
        <sz val="10"/>
        <color rgb="FF000000"/>
        <rFont val="Calibri"/>
        <family val="2"/>
        <scheme val="minor"/>
      </rPr>
      <t>1.25 3S</t>
    </r>
  </si>
  <si>
    <r>
      <rPr>
        <sz val="10"/>
        <color rgb="FF000000"/>
        <rFont val="Calibri"/>
        <family val="2"/>
        <charset val="136"/>
        <scheme val="minor"/>
      </rPr>
      <t>集合式電錶配件</t>
    </r>
  </si>
  <si>
    <r>
      <rPr>
        <sz val="10"/>
        <color rgb="FF000000"/>
        <rFont val="Calibri"/>
        <family val="2"/>
        <charset val="136"/>
        <scheme val="minor"/>
      </rPr>
      <t>壁掛型溫溼度傳送器</t>
    </r>
  </si>
  <si>
    <r>
      <rPr>
        <sz val="10"/>
        <color rgb="FF000000"/>
        <rFont val="Calibri"/>
        <family val="2"/>
        <scheme val="minor"/>
      </rPr>
      <t>3</t>
    </r>
    <r>
      <rPr>
        <sz val="10"/>
        <color rgb="FF000000"/>
        <rFont val="Calibri"/>
        <family val="2"/>
        <charset val="136"/>
        <scheme val="minor"/>
      </rPr>
      <t>公分玻璃保險絲</t>
    </r>
    <r>
      <rPr>
        <sz val="10"/>
        <color rgb="FF000000"/>
        <rFont val="Calibri"/>
        <family val="2"/>
        <scheme val="minor"/>
      </rPr>
      <t>10A   TJMC-10A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</si>
  <si>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x40</t>
    </r>
  </si>
  <si>
    <r>
      <rPr>
        <sz val="10"/>
        <color rgb="FF000000"/>
        <rFont val="Calibri"/>
        <family val="2"/>
        <scheme val="minor"/>
      </rPr>
      <t>3</t>
    </r>
    <r>
      <rPr>
        <sz val="10"/>
        <color rgb="FF000000"/>
        <rFont val="Calibri"/>
        <family val="2"/>
        <charset val="136"/>
        <scheme val="minor"/>
      </rPr>
      <t>公分玻璃保險絲</t>
    </r>
    <r>
      <rPr>
        <sz val="10"/>
        <color rgb="FF000000"/>
        <rFont val="Calibri"/>
        <family val="2"/>
        <scheme val="minor"/>
      </rPr>
      <t>1A  TJMA-1A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</si>
  <si>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x150</t>
    </r>
  </si>
  <si>
    <r>
      <rPr>
        <sz val="10"/>
        <color rgb="FF000000"/>
        <rFont val="Calibri"/>
        <family val="2"/>
        <scheme val="minor"/>
      </rPr>
      <t>3</t>
    </r>
    <r>
      <rPr>
        <sz val="10"/>
        <color rgb="FF000000"/>
        <rFont val="Calibri"/>
        <family val="2"/>
        <charset val="136"/>
        <scheme val="minor"/>
      </rPr>
      <t>公分玻璃保險絲</t>
    </r>
    <r>
      <rPr>
        <sz val="10"/>
        <color rgb="FF000000"/>
        <rFont val="Calibri"/>
        <family val="2"/>
        <scheme val="minor"/>
      </rPr>
      <t>6A  TJMC-6A</t>
    </r>
  </si>
  <si>
    <r>
      <rPr>
        <sz val="10"/>
        <color rgb="FF000000"/>
        <rFont val="Calibri"/>
        <family val="2"/>
        <charset val="136"/>
        <scheme val="minor"/>
      </rPr>
      <t>費用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合作金庫</t>
    </r>
  </si>
  <si>
    <r>
      <rPr>
        <sz val="10"/>
        <color rgb="FF000000"/>
        <rFont val="Calibri"/>
        <family val="2"/>
        <charset val="136"/>
        <scheme val="minor"/>
      </rPr>
      <t>設備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德盈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彰化台電</t>
    </r>
  </si>
  <si>
    <r>
      <rPr>
        <sz val="10"/>
        <color rgb="FF000000"/>
        <rFont val="Calibri"/>
        <family val="2"/>
        <charset val="136"/>
        <scheme val="minor"/>
      </rPr>
      <t>施工費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國晉</t>
    </r>
  </si>
  <si>
    <r>
      <rPr>
        <sz val="10"/>
        <color rgb="FF000000"/>
        <rFont val="Calibri"/>
        <family val="2"/>
        <charset val="136"/>
        <scheme val="minor"/>
      </rPr>
      <t>國晉</t>
    </r>
  </si>
  <si>
    <r>
      <rPr>
        <sz val="10"/>
        <color rgb="FF000000"/>
        <rFont val="Calibri"/>
        <family val="2"/>
        <charset val="136"/>
        <scheme val="minor"/>
      </rPr>
      <t>聯國台化麥寮施工費</t>
    </r>
    <r>
      <rPr>
        <sz val="10"/>
        <color rgb="FF000000"/>
        <rFont val="Calibri"/>
        <family val="2"/>
        <scheme val="minor"/>
      </rPr>
      <t>-1</t>
    </r>
    <r>
      <rPr>
        <sz val="10"/>
        <color rgb="FF000000"/>
        <rFont val="Calibri"/>
        <family val="2"/>
        <charset val="136"/>
        <scheme val="minor"/>
      </rPr>
      <t>台</t>
    </r>
  </si>
  <si>
    <r>
      <rPr>
        <sz val="10"/>
        <color rgb="FF000000"/>
        <rFont val="Calibri"/>
        <family val="2"/>
        <charset val="136"/>
        <scheme val="minor"/>
      </rPr>
      <t>正昀</t>
    </r>
    <r>
      <rPr>
        <sz val="10"/>
        <color rgb="FF000000"/>
        <rFont val="Calibri"/>
        <family val="2"/>
        <scheme val="minor"/>
      </rPr>
      <t>x1</t>
    </r>
  </si>
  <si>
    <r>
      <rPr>
        <sz val="10"/>
        <color rgb="FF000000"/>
        <rFont val="Calibri"/>
        <family val="2"/>
        <charset val="136"/>
        <scheme val="minor"/>
      </rPr>
      <t>聯國台化麥寮施工費</t>
    </r>
    <r>
      <rPr>
        <sz val="10"/>
        <color rgb="FF000000"/>
        <rFont val="Calibri"/>
        <family val="2"/>
        <scheme val="minor"/>
      </rPr>
      <t>-2</t>
    </r>
    <r>
      <rPr>
        <sz val="10"/>
        <color rgb="FF000000"/>
        <rFont val="Calibri"/>
        <family val="2"/>
        <charset val="136"/>
        <scheme val="minor"/>
      </rPr>
      <t>台</t>
    </r>
  </si>
  <si>
    <r>
      <rPr>
        <sz val="10"/>
        <color rgb="FF000000"/>
        <rFont val="Calibri"/>
        <family val="2"/>
        <charset val="136"/>
        <scheme val="minor"/>
      </rPr>
      <t>正昀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台塑麥寮閘道器安裝施工費</t>
    </r>
  </si>
  <si>
    <r>
      <rPr>
        <sz val="10"/>
        <color rgb="FF000000"/>
        <rFont val="Calibri"/>
        <family val="2"/>
        <charset val="136"/>
        <scheme val="minor"/>
      </rPr>
      <t>施工費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星晟</t>
    </r>
  </si>
  <si>
    <r>
      <rPr>
        <sz val="10"/>
        <color rgb="FF000000"/>
        <rFont val="Calibri"/>
        <family val="2"/>
        <charset val="136"/>
        <scheme val="minor"/>
      </rPr>
      <t>星晟</t>
    </r>
    <r>
      <rPr>
        <sz val="10"/>
        <color rgb="FF000000"/>
        <rFont val="Calibri"/>
        <family val="2"/>
        <scheme val="minor"/>
      </rPr>
      <t>x1</t>
    </r>
  </si>
  <si>
    <r>
      <rPr>
        <sz val="10"/>
        <color rgb="FF000000"/>
        <rFont val="Calibri"/>
        <family val="2"/>
        <charset val="136"/>
        <scheme val="minor"/>
      </rPr>
      <t>運費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奕龍</t>
    </r>
  </si>
  <si>
    <r>
      <rPr>
        <sz val="10"/>
        <color rgb="FF000000"/>
        <rFont val="Calibri"/>
        <family val="2"/>
        <charset val="136"/>
        <scheme val="minor"/>
      </rPr>
      <t>費用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漢陽</t>
    </r>
  </si>
  <si>
    <r>
      <rPr>
        <sz val="10"/>
        <color rgb="FF000000"/>
        <rFont val="Calibri"/>
        <family val="2"/>
        <charset val="136"/>
        <scheme val="minor"/>
      </rPr>
      <t>施工費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城智</t>
    </r>
  </si>
  <si>
    <r>
      <rPr>
        <sz val="10"/>
        <color rgb="FF000000"/>
        <rFont val="Calibri"/>
        <family val="2"/>
        <charset val="136"/>
        <scheme val="minor"/>
      </rPr>
      <t>台中財經</t>
    </r>
    <r>
      <rPr>
        <sz val="10"/>
        <color rgb="FF000000"/>
        <rFont val="Calibri"/>
        <family val="2"/>
        <scheme val="minor"/>
      </rPr>
      <t>x1</t>
    </r>
  </si>
  <si>
    <r>
      <rPr>
        <sz val="10"/>
        <color rgb="FF000000"/>
        <rFont val="Calibri"/>
        <family val="2"/>
        <charset val="136"/>
        <scheme val="minor"/>
      </rPr>
      <t>台電機房</t>
    </r>
    <r>
      <rPr>
        <sz val="10"/>
        <color rgb="FF000000"/>
        <rFont val="Calibri"/>
        <family val="2"/>
        <scheme val="minor"/>
      </rPr>
      <t>Dell R760</t>
    </r>
    <r>
      <rPr>
        <sz val="10"/>
        <color rgb="FF000000"/>
        <rFont val="Calibri"/>
        <family val="2"/>
        <charset val="136"/>
        <scheme val="minor"/>
      </rPr>
      <t>設備買賣及人力服務第一期款</t>
    </r>
    <r>
      <rPr>
        <sz val="10"/>
        <color rgb="FF000000"/>
        <rFont val="Calibri"/>
        <family val="2"/>
        <scheme val="minor"/>
      </rPr>
      <t>(70%)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</si>
  <si>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3D</t>
    </r>
    <r>
      <rPr>
        <sz val="10"/>
        <color rgb="FF000000"/>
        <rFont val="Calibri"/>
        <family val="2"/>
        <charset val="136"/>
        <scheme val="minor"/>
      </rPr>
      <t>圖控開發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交貨款</t>
    </r>
    <r>
      <rPr>
        <sz val="10"/>
        <color rgb="FF000000"/>
        <rFont val="Calibri"/>
        <family val="2"/>
        <scheme val="minor"/>
      </rPr>
      <t>-50%</t>
    </r>
  </si>
  <si>
    <r>
      <rPr>
        <sz val="10"/>
        <color rgb="FF000000"/>
        <rFont val="Calibri"/>
        <family val="2"/>
        <scheme val="minor"/>
      </rPr>
      <t>48*96</t>
    </r>
    <r>
      <rPr>
        <sz val="10"/>
        <color rgb="FF000000"/>
        <rFont val="Calibri"/>
        <family val="2"/>
        <charset val="136"/>
        <scheme val="minor"/>
      </rPr>
      <t>盤內固定盤</t>
    </r>
  </si>
  <si>
    <r>
      <rPr>
        <sz val="10"/>
        <color rgb="FF000000"/>
        <rFont val="Calibri"/>
        <family val="2"/>
        <charset val="136"/>
        <scheme val="minor"/>
      </rPr>
      <t>崴康</t>
    </r>
    <r>
      <rPr>
        <sz val="10"/>
        <color rgb="FF000000"/>
        <rFont val="Calibri"/>
        <family val="2"/>
        <scheme val="minor"/>
      </rPr>
      <t>x1</t>
    </r>
  </si>
  <si>
    <r>
      <rPr>
        <sz val="10"/>
        <color rgb="FF000000"/>
        <rFont val="Calibri"/>
        <family val="2"/>
        <charset val="136"/>
        <scheme val="minor"/>
      </rPr>
      <t>資料控制器</t>
    </r>
  </si>
  <si>
    <r>
      <rPr>
        <sz val="10"/>
        <color rgb="FF000000"/>
        <rFont val="Calibri"/>
        <family val="2"/>
        <charset val="136"/>
        <scheme val="minor"/>
      </rPr>
      <t>亞洲矽谷</t>
    </r>
  </si>
  <si>
    <r>
      <rPr>
        <sz val="10"/>
        <color rgb="FF000000"/>
        <rFont val="Calibri"/>
        <family val="2"/>
        <scheme val="minor"/>
      </rPr>
      <t>8PORT</t>
    </r>
    <r>
      <rPr>
        <sz val="10"/>
        <color rgb="FF000000"/>
        <rFont val="Calibri"/>
        <family val="2"/>
        <charset val="136"/>
        <scheme val="minor"/>
      </rPr>
      <t>高速</t>
    </r>
    <r>
      <rPr>
        <sz val="10"/>
        <color rgb="FF000000"/>
        <rFont val="Calibri"/>
        <family val="2"/>
        <scheme val="minor"/>
      </rPr>
      <t>POE</t>
    </r>
    <r>
      <rPr>
        <sz val="10"/>
        <color rgb="FF000000"/>
        <rFont val="Calibri"/>
        <family val="2"/>
        <charset val="136"/>
        <scheme val="minor"/>
      </rPr>
      <t>網路交換器</t>
    </r>
  </si>
  <si>
    <r>
      <rPr>
        <sz val="10"/>
        <color rgb="FF000000"/>
        <rFont val="Calibri"/>
        <family val="2"/>
        <charset val="136"/>
        <scheme val="minor"/>
      </rPr>
      <t>健訊</t>
    </r>
  </si>
  <si>
    <r>
      <rPr>
        <sz val="10"/>
        <color rgb="FF000000"/>
        <rFont val="Calibri"/>
        <family val="2"/>
        <charset val="136"/>
        <scheme val="minor"/>
      </rPr>
      <t>大圓頭連桿液位開關</t>
    </r>
  </si>
  <si>
    <r>
      <rPr>
        <sz val="10"/>
        <color rgb="FF000000"/>
        <rFont val="Calibri"/>
        <family val="2"/>
        <charset val="136"/>
        <scheme val="minor"/>
      </rPr>
      <t>慶聯有線</t>
    </r>
  </si>
  <si>
    <r>
      <rPr>
        <sz val="10"/>
        <color rgb="FF000000"/>
        <rFont val="Calibri"/>
        <family val="2"/>
        <scheme val="minor"/>
      </rPr>
      <t>USB 2.0</t>
    </r>
    <r>
      <rPr>
        <sz val="10"/>
        <color rgb="FF000000"/>
        <rFont val="Calibri"/>
        <family val="2"/>
        <charset val="136"/>
        <scheme val="minor"/>
      </rPr>
      <t>訊號延長器</t>
    </r>
  </si>
  <si>
    <r>
      <rPr>
        <sz val="10"/>
        <color rgb="FF000000"/>
        <rFont val="Calibri"/>
        <family val="2"/>
        <charset val="136"/>
        <scheme val="minor"/>
      </rPr>
      <t>港都有線</t>
    </r>
  </si>
  <si>
    <r>
      <rPr>
        <sz val="10"/>
        <color rgb="FF000000"/>
        <rFont val="Calibri"/>
        <family val="2"/>
        <charset val="136"/>
        <scheme val="minor"/>
      </rPr>
      <t>數字式電表</t>
    </r>
    <r>
      <rPr>
        <sz val="10"/>
        <color rgb="FF000000"/>
        <rFont val="Calibri"/>
        <family val="2"/>
        <scheme val="minor"/>
      </rPr>
      <t>AC115/230V1</t>
    </r>
  </si>
  <si>
    <r>
      <rPr>
        <sz val="10"/>
        <color rgb="FF000000"/>
        <rFont val="Calibri"/>
        <family val="2"/>
        <charset val="136"/>
        <scheme val="minor"/>
      </rPr>
      <t>中文遠端監控軟體</t>
    </r>
  </si>
  <si>
    <r>
      <rPr>
        <sz val="10"/>
        <color rgb="FF000000"/>
        <rFont val="Calibri"/>
        <family val="2"/>
        <charset val="136"/>
        <scheme val="minor"/>
      </rPr>
      <t>微軟伺服器作業系統</t>
    </r>
  </si>
  <si>
    <r>
      <rPr>
        <sz val="10"/>
        <color rgb="FF000000"/>
        <rFont val="Calibri"/>
        <family val="2"/>
        <charset val="136"/>
        <scheme val="minor"/>
      </rPr>
      <t>中興電工</t>
    </r>
  </si>
  <si>
    <r>
      <rPr>
        <sz val="10"/>
        <color rgb="FF000000"/>
        <rFont val="Calibri"/>
        <family val="2"/>
        <scheme val="minor"/>
      </rPr>
      <t>WISE-4012E</t>
    </r>
    <r>
      <rPr>
        <sz val="10"/>
        <color rgb="FF000000"/>
        <rFont val="Calibri"/>
        <family val="2"/>
        <charset val="136"/>
        <scheme val="minor"/>
      </rPr>
      <t>體驗組</t>
    </r>
  </si>
  <si>
    <r>
      <rPr>
        <sz val="10"/>
        <color rgb="FF000000"/>
        <rFont val="Calibri"/>
        <family val="2"/>
        <charset val="136"/>
        <scheme val="minor"/>
      </rPr>
      <t>立創</t>
    </r>
    <r>
      <rPr>
        <sz val="10"/>
        <color rgb="FF000000"/>
        <rFont val="Calibri"/>
        <family val="2"/>
        <scheme val="minor"/>
      </rPr>
      <t xml:space="preserve">/ </t>
    </r>
    <r>
      <rPr>
        <sz val="10"/>
        <color rgb="FF000000"/>
        <rFont val="Calibri"/>
        <family val="2"/>
        <charset val="136"/>
        <scheme val="minor"/>
      </rPr>
      <t>門禁卡</t>
    </r>
  </si>
  <si>
    <r>
      <rPr>
        <sz val="10"/>
        <color rgb="FF000000"/>
        <rFont val="Calibri"/>
        <family val="2"/>
        <scheme val="minor"/>
      </rPr>
      <t>SC-SC</t>
    </r>
    <r>
      <rPr>
        <sz val="10"/>
        <color rgb="FF000000"/>
        <rFont val="Calibri"/>
        <family val="2"/>
        <charset val="136"/>
        <scheme val="minor"/>
      </rPr>
      <t>接頭單模單芯光纖短跳線</t>
    </r>
    <r>
      <rPr>
        <sz val="10"/>
        <color rgb="FF000000"/>
        <rFont val="Calibri"/>
        <family val="2"/>
        <scheme val="minor"/>
      </rPr>
      <t>-20cm  15-FS001SC-SC-02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</si>
  <si>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x28</t>
    </r>
  </si>
  <si>
    <r>
      <rPr>
        <sz val="10"/>
        <color rgb="FF000000"/>
        <rFont val="Calibri"/>
        <family val="2"/>
        <scheme val="minor"/>
      </rPr>
      <t>SC-SC</t>
    </r>
    <r>
      <rPr>
        <sz val="10"/>
        <color rgb="FF000000"/>
        <rFont val="Calibri"/>
        <family val="2"/>
        <charset val="136"/>
        <scheme val="minor"/>
      </rPr>
      <t>接頭單模單芯光纖短跳線</t>
    </r>
    <r>
      <rPr>
        <sz val="10"/>
        <color rgb="FF000000"/>
        <rFont val="Calibri"/>
        <family val="2"/>
        <scheme val="minor"/>
      </rPr>
      <t>-1M  15-FS001SC-SC-1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</si>
  <si>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x53</t>
    </r>
  </si>
  <si>
    <r>
      <rPr>
        <sz val="10"/>
        <color rgb="FF000000"/>
        <rFont val="Calibri"/>
        <family val="2"/>
        <scheme val="minor"/>
      </rPr>
      <t>SC-SC</t>
    </r>
    <r>
      <rPr>
        <sz val="10"/>
        <color rgb="FF000000"/>
        <rFont val="Calibri"/>
        <family val="2"/>
        <charset val="136"/>
        <scheme val="minor"/>
      </rPr>
      <t>接頭單模單芯光纖短跳線</t>
    </r>
    <r>
      <rPr>
        <sz val="10"/>
        <color rgb="FF000000"/>
        <rFont val="Calibri"/>
        <family val="2"/>
        <scheme val="minor"/>
      </rPr>
      <t>-5cm  15-FS001SC-SC-5</t>
    </r>
  </si>
  <si>
    <r>
      <rPr>
        <sz val="10"/>
        <color rgb="FF000000"/>
        <rFont val="Calibri"/>
        <family val="2"/>
        <charset val="136"/>
        <scheme val="minor"/>
      </rPr>
      <t>天線</t>
    </r>
    <r>
      <rPr>
        <sz val="10"/>
        <color rgb="FF000000"/>
        <rFont val="Calibri"/>
        <family val="2"/>
        <scheme val="minor"/>
      </rPr>
      <t xml:space="preserve">  1750005865 Antenna L=10.9cm 50hm AN8921F-5705M</t>
    </r>
  </si>
  <si>
    <r>
      <rPr>
        <sz val="10"/>
        <color rgb="FF000000"/>
        <rFont val="Calibri"/>
        <family val="2"/>
        <charset val="136"/>
        <scheme val="minor"/>
      </rPr>
      <t>天線</t>
    </r>
    <r>
      <rPr>
        <sz val="10"/>
        <color rgb="FF000000"/>
        <rFont val="Calibri"/>
        <family val="2"/>
        <scheme val="minor"/>
      </rPr>
      <t xml:space="preserve"> cable Antenna SMA(F)/MHF 15cm SMALFN8-3150A-00X00R</t>
    </r>
  </si>
  <si>
    <r>
      <rPr>
        <sz val="10"/>
        <color rgb="FF000000"/>
        <rFont val="Calibri"/>
        <family val="2"/>
        <scheme val="minor"/>
      </rPr>
      <t>4G</t>
    </r>
    <r>
      <rPr>
        <sz val="10"/>
        <color rgb="FF000000"/>
        <rFont val="Calibri"/>
        <family val="2"/>
        <charset val="136"/>
        <scheme val="minor"/>
      </rPr>
      <t>模組</t>
    </r>
    <r>
      <rPr>
        <sz val="10"/>
        <color rgb="FF000000"/>
        <rFont val="Calibri"/>
        <family val="2"/>
        <scheme val="minor"/>
      </rPr>
      <t xml:space="preserve"> 96PD-EC25EFA Quectel 4G(cat.4)miniPCle, EU, TW,IN, KR,SEA</t>
    </r>
  </si>
  <si>
    <r>
      <rPr>
        <sz val="10"/>
        <color rgb="FF000000"/>
        <rFont val="Calibri"/>
        <family val="2"/>
        <charset val="136"/>
        <scheme val="minor"/>
      </rPr>
      <t>電源供應器</t>
    </r>
    <r>
      <rPr>
        <sz val="10"/>
        <color rgb="FF000000"/>
        <rFont val="Calibri"/>
        <family val="2"/>
        <scheme val="minor"/>
      </rPr>
      <t xml:space="preserve"> 100-240V 40W 24V  PSD-A40W24</t>
    </r>
  </si>
  <si>
    <r>
      <rPr>
        <sz val="10"/>
        <color rgb="FF000000"/>
        <rFont val="Calibri"/>
        <family val="2"/>
        <scheme val="minor"/>
      </rPr>
      <t xml:space="preserve">(TEND) </t>
    </r>
    <r>
      <rPr>
        <sz val="10"/>
        <color rgb="FF000000"/>
        <rFont val="Calibri"/>
        <family val="2"/>
        <charset val="136"/>
        <scheme val="minor"/>
      </rPr>
      <t>臥式保險座</t>
    </r>
    <r>
      <rPr>
        <sz val="10"/>
        <color rgb="FF000000"/>
        <rFont val="Calibri"/>
        <family val="2"/>
        <scheme val="minor"/>
      </rPr>
      <t>1P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</si>
  <si>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x300</t>
    </r>
  </si>
  <si>
    <r>
      <rPr>
        <sz val="10"/>
        <color rgb="FF000000"/>
        <rFont val="Calibri"/>
        <family val="2"/>
        <charset val="136"/>
        <scheme val="minor"/>
      </rPr>
      <t>插牌</t>
    </r>
    <r>
      <rPr>
        <sz val="10"/>
        <color rgb="FF000000"/>
        <rFont val="Calibri"/>
        <family val="2"/>
        <scheme val="minor"/>
      </rPr>
      <t>#2mm+2mm(20*6cm)</t>
    </r>
    <r>
      <rPr>
        <sz val="10"/>
        <color rgb="FF000000"/>
        <rFont val="Calibri"/>
        <family val="2"/>
        <charset val="136"/>
        <scheme val="minor"/>
      </rPr>
      <t>背</t>
    </r>
    <r>
      <rPr>
        <sz val="10"/>
        <color rgb="FF000000"/>
        <rFont val="Calibri"/>
        <family val="2"/>
        <scheme val="minor"/>
      </rPr>
      <t>3M</t>
    </r>
  </si>
  <si>
    <r>
      <rPr>
        <sz val="10"/>
        <color rgb="FF000000"/>
        <rFont val="Calibri"/>
        <family val="2"/>
        <charset val="136"/>
        <scheme val="minor"/>
      </rPr>
      <t>高檢署</t>
    </r>
    <r>
      <rPr>
        <sz val="10"/>
        <color rgb="FF000000"/>
        <rFont val="Calibri"/>
        <family val="2"/>
        <scheme val="minor"/>
      </rPr>
      <t>x6</t>
    </r>
  </si>
  <si>
    <r>
      <rPr>
        <sz val="10"/>
        <color rgb="FF000000"/>
        <rFont val="Calibri"/>
        <family val="2"/>
        <scheme val="minor"/>
      </rPr>
      <t xml:space="preserve">1.25G BIDI-SC </t>
    </r>
    <r>
      <rPr>
        <sz val="10"/>
        <color rgb="FF000000"/>
        <rFont val="Calibri"/>
        <family val="2"/>
        <charset val="136"/>
        <scheme val="minor"/>
      </rPr>
      <t>單模單芯</t>
    </r>
    <r>
      <rPr>
        <sz val="10"/>
        <color rgb="FF000000"/>
        <rFont val="Calibri"/>
        <family val="2"/>
        <scheme val="minor"/>
      </rPr>
      <t xml:space="preserve">,T1550/R1310 20km SFP </t>
    </r>
    <r>
      <rPr>
        <sz val="10"/>
        <color rgb="FF000000"/>
        <rFont val="Calibri"/>
        <family val="2"/>
        <charset val="136"/>
        <scheme val="minor"/>
      </rPr>
      <t>模組</t>
    </r>
    <r>
      <rPr>
        <sz val="10"/>
        <color rgb="FF000000"/>
        <rFont val="Calibri"/>
        <family val="2"/>
        <scheme val="minor"/>
      </rPr>
      <t>(</t>
    </r>
    <r>
      <rPr>
        <sz val="10"/>
        <color rgb="FF000000"/>
        <rFont val="Calibri"/>
        <family val="2"/>
        <charset val="136"/>
        <scheme val="minor"/>
      </rPr>
      <t>黃</t>
    </r>
    <r>
      <rPr>
        <sz val="10"/>
        <color rgb="FF000000"/>
        <rFont val="Calibri"/>
        <family val="2"/>
        <scheme val="minor"/>
      </rPr>
      <t>/B</t>
    </r>
    <r>
      <rPr>
        <sz val="10"/>
        <color rgb="FF000000"/>
        <rFont val="Calibri"/>
        <family val="2"/>
        <charset val="136"/>
        <scheme val="minor"/>
      </rPr>
      <t>端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</si>
  <si>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x52</t>
    </r>
  </si>
  <si>
    <r>
      <rPr>
        <sz val="10"/>
        <color rgb="FF000000"/>
        <rFont val="Calibri"/>
        <family val="2"/>
        <scheme val="minor"/>
      </rPr>
      <t xml:space="preserve">1.25G BIDI-SC </t>
    </r>
    <r>
      <rPr>
        <sz val="10"/>
        <color rgb="FF000000"/>
        <rFont val="Calibri"/>
        <family val="2"/>
        <charset val="136"/>
        <scheme val="minor"/>
      </rPr>
      <t>單模單芯</t>
    </r>
    <r>
      <rPr>
        <sz val="10"/>
        <color rgb="FF000000"/>
        <rFont val="Calibri"/>
        <family val="2"/>
        <scheme val="minor"/>
      </rPr>
      <t xml:space="preserve">,T1310/R1550 20km SFP </t>
    </r>
    <r>
      <rPr>
        <sz val="10"/>
        <color rgb="FF000000"/>
        <rFont val="Calibri"/>
        <family val="2"/>
        <charset val="136"/>
        <scheme val="minor"/>
      </rPr>
      <t>模組</t>
    </r>
    <r>
      <rPr>
        <sz val="10"/>
        <color rgb="FF000000"/>
        <rFont val="Calibri"/>
        <family val="2"/>
        <scheme val="minor"/>
      </rPr>
      <t>(</t>
    </r>
    <r>
      <rPr>
        <sz val="10"/>
        <color rgb="FF000000"/>
        <rFont val="Calibri"/>
        <family val="2"/>
        <charset val="136"/>
        <scheme val="minor"/>
      </rPr>
      <t>藍</t>
    </r>
    <r>
      <rPr>
        <sz val="10"/>
        <color rgb="FF000000"/>
        <rFont val="Calibri"/>
        <family val="2"/>
        <scheme val="minor"/>
      </rPr>
      <t>/A</t>
    </r>
    <r>
      <rPr>
        <sz val="10"/>
        <color rgb="FF000000"/>
        <rFont val="Calibri"/>
        <family val="2"/>
        <charset val="136"/>
        <scheme val="minor"/>
      </rPr>
      <t>端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</si>
  <si>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scheme val="minor"/>
      </rPr>
      <t xml:space="preserve">Windows Server 2025Standard </t>
    </r>
    <r>
      <rPr>
        <sz val="10"/>
        <color rgb="FF000000"/>
        <rFont val="Calibri"/>
        <family val="2"/>
        <charset val="136"/>
        <scheme val="minor"/>
      </rPr>
      <t>中文隨機版</t>
    </r>
    <r>
      <rPr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charset val="136"/>
        <scheme val="minor"/>
      </rPr>
      <t>不含</t>
    </r>
    <r>
      <rPr>
        <sz val="10"/>
        <color rgb="FF000000"/>
        <rFont val="Calibri"/>
        <family val="2"/>
        <scheme val="minor"/>
      </rPr>
      <t>CAL</t>
    </r>
  </si>
  <si>
    <r>
      <rPr>
        <sz val="10"/>
        <color rgb="FF000000"/>
        <rFont val="Calibri"/>
        <family val="2"/>
        <scheme val="minor"/>
      </rPr>
      <t xml:space="preserve">Windows Server 2025-5Clt User CAL </t>
    </r>
    <r>
      <rPr>
        <sz val="10"/>
        <color rgb="FF000000"/>
        <rFont val="Calibri"/>
        <family val="2"/>
        <charset val="136"/>
        <scheme val="minor"/>
      </rPr>
      <t>中文隨機版</t>
    </r>
    <r>
      <rPr>
        <sz val="10"/>
        <color rgb="FF000000"/>
        <rFont val="Calibri"/>
        <family val="2"/>
        <scheme val="minor"/>
      </rPr>
      <t>(EP2-25276)</t>
    </r>
  </si>
  <si>
    <r>
      <rPr>
        <sz val="10"/>
        <color rgb="FF000000"/>
        <rFont val="Calibri"/>
        <family val="2"/>
        <charset val="136"/>
        <scheme val="minor"/>
      </rPr>
      <t>動力銅排</t>
    </r>
    <r>
      <rPr>
        <sz val="10"/>
        <color rgb="FF000000"/>
        <rFont val="Calibri"/>
        <family val="2"/>
        <scheme val="minor"/>
      </rPr>
      <t xml:space="preserve"> 250A-7P</t>
    </r>
  </si>
  <si>
    <r>
      <rPr>
        <sz val="10"/>
        <color rgb="FF000000"/>
        <rFont val="Calibri"/>
        <family val="2"/>
        <scheme val="minor"/>
      </rPr>
      <t>(JH) AL 250A7P</t>
    </r>
    <r>
      <rPr>
        <sz val="10"/>
        <color rgb="FF000000"/>
        <rFont val="Calibri"/>
        <family val="2"/>
        <charset val="136"/>
        <scheme val="minor"/>
      </rPr>
      <t>動力接地銅排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</si>
  <si>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x15</t>
    </r>
  </si>
  <si>
    <r>
      <rPr>
        <sz val="10"/>
        <color rgb="FF000000"/>
        <rFont val="Calibri"/>
        <family val="2"/>
        <scheme val="minor"/>
      </rPr>
      <t>(</t>
    </r>
    <r>
      <rPr>
        <sz val="10"/>
        <color rgb="FF000000"/>
        <rFont val="Calibri"/>
        <family val="2"/>
        <charset val="136"/>
        <scheme val="minor"/>
      </rPr>
      <t>士林</t>
    </r>
    <r>
      <rPr>
        <sz val="10"/>
        <color rgb="FF000000"/>
        <rFont val="Calibri"/>
        <family val="2"/>
        <scheme val="minor"/>
      </rPr>
      <t xml:space="preserve">) </t>
    </r>
    <r>
      <rPr>
        <sz val="10"/>
        <color rgb="FF000000"/>
        <rFont val="Calibri"/>
        <family val="2"/>
        <charset val="136"/>
        <scheme val="minor"/>
      </rPr>
      <t>小型斷路器</t>
    </r>
    <r>
      <rPr>
        <sz val="10"/>
        <color rgb="FF000000"/>
        <rFont val="Calibri"/>
        <family val="2"/>
        <scheme val="minor"/>
      </rPr>
      <t>BHA-1PC32A</t>
    </r>
  </si>
  <si>
    <r>
      <rPr>
        <sz val="10"/>
        <color rgb="FF000000"/>
        <rFont val="Calibri"/>
        <family val="2"/>
        <scheme val="minor"/>
      </rPr>
      <t>(</t>
    </r>
    <r>
      <rPr>
        <sz val="10"/>
        <color rgb="FF000000"/>
        <rFont val="Calibri"/>
        <family val="2"/>
        <charset val="136"/>
        <scheme val="minor"/>
      </rPr>
      <t>士林</t>
    </r>
    <r>
      <rPr>
        <sz val="10"/>
        <color rgb="FF000000"/>
        <rFont val="Calibri"/>
        <family val="2"/>
        <scheme val="minor"/>
      </rPr>
      <t xml:space="preserve">) </t>
    </r>
    <r>
      <rPr>
        <sz val="10"/>
        <color rgb="FF000000"/>
        <rFont val="Calibri"/>
        <family val="2"/>
        <charset val="136"/>
        <scheme val="minor"/>
      </rPr>
      <t>小型斷路器</t>
    </r>
    <r>
      <rPr>
        <sz val="10"/>
        <color rgb="FF000000"/>
        <rFont val="Calibri"/>
        <family val="2"/>
        <scheme val="minor"/>
      </rPr>
      <t>3PC-30A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</si>
  <si>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x12</t>
    </r>
  </si>
  <si>
    <r>
      <rPr>
        <sz val="10"/>
        <color rgb="FF000000"/>
        <rFont val="Calibri"/>
        <family val="2"/>
        <scheme val="minor"/>
      </rPr>
      <t>(</t>
    </r>
    <r>
      <rPr>
        <sz val="10"/>
        <color rgb="FF000000"/>
        <rFont val="Calibri"/>
        <family val="2"/>
        <charset val="136"/>
        <scheme val="minor"/>
      </rPr>
      <t>士林</t>
    </r>
    <r>
      <rPr>
        <sz val="10"/>
        <color rgb="FF000000"/>
        <rFont val="Calibri"/>
        <family val="2"/>
        <scheme val="minor"/>
      </rPr>
      <t>)</t>
    </r>
    <r>
      <rPr>
        <sz val="10"/>
        <color rgb="FF000000"/>
        <rFont val="Calibri"/>
        <family val="2"/>
        <charset val="136"/>
        <scheme val="minor"/>
      </rPr>
      <t>小型斷路器</t>
    </r>
    <r>
      <rPr>
        <sz val="10"/>
        <color rgb="FF000000"/>
        <rFont val="Calibri"/>
        <family val="2"/>
        <scheme val="minor"/>
      </rPr>
      <t>(3PC-32A)</t>
    </r>
  </si>
  <si>
    <r>
      <rPr>
        <sz val="10"/>
        <color rgb="FF000000"/>
        <rFont val="Calibri"/>
        <family val="2"/>
        <charset val="136"/>
        <scheme val="minor"/>
      </rPr>
      <t>網路鉗</t>
    </r>
    <r>
      <rPr>
        <sz val="10"/>
        <color rgb="FF000000"/>
        <rFont val="Calibri"/>
        <family val="2"/>
        <scheme val="minor"/>
      </rPr>
      <t xml:space="preserve"> EYTT-06</t>
    </r>
  </si>
  <si>
    <r>
      <rPr>
        <sz val="10"/>
        <color rgb="FF000000"/>
        <rFont val="Calibri"/>
        <family val="2"/>
        <charset val="136"/>
        <scheme val="minor"/>
      </rPr>
      <t>短路片</t>
    </r>
    <r>
      <rPr>
        <sz val="10"/>
        <color rgb="FF000000"/>
        <rFont val="Calibri"/>
        <family val="2"/>
        <scheme val="minor"/>
      </rPr>
      <t>20A*12P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</si>
  <si>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x500</t>
    </r>
  </si>
  <si>
    <r>
      <rPr>
        <sz val="10"/>
        <color rgb="FF000000"/>
        <rFont val="Calibri"/>
        <family val="2"/>
        <charset val="136"/>
        <scheme val="minor"/>
      </rPr>
      <t>附鎖平式門扣</t>
    </r>
    <r>
      <rPr>
        <sz val="10"/>
        <color rgb="FF000000"/>
        <rFont val="Calibri"/>
        <family val="2"/>
        <scheme val="minor"/>
      </rPr>
      <t>83*28 LTKJ047</t>
    </r>
  </si>
  <si>
    <r>
      <rPr>
        <sz val="10"/>
        <color rgb="FF000000"/>
        <rFont val="Calibri"/>
        <family val="2"/>
        <scheme val="minor"/>
      </rPr>
      <t>2P</t>
    </r>
    <r>
      <rPr>
        <sz val="10"/>
        <color rgb="FF000000"/>
        <rFont val="Calibri"/>
        <family val="2"/>
        <charset val="136"/>
        <scheme val="minor"/>
      </rPr>
      <t>短路片</t>
    </r>
    <r>
      <rPr>
        <sz val="10"/>
        <color rgb="FF000000"/>
        <rFont val="Calibri"/>
        <family val="2"/>
        <scheme val="minor"/>
      </rPr>
      <t xml:space="preserve"> FBS2-6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</si>
  <si>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x224</t>
    </r>
  </si>
  <si>
    <r>
      <rPr>
        <sz val="10"/>
        <color rgb="FF000000"/>
        <rFont val="Calibri"/>
        <family val="2"/>
        <charset val="136"/>
        <scheme val="minor"/>
      </rPr>
      <t>運費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紀泰</t>
    </r>
  </si>
  <si>
    <r>
      <rPr>
        <sz val="10"/>
        <color rgb="FF000000"/>
        <rFont val="Calibri"/>
        <family val="2"/>
        <charset val="136"/>
        <scheme val="minor"/>
      </rPr>
      <t>控制線</t>
    </r>
    <r>
      <rPr>
        <sz val="10"/>
        <color rgb="FF000000"/>
        <rFont val="Calibri"/>
        <family val="2"/>
        <scheme val="minor"/>
      </rPr>
      <t xml:space="preserve"> ROHS </t>
    </r>
    <r>
      <rPr>
        <sz val="10"/>
        <color rgb="FF000000"/>
        <rFont val="Calibri"/>
        <family val="2"/>
        <charset val="136"/>
        <scheme val="minor"/>
      </rPr>
      <t>大亞</t>
    </r>
    <r>
      <rPr>
        <sz val="10"/>
        <color rgb="FF000000"/>
        <rFont val="Calibri"/>
        <family val="2"/>
        <scheme val="minor"/>
      </rPr>
      <t xml:space="preserve"> 0.75*01C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</si>
  <si>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x3100</t>
    </r>
  </si>
  <si>
    <r>
      <rPr>
        <sz val="10"/>
        <color rgb="FF000000"/>
        <rFont val="Calibri"/>
        <family val="2"/>
        <scheme val="minor"/>
      </rPr>
      <t>UL</t>
    </r>
    <r>
      <rPr>
        <sz val="10"/>
        <color rgb="FF000000"/>
        <rFont val="Calibri"/>
        <family val="2"/>
        <charset val="136"/>
        <scheme val="minor"/>
      </rPr>
      <t>控制線</t>
    </r>
    <r>
      <rPr>
        <sz val="10"/>
        <color rgb="FF000000"/>
        <rFont val="Calibri"/>
        <family val="2"/>
        <scheme val="minor"/>
      </rPr>
      <t>105c 2X1C    EA2-01UL</t>
    </r>
  </si>
  <si>
    <r>
      <rPr>
        <sz val="10"/>
        <color rgb="FF000000"/>
        <rFont val="Calibri"/>
        <family val="2"/>
        <charset val="136"/>
        <scheme val="minor"/>
      </rPr>
      <t>水晶頭專用保護套</t>
    </r>
    <r>
      <rPr>
        <sz val="10"/>
        <color rgb="FF000000"/>
        <rFont val="Calibri"/>
        <family val="2"/>
        <scheme val="minor"/>
      </rPr>
      <t>(</t>
    </r>
    <r>
      <rPr>
        <sz val="10"/>
        <color rgb="FF000000"/>
        <rFont val="Calibri"/>
        <family val="2"/>
        <charset val="136"/>
        <scheme val="minor"/>
      </rPr>
      <t>透明</t>
    </r>
    <r>
      <rPr>
        <sz val="10"/>
        <color rgb="FF000000"/>
        <rFont val="Calibri"/>
        <family val="2"/>
        <scheme val="minor"/>
      </rPr>
      <t>) 8.0mm</t>
    </r>
  </si>
  <si>
    <r>
      <rPr>
        <sz val="10"/>
        <color rgb="FF000000"/>
        <rFont val="Calibri"/>
        <family val="2"/>
        <charset val="136"/>
        <scheme val="minor"/>
      </rPr>
      <t>網路頭</t>
    </r>
    <r>
      <rPr>
        <sz val="10"/>
        <color rgb="FF000000"/>
        <rFont val="Calibri"/>
        <family val="2"/>
        <scheme val="minor"/>
      </rPr>
      <t xml:space="preserve"> 8P8C </t>
    </r>
    <r>
      <rPr>
        <sz val="10"/>
        <color rgb="FF000000"/>
        <rFont val="Calibri"/>
        <family val="2"/>
        <charset val="136"/>
        <scheme val="minor"/>
      </rPr>
      <t>圓新三叉片</t>
    </r>
    <r>
      <rPr>
        <sz val="10"/>
        <color rgb="FF000000"/>
        <rFont val="Calibri"/>
        <family val="2"/>
        <scheme val="minor"/>
      </rPr>
      <t xml:space="preserve"> 50U</t>
    </r>
    <r>
      <rPr>
        <sz val="10"/>
        <color rgb="FF000000"/>
        <rFont val="Calibri"/>
        <family val="2"/>
        <charset val="136"/>
        <scheme val="minor"/>
      </rPr>
      <t>大孔徑</t>
    </r>
    <r>
      <rPr>
        <sz val="10"/>
        <color rgb="FF000000"/>
        <rFont val="Calibri"/>
        <family val="2"/>
        <scheme val="minor"/>
      </rPr>
      <t>1.5mm</t>
    </r>
  </si>
  <si>
    <r>
      <rPr>
        <sz val="10"/>
        <color rgb="FF000000"/>
        <rFont val="Calibri"/>
        <family val="2"/>
        <charset val="136"/>
        <scheme val="minor"/>
      </rPr>
      <t>網路線</t>
    </r>
    <r>
      <rPr>
        <sz val="10"/>
        <color rgb="FF000000"/>
        <rFont val="Calibri"/>
        <family val="2"/>
        <scheme val="minor"/>
      </rPr>
      <t xml:space="preserve"> CAT6A U/FTP Cable (</t>
    </r>
    <r>
      <rPr>
        <sz val="10"/>
        <color rgb="FF000000"/>
        <rFont val="Calibri"/>
        <family val="2"/>
        <charset val="136"/>
        <scheme val="minor"/>
      </rPr>
      <t>灰</t>
    </r>
    <r>
      <rPr>
        <sz val="10"/>
        <color rgb="FF000000"/>
        <rFont val="Calibri"/>
        <family val="2"/>
        <scheme val="minor"/>
      </rPr>
      <t>)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</si>
  <si>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x5</t>
    </r>
  </si>
  <si>
    <r>
      <rPr>
        <sz val="10"/>
        <color rgb="FF000000"/>
        <rFont val="Calibri"/>
        <family val="2"/>
        <charset val="136"/>
        <scheme val="minor"/>
      </rPr>
      <t>運費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凱士士</t>
    </r>
  </si>
  <si>
    <r>
      <rPr>
        <sz val="10"/>
        <color rgb="FF000000"/>
        <rFont val="Calibri"/>
        <family val="2"/>
        <charset val="136"/>
        <scheme val="minor"/>
      </rPr>
      <t>針型裸端子</t>
    </r>
    <r>
      <rPr>
        <sz val="10"/>
        <color rgb="FF000000"/>
        <rFont val="Calibri"/>
        <family val="2"/>
        <scheme val="minor"/>
      </rPr>
      <t>(</t>
    </r>
    <r>
      <rPr>
        <sz val="10"/>
        <color rgb="FF000000"/>
        <rFont val="Calibri"/>
        <family val="2"/>
        <charset val="136"/>
        <scheme val="minor"/>
      </rPr>
      <t>扁型</t>
    </r>
    <r>
      <rPr>
        <sz val="10"/>
        <color rgb="FF000000"/>
        <rFont val="Calibri"/>
        <family val="2"/>
        <scheme val="minor"/>
      </rPr>
      <t>) (100P) LBD5-10</t>
    </r>
  </si>
  <si>
    <r>
      <rPr>
        <sz val="10"/>
        <color rgb="FF000000"/>
        <rFont val="Calibri"/>
        <family val="2"/>
        <charset val="136"/>
        <scheme val="minor"/>
      </rPr>
      <t>絕緣配線槽</t>
    </r>
    <r>
      <rPr>
        <sz val="10"/>
        <color rgb="FF000000"/>
        <rFont val="Calibri"/>
        <family val="2"/>
        <scheme val="minor"/>
      </rPr>
      <t>(45*65*1.7</t>
    </r>
    <r>
      <rPr>
        <sz val="10"/>
        <color rgb="FF000000"/>
        <rFont val="Calibri"/>
        <family val="2"/>
        <charset val="136"/>
        <scheme val="minor"/>
      </rPr>
      <t>密</t>
    </r>
    <r>
      <rPr>
        <sz val="10"/>
        <color rgb="FF000000"/>
        <rFont val="Calibri"/>
        <family val="2"/>
        <scheme val="minor"/>
      </rPr>
      <t>) LMD5</t>
    </r>
  </si>
  <si>
    <r>
      <rPr>
        <sz val="10"/>
        <color rgb="FF000000"/>
        <rFont val="Calibri"/>
        <family val="2"/>
        <scheme val="minor"/>
      </rPr>
      <t>RJ45</t>
    </r>
    <r>
      <rPr>
        <sz val="10"/>
        <color rgb="FF000000"/>
        <rFont val="Calibri"/>
        <family val="2"/>
        <charset val="136"/>
        <scheme val="minor"/>
      </rPr>
      <t>接頭遮蔽型</t>
    </r>
    <r>
      <rPr>
        <sz val="10"/>
        <color rgb="FF000000"/>
        <rFont val="Calibri"/>
        <family val="2"/>
        <scheme val="minor"/>
      </rPr>
      <t xml:space="preserve">  RJ45-8C6A</t>
    </r>
  </si>
  <si>
    <r>
      <rPr>
        <sz val="10"/>
        <color rgb="FF000000"/>
        <rFont val="Calibri"/>
        <family val="2"/>
        <scheme val="minor"/>
      </rPr>
      <t>Y</t>
    </r>
    <r>
      <rPr>
        <sz val="10"/>
        <color rgb="FF000000"/>
        <rFont val="Calibri"/>
        <family val="2"/>
        <charset val="136"/>
        <scheme val="minor"/>
      </rPr>
      <t>型端子</t>
    </r>
    <r>
      <rPr>
        <sz val="10"/>
        <color rgb="FF000000"/>
        <rFont val="Calibri"/>
        <family val="2"/>
        <scheme val="minor"/>
      </rPr>
      <t xml:space="preserve"> Y1.25-3S</t>
    </r>
  </si>
  <si>
    <r>
      <rPr>
        <sz val="10"/>
        <color rgb="FF000000"/>
        <rFont val="Calibri"/>
        <family val="2"/>
        <charset val="136"/>
        <scheme val="minor"/>
      </rPr>
      <t>運費</t>
    </r>
    <r>
      <rPr>
        <sz val="10"/>
        <color rgb="FF000000"/>
        <rFont val="Calibri"/>
        <family val="2"/>
        <scheme val="minor"/>
      </rPr>
      <t>-</t>
    </r>
    <r>
      <rPr>
        <sz val="10"/>
        <color rgb="FF000000"/>
        <rFont val="Calibri"/>
        <family val="2"/>
        <charset val="136"/>
        <scheme val="minor"/>
      </rPr>
      <t>科寶</t>
    </r>
  </si>
  <si>
    <r>
      <rPr>
        <sz val="10"/>
        <color rgb="FF000000"/>
        <rFont val="Calibri"/>
        <family val="2"/>
        <charset val="136"/>
        <scheme val="minor"/>
      </rPr>
      <t>安全開關</t>
    </r>
    <r>
      <rPr>
        <sz val="10"/>
        <color rgb="FF000000"/>
        <rFont val="Calibri"/>
        <family val="2"/>
        <scheme val="minor"/>
      </rPr>
      <t>-ZA-58-2P1E-5A</t>
    </r>
  </si>
  <si>
    <r>
      <rPr>
        <sz val="10"/>
        <color rgb="FF000000"/>
        <rFont val="Calibri"/>
        <family val="2"/>
        <charset val="136"/>
        <scheme val="minor"/>
      </rPr>
      <t>勾式接地電阻計</t>
    </r>
  </si>
  <si>
    <r>
      <rPr>
        <sz val="10"/>
        <color rgb="FF000000"/>
        <rFont val="Calibri"/>
        <family val="2"/>
        <scheme val="minor"/>
      </rPr>
      <t>2CO/24VDC</t>
    </r>
    <r>
      <rPr>
        <sz val="10"/>
        <color rgb="FF000000"/>
        <rFont val="Calibri"/>
        <family val="2"/>
        <charset val="136"/>
        <scheme val="minor"/>
      </rPr>
      <t>繼電器</t>
    </r>
    <r>
      <rPr>
        <sz val="10"/>
        <color rgb="FF000000"/>
        <rFont val="Calibri"/>
        <family val="2"/>
        <scheme val="minor"/>
      </rPr>
      <t xml:space="preserve"> RIF-1RPT-LDP-24DC/2X21</t>
    </r>
  </si>
  <si>
    <r>
      <rPr>
        <sz val="10"/>
        <color rgb="FF000000"/>
        <rFont val="Calibri"/>
        <family val="2"/>
        <charset val="136"/>
        <scheme val="minor"/>
      </rPr>
      <t>電源供應器</t>
    </r>
    <r>
      <rPr>
        <sz val="10"/>
        <color rgb="FF000000"/>
        <rFont val="Calibri"/>
        <family val="2"/>
        <scheme val="minor"/>
      </rPr>
      <t xml:space="preserve"> NDR-480-24</t>
    </r>
  </si>
  <si>
    <r>
      <rPr>
        <sz val="10"/>
        <color rgb="FF000000"/>
        <rFont val="Calibri"/>
        <family val="2"/>
        <charset val="136"/>
        <scheme val="minor"/>
      </rPr>
      <t>漏水偵測帶</t>
    </r>
  </si>
  <si>
    <r>
      <rPr>
        <sz val="10"/>
        <color rgb="FF000000"/>
        <rFont val="Calibri"/>
        <family val="2"/>
        <scheme val="minor"/>
      </rPr>
      <t>4G</t>
    </r>
    <r>
      <rPr>
        <sz val="10"/>
        <color rgb="FF000000"/>
        <rFont val="Calibri"/>
        <family val="2"/>
        <charset val="136"/>
        <scheme val="minor"/>
      </rPr>
      <t>簡訊機</t>
    </r>
  </si>
  <si>
    <r>
      <rPr>
        <sz val="10"/>
        <color rgb="FF000000"/>
        <rFont val="Calibri"/>
        <family val="2"/>
        <scheme val="minor"/>
      </rPr>
      <t xml:space="preserve">20A </t>
    </r>
    <r>
      <rPr>
        <sz val="10"/>
        <color rgb="FF000000"/>
        <rFont val="Calibri"/>
        <family val="2"/>
        <charset val="136"/>
        <scheme val="minor"/>
      </rPr>
      <t>雙層軌道式端子盤</t>
    </r>
    <r>
      <rPr>
        <sz val="10"/>
        <color rgb="FF000000"/>
        <rFont val="Calibri"/>
        <family val="2"/>
        <scheme val="minor"/>
      </rPr>
      <t xml:space="preserve"> TBD-20</t>
    </r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</si>
  <si>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x2900</t>
    </r>
  </si>
  <si>
    <r>
      <rPr>
        <sz val="10"/>
        <color rgb="FF000000"/>
        <rFont val="Calibri"/>
        <family val="2"/>
        <charset val="136"/>
        <scheme val="minor"/>
      </rPr>
      <t>寬軌固定擋片</t>
    </r>
    <r>
      <rPr>
        <sz val="10"/>
        <color rgb="FF000000"/>
        <rFont val="Calibri"/>
        <family val="2"/>
        <scheme val="minor"/>
      </rPr>
      <t xml:space="preserve"> TBR-F</t>
    </r>
  </si>
  <si>
    <r>
      <rPr>
        <sz val="10"/>
        <color rgb="FF000000"/>
        <rFont val="Calibri"/>
        <family val="2"/>
        <charset val="136"/>
        <scheme val="minor"/>
      </rPr>
      <t>點數授權升級</t>
    </r>
  </si>
  <si>
    <r>
      <rPr>
        <sz val="10"/>
        <color rgb="FF000000"/>
        <rFont val="Calibri"/>
        <family val="2"/>
        <charset val="136"/>
        <scheme val="minor"/>
      </rPr>
      <t>太陽能支架</t>
    </r>
  </si>
  <si>
    <r>
      <rPr>
        <sz val="10"/>
        <color rgb="FF000000"/>
        <rFont val="Calibri"/>
        <family val="2"/>
        <charset val="136"/>
        <scheme val="minor"/>
      </rPr>
      <t>水電材料</t>
    </r>
  </si>
  <si>
    <r>
      <rPr>
        <sz val="10"/>
        <color rgb="FF000000"/>
        <rFont val="Calibri"/>
        <family val="2"/>
        <charset val="136"/>
        <scheme val="minor"/>
      </rPr>
      <t>臺閥</t>
    </r>
  </si>
  <si>
    <r>
      <rPr>
        <sz val="10"/>
        <color rgb="FF000000"/>
        <rFont val="Calibri"/>
        <family val="2"/>
        <charset val="136"/>
        <scheme val="minor"/>
      </rPr>
      <t>刷卡機底座</t>
    </r>
  </si>
  <si>
    <r>
      <rPr>
        <sz val="10"/>
        <color rgb="FF000000"/>
        <rFont val="Calibri"/>
        <family val="2"/>
        <charset val="136"/>
        <scheme val="minor"/>
      </rPr>
      <t>屏北案</t>
    </r>
  </si>
  <si>
    <r>
      <rPr>
        <sz val="10"/>
        <color rgb="FF000000"/>
        <rFont val="Calibri"/>
        <family val="2"/>
        <charset val="136"/>
        <scheme val="minor"/>
      </rPr>
      <t>勾表</t>
    </r>
  </si>
  <si>
    <r>
      <rPr>
        <sz val="10"/>
        <color rgb="FF000000"/>
        <rFont val="Calibri"/>
        <family val="2"/>
        <charset val="136"/>
        <scheme val="minor"/>
      </rPr>
      <t>光照度傳感器</t>
    </r>
  </si>
  <si>
    <r>
      <rPr>
        <sz val="10"/>
        <color rgb="FF000000"/>
        <rFont val="Calibri"/>
        <family val="2"/>
        <charset val="136"/>
        <scheme val="minor"/>
      </rPr>
      <t>日照總輻射傳感器</t>
    </r>
  </si>
  <si>
    <r>
      <rPr>
        <sz val="10"/>
        <color rgb="FF000000"/>
        <rFont val="Calibri"/>
        <family val="2"/>
        <charset val="136"/>
        <scheme val="minor"/>
      </rPr>
      <t>富士通</t>
    </r>
  </si>
  <si>
    <r>
      <rPr>
        <sz val="10"/>
        <color rgb="FF000000"/>
        <rFont val="Calibri"/>
        <family val="2"/>
        <charset val="136"/>
        <scheme val="minor"/>
      </rPr>
      <t>電動風門控制箱</t>
    </r>
  </si>
  <si>
    <t>A308-RLY-2NJ-2+B</t>
  </si>
  <si>
    <t>A308-RMY4N-GS-2</t>
  </si>
  <si>
    <t>M400-0004</t>
  </si>
  <si>
    <t>M400-EMI-850X1800X450</t>
  </si>
  <si>
    <t>M400-LA23B030</t>
  </si>
  <si>
    <t>M400-RWA-9U-500D</t>
  </si>
  <si>
    <t>P700-BM2025090301</t>
  </si>
  <si>
    <t>P700-PCP202605004</t>
  </si>
  <si>
    <t>P700-PCP202607005</t>
  </si>
  <si>
    <t>S204-CT24A0800K06-4854F</t>
  </si>
  <si>
    <t>S204-US-CTV-16-060-2</t>
  </si>
  <si>
    <t>S204-US-CTV-16-100-2</t>
  </si>
  <si>
    <t>S207-AEM-DRB-1-MV-N-ADH-5</t>
  </si>
  <si>
    <t>S209-ADAM-4056SO-B</t>
  </si>
  <si>
    <t>S210-ADAM-4017+-F</t>
  </si>
  <si>
    <t>S210-JIC-636AR</t>
  </si>
  <si>
    <t>S210-JIC-666</t>
  </si>
  <si>
    <t>S210-LK-100S1</t>
  </si>
  <si>
    <t>SF-ACC-0004</t>
    <phoneticPr fontId="3" type="noConversion"/>
  </si>
  <si>
    <t>SF-ACC-0010</t>
    <phoneticPr fontId="3" type="noConversion"/>
  </si>
  <si>
    <t>DELL</t>
    <phoneticPr fontId="3" type="noConversion"/>
  </si>
  <si>
    <t>MOC5UO</t>
    <phoneticPr fontId="3" type="noConversion"/>
  </si>
  <si>
    <t>DELL MOC5UO</t>
    <phoneticPr fontId="3" type="noConversion"/>
  </si>
  <si>
    <t>SF-ACC-0018</t>
    <phoneticPr fontId="3" type="noConversion"/>
  </si>
  <si>
    <t>A20</t>
    <phoneticPr fontId="3" type="noConversion"/>
  </si>
  <si>
    <t>M400-0003</t>
    <phoneticPr fontId="3" type="noConversion"/>
  </si>
  <si>
    <t>Llgitech</t>
    <phoneticPr fontId="3" type="noConversion"/>
  </si>
  <si>
    <t>SF-SVR-0001</t>
    <phoneticPr fontId="3" type="noConversion"/>
  </si>
  <si>
    <t>SF-ACC-0009</t>
    <phoneticPr fontId="3" type="noConversion"/>
  </si>
  <si>
    <t>SF-ACC-0008</t>
    <phoneticPr fontId="3" type="noConversion"/>
  </si>
  <si>
    <t>SF-ACC-0022</t>
    <phoneticPr fontId="3" type="noConversion"/>
  </si>
  <si>
    <t>SF-ACC-0024</t>
    <phoneticPr fontId="3" type="noConversion"/>
  </si>
  <si>
    <t>SF-VM-0001</t>
    <phoneticPr fontId="3" type="noConversion"/>
  </si>
  <si>
    <t>SF-VM-0002</t>
    <phoneticPr fontId="3" type="noConversion"/>
  </si>
  <si>
    <t>SF-SVR-0002</t>
    <phoneticPr fontId="3" type="noConversion"/>
  </si>
  <si>
    <t>SF-VM-0004</t>
    <phoneticPr fontId="3" type="noConversion"/>
  </si>
  <si>
    <t>SF-VM-0003</t>
    <phoneticPr fontId="3" type="noConversion"/>
  </si>
  <si>
    <t>Microsoft</t>
    <phoneticPr fontId="3" type="noConversion"/>
  </si>
  <si>
    <t>Acer</t>
    <phoneticPr fontId="3" type="noConversion"/>
  </si>
  <si>
    <t>S204-CT24A0600L04-4871D</t>
    <phoneticPr fontId="3" type="noConversion"/>
  </si>
  <si>
    <t>SF-SVR-0003</t>
    <phoneticPr fontId="3" type="noConversion"/>
  </si>
  <si>
    <t>SF-VM-0005</t>
    <phoneticPr fontId="3" type="noConversion"/>
  </si>
  <si>
    <t>SF-SVR-0004</t>
    <phoneticPr fontId="3" type="noConversion"/>
  </si>
  <si>
    <t>SF-VM-0006</t>
    <phoneticPr fontId="3" type="noConversion"/>
  </si>
  <si>
    <t>SF-VM-0007</t>
    <phoneticPr fontId="3" type="noConversion"/>
  </si>
  <si>
    <t>A06</t>
    <phoneticPr fontId="3" type="noConversion"/>
  </si>
  <si>
    <t>Synology</t>
    <phoneticPr fontId="3" type="noConversion"/>
  </si>
  <si>
    <t>SF-NAS-0001</t>
    <phoneticPr fontId="3" type="noConversion"/>
  </si>
  <si>
    <t>SF-NB-0004</t>
    <phoneticPr fontId="3" type="noConversion"/>
  </si>
  <si>
    <t>SF-NET-0001</t>
    <phoneticPr fontId="3" type="noConversion"/>
  </si>
  <si>
    <t>EDR-120-12</t>
    <phoneticPr fontId="3" type="noConversion"/>
  </si>
  <si>
    <t>EBA-43ASIAM</t>
  </si>
  <si>
    <t>H001-ECU-1251TL-R10ABE</t>
  </si>
  <si>
    <t>H003-IPC-610MB-H-BTO</t>
  </si>
  <si>
    <t>H014-ST4000NM024B</t>
  </si>
  <si>
    <t>H016-AR-721-HDR1N21</t>
  </si>
  <si>
    <t>P700-BM2026072005</t>
  </si>
  <si>
    <t>P702-PCP202512012</t>
  </si>
  <si>
    <t>P705-PCP202601005</t>
  </si>
  <si>
    <t>P705-PCP202608005</t>
  </si>
  <si>
    <t>S206-EPH100M0-040XAA3D0350MGM40</t>
  </si>
  <si>
    <t>S206-EPHBA1X-0019-60</t>
  </si>
  <si>
    <t>S209-ADAM-4050-F</t>
  </si>
  <si>
    <t>ADAM-3600-C2GL1A1E</t>
    <phoneticPr fontId="3" type="noConversion"/>
  </si>
  <si>
    <r>
      <t xml:space="preserve">2026/10/1 </t>
    </r>
    <r>
      <rPr>
        <b/>
        <u/>
        <sz val="10"/>
        <color rgb="FF000000"/>
        <rFont val="Calibri"/>
        <family val="2"/>
        <charset val="136"/>
        <scheme val="minor"/>
      </rPr>
      <t>庫存進銷明細</t>
    </r>
    <phoneticPr fontId="3" type="noConversion"/>
  </si>
  <si>
    <r>
      <rPr>
        <b/>
        <sz val="10"/>
        <color rgb="FF000000"/>
        <rFont val="Calibri"/>
        <family val="2"/>
        <charset val="136"/>
        <scheme val="minor"/>
      </rPr>
      <t>出貨</t>
    </r>
    <r>
      <rPr>
        <b/>
        <sz val="10"/>
        <color rgb="FF000000"/>
        <rFont val="Calibri"/>
        <family val="2"/>
        <scheme val="minor"/>
      </rPr>
      <t>(</t>
    </r>
    <r>
      <rPr>
        <b/>
        <sz val="10"/>
        <color rgb="FF000000"/>
        <rFont val="Calibri"/>
        <family val="2"/>
        <charset val="136"/>
        <scheme val="minor"/>
      </rPr>
      <t>當宏</t>
    </r>
    <r>
      <rPr>
        <b/>
        <sz val="10"/>
        <color rgb="FF000000"/>
        <rFont val="Calibri"/>
        <family val="2"/>
        <scheme val="minor"/>
      </rPr>
      <t xml:space="preserve">)
</t>
    </r>
    <r>
      <rPr>
        <b/>
        <sz val="10"/>
        <color rgb="FF000000"/>
        <rFont val="Calibri"/>
        <family val="2"/>
        <charset val="136"/>
        <scheme val="minor"/>
      </rPr>
      <t>金額</t>
    </r>
    <phoneticPr fontId="3" type="noConversion"/>
  </si>
  <si>
    <r>
      <rPr>
        <b/>
        <sz val="10"/>
        <color rgb="FF000000"/>
        <rFont val="Calibri"/>
        <family val="2"/>
        <charset val="136"/>
        <scheme val="minor"/>
      </rPr>
      <t>出貨</t>
    </r>
    <r>
      <rPr>
        <b/>
        <sz val="10"/>
        <color rgb="FF000000"/>
        <rFont val="Calibri"/>
        <family val="2"/>
        <scheme val="minor"/>
      </rPr>
      <t>(</t>
    </r>
    <r>
      <rPr>
        <b/>
        <sz val="10"/>
        <color rgb="FF000000"/>
        <rFont val="Calibri"/>
        <family val="2"/>
        <charset val="136"/>
        <scheme val="minor"/>
      </rPr>
      <t>國眾</t>
    </r>
    <r>
      <rPr>
        <b/>
        <sz val="10"/>
        <color rgb="FF000000"/>
        <rFont val="Calibri"/>
        <family val="2"/>
        <scheme val="minor"/>
      </rPr>
      <t xml:space="preserve">)
</t>
    </r>
    <r>
      <rPr>
        <b/>
        <sz val="10"/>
        <color rgb="FF000000"/>
        <rFont val="Calibri"/>
        <family val="2"/>
        <charset val="136"/>
        <scheme val="minor"/>
      </rPr>
      <t>金額</t>
    </r>
    <phoneticPr fontId="3" type="noConversion"/>
  </si>
  <si>
    <r>
      <rPr>
        <b/>
        <sz val="10"/>
        <color rgb="FF000000"/>
        <rFont val="Calibri"/>
        <family val="2"/>
        <charset val="136"/>
        <scheme val="minor"/>
      </rPr>
      <t>出貨</t>
    </r>
    <r>
      <rPr>
        <b/>
        <sz val="10"/>
        <color rgb="FF000000"/>
        <rFont val="Calibri"/>
        <family val="2"/>
        <scheme val="minor"/>
      </rPr>
      <t>(</t>
    </r>
    <r>
      <rPr>
        <b/>
        <sz val="10"/>
        <color rgb="FF000000"/>
        <rFont val="Calibri"/>
        <family val="2"/>
        <charset val="136"/>
        <scheme val="minor"/>
      </rPr>
      <t>軍情</t>
    </r>
    <r>
      <rPr>
        <b/>
        <sz val="10"/>
        <color rgb="FF000000"/>
        <rFont val="Calibri"/>
        <family val="2"/>
        <scheme val="minor"/>
      </rPr>
      <t xml:space="preserve">)
</t>
    </r>
    <r>
      <rPr>
        <b/>
        <sz val="10"/>
        <color rgb="FF000000"/>
        <rFont val="Calibri"/>
        <family val="2"/>
        <charset val="136"/>
        <scheme val="minor"/>
      </rPr>
      <t>金額</t>
    </r>
    <phoneticPr fontId="3" type="noConversion"/>
  </si>
  <si>
    <r>
      <rPr>
        <b/>
        <sz val="10"/>
        <color rgb="FF000000"/>
        <rFont val="Calibri"/>
        <family val="2"/>
        <charset val="136"/>
        <scheme val="minor"/>
      </rPr>
      <t>出貨</t>
    </r>
    <r>
      <rPr>
        <b/>
        <sz val="10"/>
        <color rgb="FF000000"/>
        <rFont val="Calibri"/>
        <family val="2"/>
        <scheme val="minor"/>
      </rPr>
      <t>(</t>
    </r>
    <r>
      <rPr>
        <b/>
        <sz val="10"/>
        <color rgb="FF000000"/>
        <rFont val="Calibri"/>
        <family val="2"/>
        <charset val="136"/>
        <scheme val="minor"/>
      </rPr>
      <t>躍訊</t>
    </r>
    <r>
      <rPr>
        <b/>
        <sz val="10"/>
        <color rgb="FF000000"/>
        <rFont val="Calibri"/>
        <family val="2"/>
        <scheme val="minor"/>
      </rPr>
      <t xml:space="preserve">)
</t>
    </r>
    <r>
      <rPr>
        <b/>
        <sz val="10"/>
        <color rgb="FF000000"/>
        <rFont val="Calibri"/>
        <family val="2"/>
        <charset val="136"/>
        <scheme val="minor"/>
      </rPr>
      <t>金額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</si>
  <si>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奕龍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繼電器</t>
    </r>
    <r>
      <rPr>
        <sz val="10"/>
        <color theme="1"/>
        <rFont val="Calibri"/>
        <family val="2"/>
        <scheme val="minor"/>
      </rPr>
      <t xml:space="preserve"> OMRON RLY-2NJ-2+B</t>
    </r>
  </si>
  <si>
    <r>
      <rPr>
        <sz val="10"/>
        <color theme="1"/>
        <rFont val="Calibri"/>
        <family val="2"/>
        <charset val="136"/>
        <scheme val="minor"/>
      </rPr>
      <t>當宏</t>
    </r>
    <r>
      <rPr>
        <sz val="10"/>
        <color theme="1"/>
        <rFont val="Calibri"/>
        <family val="2"/>
        <scheme val="minor"/>
      </rPr>
      <t>x1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</si>
  <si>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奕龍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繼電器</t>
    </r>
    <r>
      <rPr>
        <sz val="10"/>
        <color theme="1"/>
        <rFont val="Calibri"/>
        <family val="2"/>
        <scheme val="minor"/>
      </rPr>
      <t xml:space="preserve"> OMRON RMY4N-GS-2</t>
    </r>
  </si>
  <si>
    <r>
      <rPr>
        <sz val="10"/>
        <color theme="1"/>
        <rFont val="Calibri"/>
        <family val="2"/>
        <charset val="136"/>
        <scheme val="minor"/>
      </rPr>
      <t>晨陽</t>
    </r>
    <r>
      <rPr>
        <sz val="10"/>
        <color theme="1"/>
        <rFont val="Calibri"/>
        <family val="2"/>
        <scheme val="minor"/>
      </rPr>
      <t>x3</t>
    </r>
  </si>
  <si>
    <r>
      <rPr>
        <sz val="10"/>
        <color theme="1"/>
        <rFont val="Calibri"/>
        <family val="2"/>
        <charset val="136"/>
        <scheme val="minor"/>
      </rPr>
      <t>其中</t>
    </r>
    <r>
      <rPr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charset val="136"/>
        <scheme val="minor"/>
      </rPr>
      <t>個無盒無背蓋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</si>
  <si>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軍情局</t>
    </r>
    <r>
      <rPr>
        <sz val="10"/>
        <color theme="1"/>
        <rFont val="Calibri"/>
        <family val="2"/>
        <scheme val="minor"/>
      </rPr>
      <t>x22</t>
    </r>
    <phoneticPr fontId="3" type="noConversion"/>
  </si>
  <si>
    <r>
      <rPr>
        <sz val="10"/>
        <color rgb="FF000000"/>
        <rFont val="Calibri"/>
        <family val="2"/>
        <charset val="136"/>
        <scheme val="minor"/>
      </rPr>
      <t>佳瑪環能</t>
    </r>
    <r>
      <rPr>
        <sz val="10"/>
        <color theme="1"/>
        <rFont val="Calibri"/>
        <family val="2"/>
        <scheme val="minor"/>
      </rPr>
      <t>x1</t>
    </r>
    <phoneticPr fontId="3" type="noConversion"/>
  </si>
  <si>
    <r>
      <rPr>
        <sz val="10"/>
        <color rgb="FF000000"/>
        <rFont val="Calibri"/>
        <family val="2"/>
        <charset val="136"/>
        <scheme val="minor"/>
      </rPr>
      <t>億鴻</t>
    </r>
    <r>
      <rPr>
        <sz val="10"/>
        <color rgb="FF000000"/>
        <rFont val="Calibri"/>
        <family val="2"/>
        <scheme val="minor"/>
      </rPr>
      <t>x2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</si>
  <si>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台大農場</t>
    </r>
    <r>
      <rPr>
        <sz val="10"/>
        <color theme="1"/>
        <rFont val="Calibri"/>
        <family val="2"/>
        <scheme val="minor"/>
      </rPr>
      <t>x9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</si>
  <si>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台大農場</t>
    </r>
    <r>
      <rPr>
        <sz val="10"/>
        <color theme="1"/>
        <rFont val="Calibri"/>
        <family val="2"/>
        <scheme val="minor"/>
      </rPr>
      <t>x8</t>
    </r>
    <phoneticPr fontId="3" type="noConversion"/>
  </si>
  <si>
    <r>
      <t>EBA-43ASIAM 110~480V 2.5(10)A</t>
    </r>
    <r>
      <rPr>
        <sz val="10"/>
        <color theme="1"/>
        <rFont val="Calibri"/>
        <family val="2"/>
        <charset val="136"/>
        <scheme val="minor"/>
      </rPr>
      <t>大同電表</t>
    </r>
  </si>
  <si>
    <r>
      <rPr>
        <sz val="10"/>
        <color theme="1"/>
        <rFont val="Calibri"/>
        <family val="2"/>
        <charset val="136"/>
        <scheme val="minor"/>
      </rPr>
      <t>中興電工</t>
    </r>
    <r>
      <rPr>
        <sz val="10"/>
        <color theme="1"/>
        <rFont val="Calibri"/>
        <family val="2"/>
        <scheme val="minor"/>
      </rPr>
      <t>x3</t>
    </r>
    <phoneticPr fontId="3" type="noConversion"/>
  </si>
  <si>
    <r>
      <rPr>
        <sz val="10"/>
        <color rgb="FF000000"/>
        <rFont val="Calibri"/>
        <family val="2"/>
        <charset val="136"/>
        <scheme val="minor"/>
      </rPr>
      <t>國眾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Calibri"/>
        <family val="2"/>
        <charset val="136"/>
        <scheme val="minor"/>
      </rPr>
      <t>當宏</t>
    </r>
    <r>
      <rPr>
        <sz val="10"/>
        <color rgb="FF000000"/>
        <rFont val="Calibri"/>
        <family val="2"/>
        <scheme val="minor"/>
      </rPr>
      <t>x1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</si>
  <si>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研華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工業設備通訊、協定轉換、資料蒐集及</t>
    </r>
    <r>
      <rPr>
        <sz val="10"/>
        <color theme="1"/>
        <rFont val="Calibri"/>
        <family val="2"/>
        <scheme val="minor"/>
      </rPr>
      <t xml:space="preserve"> IoT </t>
    </r>
    <r>
      <rPr>
        <sz val="10"/>
        <color theme="1"/>
        <rFont val="Calibri"/>
        <family val="2"/>
        <charset val="136"/>
        <scheme val="minor"/>
      </rPr>
      <t>資料傳輸</t>
    </r>
    <r>
      <rPr>
        <sz val="10"/>
        <color theme="1"/>
        <rFont val="Calibri"/>
        <family val="2"/>
        <scheme val="minor"/>
      </rPr>
      <t xml:space="preserve"> ECU-1251-ABE</t>
    </r>
  </si>
  <si>
    <r>
      <rPr>
        <sz val="10"/>
        <color theme="1"/>
        <rFont val="Calibri"/>
        <family val="2"/>
        <charset val="136"/>
        <scheme val="minor"/>
      </rPr>
      <t>國眾電腦</t>
    </r>
    <r>
      <rPr>
        <sz val="10"/>
        <color theme="1"/>
        <rFont val="Calibri"/>
        <family val="2"/>
        <scheme val="minor"/>
      </rPr>
      <t>x1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</si>
  <si>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研華</t>
    </r>
    <r>
      <rPr>
        <sz val="10"/>
        <color theme="1"/>
        <rFont val="Calibri"/>
        <family val="2"/>
        <scheme val="minor"/>
      </rPr>
      <t>/ COMPUTER SYSTEM FOR IPC-610MB-H-SERIES</t>
    </r>
  </si>
  <si>
    <r>
      <rPr>
        <sz val="10"/>
        <color rgb="FF000000"/>
        <rFont val="Calibri"/>
        <family val="2"/>
        <charset val="136"/>
        <scheme val="minor"/>
      </rPr>
      <t>晨陽</t>
    </r>
    <r>
      <rPr>
        <sz val="10"/>
        <color rgb="FF000000"/>
        <rFont val="Calibri"/>
        <family val="2"/>
        <scheme val="minor"/>
      </rPr>
      <t>x1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</si>
  <si>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永鉅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電源供應器</t>
    </r>
    <r>
      <rPr>
        <sz val="10"/>
        <color theme="1"/>
        <rFont val="Calibri"/>
        <family val="2"/>
        <scheme val="minor"/>
      </rPr>
      <t xml:space="preserve"> 24V 1.5A LRS-35-24</t>
    </r>
  </si>
  <si>
    <r>
      <rPr>
        <sz val="10"/>
        <color theme="1"/>
        <rFont val="Calibri"/>
        <family val="2"/>
        <charset val="136"/>
        <scheme val="minor"/>
      </rPr>
      <t>旭利</t>
    </r>
    <r>
      <rPr>
        <sz val="10"/>
        <color theme="1"/>
        <rFont val="Calibri"/>
        <family val="2"/>
        <scheme val="minor"/>
      </rPr>
      <t xml:space="preserve"> / </t>
    </r>
    <r>
      <rPr>
        <sz val="10"/>
        <color theme="1"/>
        <rFont val="Calibri"/>
        <family val="2"/>
        <charset val="136"/>
        <scheme val="minor"/>
      </rPr>
      <t>企業級硬碟</t>
    </r>
    <r>
      <rPr>
        <sz val="10"/>
        <color theme="1"/>
        <rFont val="Calibri"/>
        <family val="2"/>
        <scheme val="minor"/>
      </rPr>
      <t xml:space="preserve"> 4TB Seagate ST4000NM024B-5Y/P</t>
    </r>
  </si>
  <si>
    <r>
      <rPr>
        <sz val="10"/>
        <color theme="1"/>
        <rFont val="Calibri"/>
        <family val="2"/>
        <charset val="136"/>
        <scheme val="minor"/>
      </rPr>
      <t>疾管署</t>
    </r>
    <r>
      <rPr>
        <sz val="10"/>
        <color theme="1"/>
        <rFont val="Calibri"/>
        <family val="2"/>
        <scheme val="minor"/>
      </rPr>
      <t>x2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</si>
  <si>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茂旭</t>
    </r>
    <r>
      <rPr>
        <sz val="10"/>
        <color theme="1"/>
        <rFont val="Calibri"/>
        <family val="2"/>
        <scheme val="minor"/>
      </rPr>
      <t xml:space="preserve"> / </t>
    </r>
    <r>
      <rPr>
        <sz val="10"/>
        <color theme="1"/>
        <rFont val="Calibri"/>
        <family val="2"/>
        <charset val="136"/>
        <scheme val="minor"/>
      </rPr>
      <t>門禁卡機</t>
    </r>
    <r>
      <rPr>
        <sz val="10"/>
        <color theme="1"/>
        <rFont val="Calibri"/>
        <family val="2"/>
        <scheme val="minor"/>
      </rPr>
      <t xml:space="preserve"> AR-721-HDR1N21</t>
    </r>
  </si>
  <si>
    <r>
      <rPr>
        <sz val="10"/>
        <color theme="1"/>
        <rFont val="Calibri"/>
        <family val="2"/>
        <charset val="136"/>
        <scheme val="minor"/>
      </rPr>
      <t>京潤</t>
    </r>
    <r>
      <rPr>
        <sz val="10"/>
        <color theme="1"/>
        <rFont val="Calibri"/>
        <family val="2"/>
        <scheme val="minor"/>
      </rPr>
      <t>x1</t>
    </r>
    <phoneticPr fontId="3" type="noConversion"/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</si>
  <si>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x150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charset val="136"/>
        <scheme val="minor"/>
      </rPr>
      <t>華電</t>
    </r>
    <r>
      <rPr>
        <sz val="10"/>
        <color theme="1"/>
        <rFont val="Calibri"/>
        <family val="2"/>
        <scheme val="minor"/>
      </rPr>
      <t>x20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</si>
  <si>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台大農場</t>
    </r>
    <r>
      <rPr>
        <sz val="10"/>
        <color theme="1"/>
        <rFont val="Calibri"/>
        <family val="2"/>
        <scheme val="minor"/>
      </rPr>
      <t>x20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</si>
  <si>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國眾</t>
    </r>
    <r>
      <rPr>
        <sz val="10"/>
        <color theme="1"/>
        <rFont val="Calibri"/>
        <family val="2"/>
        <scheme val="minor"/>
      </rPr>
      <t>x1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</si>
  <si>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台大農場</t>
    </r>
    <r>
      <rPr>
        <sz val="10"/>
        <color theme="1"/>
        <rFont val="Calibri"/>
        <family val="2"/>
        <scheme val="minor"/>
      </rPr>
      <t>x1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</si>
  <si>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力久</t>
    </r>
    <r>
      <rPr>
        <sz val="10"/>
        <color theme="1"/>
        <rFont val="Calibri"/>
        <family val="2"/>
        <scheme val="minor"/>
      </rPr>
      <t>/ #304</t>
    </r>
    <r>
      <rPr>
        <sz val="10"/>
        <color theme="1"/>
        <rFont val="Calibri"/>
        <family val="2"/>
        <charset val="136"/>
        <scheme val="minor"/>
      </rPr>
      <t>白鐵屋外金庫型</t>
    </r>
    <r>
      <rPr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charset val="136"/>
        <scheme val="minor"/>
      </rPr>
      <t>錶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charset val="136"/>
        <scheme val="minor"/>
      </rPr>
      <t>附鍍鋅網底</t>
    </r>
    <r>
      <rPr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charset val="136"/>
        <scheme val="minor"/>
      </rPr>
      <t>片</t>
    </r>
    <r>
      <rPr>
        <sz val="10"/>
        <color theme="1"/>
        <rFont val="Calibri"/>
        <family val="2"/>
        <scheme val="minor"/>
      </rPr>
      <t xml:space="preserve"> 350*350*250</t>
    </r>
  </si>
  <si>
    <r>
      <rPr>
        <sz val="10"/>
        <color theme="1"/>
        <rFont val="Calibri"/>
        <family val="2"/>
        <charset val="136"/>
        <scheme val="minor"/>
      </rPr>
      <t>中興電工</t>
    </r>
    <r>
      <rPr>
        <sz val="10"/>
        <color theme="1"/>
        <rFont val="Calibri"/>
        <family val="2"/>
        <scheme val="minor"/>
      </rPr>
      <t>x1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</si>
  <si>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力久</t>
    </r>
    <r>
      <rPr>
        <sz val="10"/>
        <color theme="1"/>
        <rFont val="Calibri"/>
        <family val="2"/>
        <scheme val="minor"/>
      </rPr>
      <t xml:space="preserve">/ #304 </t>
    </r>
    <r>
      <rPr>
        <sz val="10"/>
        <color theme="1"/>
        <rFont val="Calibri"/>
        <family val="2"/>
        <charset val="136"/>
        <scheme val="minor"/>
      </rPr>
      <t>白鐵屋外金庫型</t>
    </r>
    <r>
      <rPr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charset val="136"/>
        <scheme val="minor"/>
      </rPr>
      <t>錶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charset val="136"/>
        <scheme val="minor"/>
      </rPr>
      <t>附鍍鋅網底</t>
    </r>
    <r>
      <rPr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charset val="136"/>
        <scheme val="minor"/>
      </rPr>
      <t>片</t>
    </r>
    <r>
      <rPr>
        <sz val="10"/>
        <color theme="1"/>
        <rFont val="Calibri"/>
        <family val="2"/>
        <scheme val="minor"/>
      </rPr>
      <t xml:space="preserve"> 300*600*250</t>
    </r>
    <r>
      <rPr>
        <sz val="10"/>
        <color theme="1"/>
        <rFont val="Calibri"/>
        <family val="2"/>
        <charset val="136"/>
        <scheme val="minor"/>
      </rPr>
      <t>直式</t>
    </r>
  </si>
  <si>
    <r>
      <t>A20</t>
    </r>
    <r>
      <rPr>
        <sz val="10"/>
        <color theme="1"/>
        <rFont val="Calibri"/>
        <family val="2"/>
        <charset val="136"/>
        <scheme val="minor"/>
      </rPr>
      <t>旁邊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</si>
  <si>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富新電機</t>
    </r>
    <r>
      <rPr>
        <sz val="10"/>
        <color theme="1"/>
        <rFont val="Calibri"/>
        <family val="2"/>
        <scheme val="minor"/>
      </rPr>
      <t>/ EMI</t>
    </r>
    <r>
      <rPr>
        <sz val="10"/>
        <color theme="1"/>
        <rFont val="Calibri"/>
        <family val="2"/>
        <charset val="136"/>
        <scheme val="minor"/>
      </rPr>
      <t>監控空箱</t>
    </r>
    <r>
      <rPr>
        <sz val="10"/>
        <color theme="1"/>
        <rFont val="Calibri"/>
        <family val="2"/>
        <scheme val="minor"/>
      </rPr>
      <t xml:space="preserve"> 850×1800×450mm</t>
    </r>
  </si>
  <si>
    <r>
      <rPr>
        <sz val="10"/>
        <color theme="1"/>
        <rFont val="Calibri"/>
        <family val="2"/>
        <charset val="136"/>
        <scheme val="minor"/>
      </rPr>
      <t>威亮</t>
    </r>
    <r>
      <rPr>
        <sz val="10"/>
        <color theme="1"/>
        <rFont val="Calibri"/>
        <family val="2"/>
        <scheme val="minor"/>
      </rPr>
      <t>x1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</si>
  <si>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奕龍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鐵箱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charset val="136"/>
        <scheme val="minor"/>
      </rPr>
      <t>附底板</t>
    </r>
    <r>
      <rPr>
        <sz val="10"/>
        <color theme="1"/>
        <rFont val="Calibri"/>
        <family val="2"/>
        <scheme val="minor"/>
      </rPr>
      <t xml:space="preserve"> LA23B030 300×250×140mm</t>
    </r>
  </si>
  <si>
    <r>
      <rPr>
        <sz val="10"/>
        <color rgb="FF000000"/>
        <rFont val="Calibri"/>
        <family val="2"/>
        <charset val="136"/>
        <scheme val="minor"/>
      </rPr>
      <t>當宏</t>
    </r>
    <r>
      <rPr>
        <sz val="10"/>
        <color rgb="FF000000"/>
        <rFont val="Calibri"/>
        <family val="2"/>
        <scheme val="minor"/>
      </rPr>
      <t>x1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</si>
  <si>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整合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機櫃</t>
    </r>
    <r>
      <rPr>
        <sz val="10"/>
        <color theme="1"/>
        <rFont val="Calibri"/>
        <family val="2"/>
        <scheme val="minor"/>
      </rPr>
      <t xml:space="preserve"> RWA-9U-500D (300w*205d*450h)</t>
    </r>
  </si>
  <si>
    <r>
      <rPr>
        <sz val="10"/>
        <color theme="1"/>
        <rFont val="Calibri"/>
        <family val="2"/>
        <charset val="136"/>
        <scheme val="minor"/>
      </rPr>
      <t>進豐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安裝施工費</t>
    </r>
    <r>
      <rPr>
        <sz val="10"/>
        <color theme="1"/>
        <rFont val="Calibri"/>
        <family val="2"/>
        <scheme val="minor"/>
      </rPr>
      <t xml:space="preserve"> for  </t>
    </r>
    <r>
      <rPr>
        <sz val="10"/>
        <color theme="1"/>
        <rFont val="Calibri"/>
        <family val="2"/>
        <charset val="136"/>
        <scheme val="minor"/>
      </rPr>
      <t>躍昇綠能</t>
    </r>
    <r>
      <rPr>
        <sz val="10"/>
        <color theme="1"/>
        <rFont val="Calibri"/>
        <family val="2"/>
        <scheme val="minor"/>
      </rPr>
      <t>-</t>
    </r>
    <r>
      <rPr>
        <sz val="10"/>
        <color theme="1"/>
        <rFont val="Calibri"/>
        <family val="2"/>
        <charset val="136"/>
        <scheme val="minor"/>
      </rPr>
      <t>衛普材料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</si>
  <si>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躍昇綠能</t>
    </r>
    <r>
      <rPr>
        <sz val="10"/>
        <color theme="1"/>
        <rFont val="Calibri"/>
        <family val="2"/>
        <scheme val="minor"/>
      </rPr>
      <t>x1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</si>
  <si>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大信資通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安裝施工費</t>
    </r>
    <r>
      <rPr>
        <sz val="10"/>
        <color theme="1"/>
        <rFont val="Calibri"/>
        <family val="2"/>
        <scheme val="minor"/>
      </rPr>
      <t xml:space="preserve"> FOR </t>
    </r>
    <r>
      <rPr>
        <sz val="10"/>
        <color theme="1"/>
        <rFont val="Calibri"/>
        <family val="2"/>
        <charset val="136"/>
        <scheme val="minor"/>
      </rPr>
      <t>中興電工</t>
    </r>
  </si>
  <si>
    <r>
      <rPr>
        <sz val="10"/>
        <color theme="1"/>
        <rFont val="Calibri"/>
        <family val="2"/>
        <charset val="136"/>
        <scheme val="minor"/>
      </rPr>
      <t>宏瑞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安裝施工費</t>
    </r>
    <r>
      <rPr>
        <sz val="10"/>
        <color theme="1"/>
        <rFont val="Calibri"/>
        <family val="2"/>
        <scheme val="minor"/>
      </rPr>
      <t xml:space="preserve"> FOR </t>
    </r>
    <r>
      <rPr>
        <sz val="10"/>
        <color theme="1"/>
        <rFont val="Calibri"/>
        <family val="2"/>
        <charset val="136"/>
        <scheme val="minor"/>
      </rPr>
      <t>正文</t>
    </r>
    <r>
      <rPr>
        <sz val="10"/>
        <color theme="1"/>
        <rFont val="Calibri"/>
        <family val="2"/>
        <scheme val="minor"/>
      </rPr>
      <t>B1</t>
    </r>
    <r>
      <rPr>
        <sz val="10"/>
        <color theme="1"/>
        <rFont val="Calibri"/>
        <family val="2"/>
        <charset val="136"/>
        <scheme val="minor"/>
      </rPr>
      <t>逃生門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</si>
  <si>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正文</t>
    </r>
    <r>
      <rPr>
        <sz val="10"/>
        <color theme="1"/>
        <rFont val="Calibri"/>
        <family val="2"/>
        <scheme val="minor"/>
      </rPr>
      <t>x1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</si>
  <si>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進豐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安裝施工費</t>
    </r>
    <r>
      <rPr>
        <sz val="10"/>
        <color theme="1"/>
        <rFont val="Calibri"/>
        <family val="2"/>
        <scheme val="minor"/>
      </rPr>
      <t xml:space="preserve"> FOR </t>
    </r>
    <r>
      <rPr>
        <sz val="10"/>
        <color theme="1"/>
        <rFont val="Calibri"/>
        <family val="2"/>
        <charset val="136"/>
        <scheme val="minor"/>
      </rPr>
      <t>國震中心</t>
    </r>
    <r>
      <rPr>
        <sz val="10"/>
        <color theme="1"/>
        <rFont val="Calibri"/>
        <family val="2"/>
        <scheme val="minor"/>
      </rPr>
      <t>-</t>
    </r>
    <r>
      <rPr>
        <sz val="10"/>
        <color theme="1"/>
        <rFont val="Calibri"/>
        <family val="2"/>
        <charset val="136"/>
        <scheme val="minor"/>
      </rPr>
      <t>高雄中央公園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</si>
  <si>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國震中心</t>
    </r>
    <r>
      <rPr>
        <sz val="10"/>
        <color theme="1"/>
        <rFont val="Calibri"/>
        <family val="2"/>
        <scheme val="minor"/>
      </rPr>
      <t>x1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</si>
  <si>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立碩科技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維護保養</t>
    </r>
    <r>
      <rPr>
        <sz val="10"/>
        <color theme="1"/>
        <rFont val="Calibri"/>
        <family val="2"/>
        <scheme val="minor"/>
      </rPr>
      <t xml:space="preserve"> for </t>
    </r>
    <r>
      <rPr>
        <sz val="10"/>
        <color theme="1"/>
        <rFont val="Calibri"/>
        <family val="2"/>
        <charset val="136"/>
        <scheme val="minor"/>
      </rPr>
      <t>疾管署</t>
    </r>
  </si>
  <si>
    <r>
      <rPr>
        <sz val="10"/>
        <color theme="1"/>
        <rFont val="Calibri"/>
        <family val="2"/>
        <charset val="136"/>
        <scheme val="minor"/>
      </rPr>
      <t>疾管署</t>
    </r>
    <r>
      <rPr>
        <sz val="10"/>
        <color theme="1"/>
        <rFont val="Calibri"/>
        <family val="2"/>
        <scheme val="minor"/>
      </rPr>
      <t>x1</t>
    </r>
    <phoneticPr fontId="3" type="noConversion"/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</si>
  <si>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x1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</si>
  <si>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永鉅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運費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charset val="136"/>
        <scheme val="minor"/>
      </rPr>
      <t>世網</t>
    </r>
    <r>
      <rPr>
        <sz val="10"/>
        <color theme="1"/>
        <rFont val="Calibri"/>
        <family val="2"/>
        <scheme val="minor"/>
      </rPr>
      <t>-</t>
    </r>
    <r>
      <rPr>
        <sz val="10"/>
        <color theme="1"/>
        <rFont val="Calibri"/>
        <family val="2"/>
        <charset val="136"/>
        <scheme val="minor"/>
      </rPr>
      <t>軍情局</t>
    </r>
  </si>
  <si>
    <r>
      <rPr>
        <sz val="10"/>
        <color theme="1"/>
        <rFont val="Calibri"/>
        <family val="2"/>
        <charset val="136"/>
        <scheme val="minor"/>
      </rPr>
      <t>軍情局</t>
    </r>
    <r>
      <rPr>
        <sz val="10"/>
        <color theme="1"/>
        <rFont val="Calibri"/>
        <family val="2"/>
        <scheme val="minor"/>
      </rPr>
      <t>x1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</si>
  <si>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茂旭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運費</t>
    </r>
    <r>
      <rPr>
        <sz val="10"/>
        <color theme="1"/>
        <rFont val="Calibri"/>
        <family val="2"/>
        <scheme val="minor"/>
      </rPr>
      <t xml:space="preserve"> FOR </t>
    </r>
    <r>
      <rPr>
        <sz val="10"/>
        <color theme="1"/>
        <rFont val="Calibri"/>
        <family val="2"/>
        <charset val="136"/>
        <scheme val="minor"/>
      </rPr>
      <t>京潤</t>
    </r>
  </si>
  <si>
    <r>
      <rPr>
        <sz val="10"/>
        <color theme="1"/>
        <rFont val="Calibri"/>
        <family val="2"/>
        <charset val="136"/>
        <scheme val="minor"/>
      </rPr>
      <t>台大農場</t>
    </r>
    <r>
      <rPr>
        <sz val="10"/>
        <color theme="1"/>
        <rFont val="Calibri"/>
        <family val="2"/>
        <scheme val="minor"/>
      </rPr>
      <t>x29</t>
    </r>
    <phoneticPr fontId="3" type="noConversion"/>
  </si>
  <si>
    <r>
      <rPr>
        <sz val="10"/>
        <color rgb="FF000000"/>
        <rFont val="Calibri"/>
        <family val="2"/>
        <charset val="136"/>
        <scheme val="minor"/>
      </rPr>
      <t>當宏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Calibri"/>
        <family val="2"/>
        <charset val="136"/>
        <scheme val="minor"/>
      </rPr>
      <t>國眾</t>
    </r>
    <r>
      <rPr>
        <sz val="10"/>
        <color rgb="FF000000"/>
        <rFont val="Calibri"/>
        <family val="2"/>
        <scheme val="minor"/>
      </rPr>
      <t>x1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</si>
  <si>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仟佰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開口式電流互感器</t>
    </r>
    <r>
      <rPr>
        <sz val="10"/>
        <color theme="1"/>
        <rFont val="Calibri"/>
        <family val="2"/>
        <scheme val="minor"/>
      </rPr>
      <t xml:space="preserve"> CT24A0600L04-4871D</t>
    </r>
  </si>
  <si>
    <r>
      <rPr>
        <sz val="10"/>
        <color theme="1"/>
        <rFont val="Calibri"/>
        <family val="2"/>
        <charset val="136"/>
        <scheme val="minor"/>
      </rPr>
      <t>中興電工</t>
    </r>
    <r>
      <rPr>
        <sz val="10"/>
        <color theme="1"/>
        <rFont val="Calibri"/>
        <family val="2"/>
        <scheme val="minor"/>
      </rPr>
      <t>x6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</si>
  <si>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仟佰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比流器</t>
    </r>
    <r>
      <rPr>
        <sz val="10"/>
        <color theme="1"/>
        <rFont val="Calibri"/>
        <family val="2"/>
        <scheme val="minor"/>
      </rPr>
      <t xml:space="preserve"> CT24A0800L06-4854F</t>
    </r>
  </si>
  <si>
    <r>
      <rPr>
        <sz val="10"/>
        <color theme="1"/>
        <rFont val="Calibri"/>
        <family val="2"/>
        <charset val="136"/>
        <scheme val="minor"/>
      </rPr>
      <t>東陽</t>
    </r>
    <r>
      <rPr>
        <sz val="10"/>
        <color theme="1"/>
        <rFont val="Calibri"/>
        <family val="2"/>
        <scheme val="minor"/>
      </rPr>
      <t>x3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</si>
  <si>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安誼</t>
    </r>
    <r>
      <rPr>
        <sz val="10"/>
        <color theme="1"/>
        <rFont val="Calibri"/>
        <family val="2"/>
        <scheme val="minor"/>
      </rPr>
      <t>/</t>
    </r>
    <r>
      <rPr>
        <sz val="10"/>
        <color theme="1"/>
        <rFont val="Calibri"/>
        <family val="2"/>
        <charset val="136"/>
        <scheme val="minor"/>
      </rPr>
      <t>夾式比流器</t>
    </r>
    <r>
      <rPr>
        <sz val="10"/>
        <color theme="1"/>
        <rFont val="Calibri"/>
        <family val="2"/>
        <scheme val="minor"/>
      </rPr>
      <t xml:space="preserve"> 60A US-CTV-16-060-2</t>
    </r>
  </si>
  <si>
    <r>
      <rPr>
        <sz val="10"/>
        <color theme="1"/>
        <rFont val="Calibri"/>
        <family val="2"/>
        <charset val="136"/>
        <scheme val="minor"/>
      </rPr>
      <t>國眾</t>
    </r>
    <r>
      <rPr>
        <sz val="10"/>
        <color theme="1"/>
        <rFont val="Calibri"/>
        <family val="2"/>
        <scheme val="minor"/>
      </rPr>
      <t>x9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</si>
  <si>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安誼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夾式比流器</t>
    </r>
    <r>
      <rPr>
        <sz val="10"/>
        <color theme="1"/>
        <rFont val="Calibri"/>
        <family val="2"/>
        <scheme val="minor"/>
      </rPr>
      <t xml:space="preserve"> 100A US-CTV-16-100-2</t>
    </r>
  </si>
  <si>
    <r>
      <rPr>
        <sz val="10"/>
        <color theme="1"/>
        <rFont val="Calibri"/>
        <family val="2"/>
        <charset val="136"/>
        <scheme val="minor"/>
      </rPr>
      <t>國眾</t>
    </r>
    <r>
      <rPr>
        <sz val="10"/>
        <color theme="1"/>
        <rFont val="Calibri"/>
        <family val="2"/>
        <scheme val="minor"/>
      </rPr>
      <t>x6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</si>
  <si>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桓達</t>
    </r>
    <r>
      <rPr>
        <sz val="10"/>
        <color theme="1"/>
        <rFont val="Calibri"/>
        <family val="2"/>
        <scheme val="minor"/>
      </rPr>
      <t xml:space="preserve"> /</t>
    </r>
    <r>
      <rPr>
        <sz val="10"/>
        <color theme="1"/>
        <rFont val="Calibri"/>
        <family val="2"/>
        <charset val="136"/>
        <scheme val="minor"/>
      </rPr>
      <t>多重噴嘴電子水量計</t>
    </r>
    <r>
      <rPr>
        <sz val="10"/>
        <color theme="1"/>
        <rFont val="Calibri"/>
        <family val="2"/>
        <scheme val="minor"/>
      </rPr>
      <t xml:space="preserve"> EPH100M0-040XAA3D0350MGM40 </t>
    </r>
    <r>
      <rPr>
        <sz val="10"/>
        <color theme="1"/>
        <rFont val="Calibri"/>
        <family val="2"/>
        <charset val="136"/>
        <scheme val="minor"/>
      </rPr>
      <t>世代</t>
    </r>
    <r>
      <rPr>
        <sz val="10"/>
        <color theme="1"/>
        <rFont val="Calibri"/>
        <family val="2"/>
        <scheme val="minor"/>
      </rPr>
      <t xml:space="preserve">1 </t>
    </r>
    <r>
      <rPr>
        <sz val="10"/>
        <color theme="1"/>
        <rFont val="Calibri"/>
        <family val="2"/>
        <charset val="136"/>
        <scheme val="minor"/>
      </rPr>
      <t>標準型</t>
    </r>
    <r>
      <rPr>
        <sz val="10"/>
        <color theme="1"/>
        <rFont val="Calibri"/>
        <family val="2"/>
        <scheme val="minor"/>
      </rPr>
      <t xml:space="preserve"> CNP49</t>
    </r>
  </si>
  <si>
    <r>
      <rPr>
        <sz val="10"/>
        <color theme="1"/>
        <rFont val="Calibri"/>
        <family val="2"/>
        <charset val="136"/>
        <scheme val="minor"/>
      </rPr>
      <t>躍訊競泰</t>
    </r>
    <r>
      <rPr>
        <sz val="10"/>
        <color theme="1"/>
        <rFont val="Calibri"/>
        <family val="2"/>
        <scheme val="minor"/>
      </rPr>
      <t>x1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</si>
  <si>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桓達</t>
    </r>
    <r>
      <rPr>
        <sz val="10"/>
        <color theme="1"/>
        <rFont val="Calibri"/>
        <family val="2"/>
        <scheme val="minor"/>
      </rPr>
      <t xml:space="preserve">  / </t>
    </r>
    <r>
      <rPr>
        <sz val="10"/>
        <color theme="1"/>
        <rFont val="Calibri"/>
        <family val="2"/>
        <charset val="136"/>
        <scheme val="minor"/>
      </rPr>
      <t>電子水量計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charset val="136"/>
        <scheme val="minor"/>
      </rPr>
      <t>自製組合</t>
    </r>
    <r>
      <rPr>
        <sz val="10"/>
        <color theme="1"/>
        <rFont val="Calibri"/>
        <family val="2"/>
        <scheme val="minor"/>
      </rPr>
      <t xml:space="preserve"> EPHBA1X-0019</t>
    </r>
  </si>
  <si>
    <r>
      <rPr>
        <sz val="10"/>
        <color theme="1"/>
        <rFont val="Calibri"/>
        <family val="2"/>
        <charset val="136"/>
        <scheme val="minor"/>
      </rPr>
      <t>安誼</t>
    </r>
    <r>
      <rPr>
        <sz val="10"/>
        <color theme="1"/>
        <rFont val="Calibri"/>
        <family val="2"/>
        <scheme val="minor"/>
      </rPr>
      <t>/</t>
    </r>
    <r>
      <rPr>
        <sz val="10"/>
        <color theme="1"/>
        <rFont val="Calibri"/>
        <family val="2"/>
        <charset val="136"/>
        <scheme val="minor"/>
      </rPr>
      <t>多迴路電表</t>
    </r>
    <r>
      <rPr>
        <sz val="10"/>
        <color theme="1"/>
        <rFont val="Calibri"/>
        <family val="2"/>
        <scheme val="minor"/>
      </rPr>
      <t xml:space="preserve"> AEM-DRB-1-MV-N-ADH-5</t>
    </r>
  </si>
  <si>
    <r>
      <rPr>
        <sz val="10"/>
        <color theme="1"/>
        <rFont val="Calibri"/>
        <family val="2"/>
        <charset val="136"/>
        <scheme val="minor"/>
      </rPr>
      <t>國眾</t>
    </r>
    <r>
      <rPr>
        <sz val="10"/>
        <color theme="1"/>
        <rFont val="Calibri"/>
        <family val="2"/>
        <scheme val="minor"/>
      </rPr>
      <t>x2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</si>
  <si>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晨陽</t>
    </r>
    <r>
      <rPr>
        <sz val="10"/>
        <color theme="1"/>
        <rFont val="Calibri"/>
        <family val="2"/>
        <scheme val="minor"/>
      </rPr>
      <t>x3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</si>
  <si>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晨陽</t>
    </r>
    <r>
      <rPr>
        <sz val="10"/>
        <color theme="1"/>
        <rFont val="Calibri"/>
        <family val="2"/>
        <scheme val="minor"/>
      </rPr>
      <t>x1</t>
    </r>
  </si>
  <si>
    <r>
      <rPr>
        <sz val="10"/>
        <color theme="1"/>
        <rFont val="Calibri"/>
        <family val="2"/>
        <charset val="136"/>
        <scheme val="minor"/>
      </rPr>
      <t>研華</t>
    </r>
    <r>
      <rPr>
        <sz val="10"/>
        <color theme="1"/>
        <rFont val="Calibri"/>
        <family val="2"/>
        <scheme val="minor"/>
      </rPr>
      <t xml:space="preserve"> / 8DI/8DO</t>
    </r>
    <r>
      <rPr>
        <sz val="10"/>
        <color theme="1"/>
        <rFont val="Calibri"/>
        <family val="2"/>
        <charset val="136"/>
        <scheme val="minor"/>
      </rPr>
      <t>數位</t>
    </r>
    <r>
      <rPr>
        <sz val="10"/>
        <color theme="1"/>
        <rFont val="Calibri"/>
        <family val="2"/>
        <scheme val="minor"/>
      </rPr>
      <t>I/O</t>
    </r>
    <r>
      <rPr>
        <sz val="10"/>
        <color theme="1"/>
        <rFont val="Calibri"/>
        <family val="2"/>
        <charset val="136"/>
        <scheme val="minor"/>
      </rPr>
      <t>模組</t>
    </r>
    <r>
      <rPr>
        <sz val="10"/>
        <color theme="1"/>
        <rFont val="Calibri"/>
        <family val="2"/>
        <scheme val="minor"/>
      </rPr>
      <t xml:space="preserve"> ADVANTECH ADAM-4050-F</t>
    </r>
  </si>
  <si>
    <r>
      <rPr>
        <sz val="10"/>
        <color theme="1"/>
        <rFont val="Calibri"/>
        <family val="2"/>
        <charset val="136"/>
        <scheme val="minor"/>
      </rPr>
      <t>軍情局</t>
    </r>
    <r>
      <rPr>
        <sz val="10"/>
        <color theme="1"/>
        <rFont val="Calibri"/>
        <family val="2"/>
        <scheme val="minor"/>
      </rPr>
      <t>x14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</si>
  <si>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研華</t>
    </r>
    <r>
      <rPr>
        <sz val="10"/>
        <color theme="1"/>
        <rFont val="Calibri"/>
        <family val="2"/>
        <scheme val="minor"/>
      </rPr>
      <t>/ 12</t>
    </r>
    <r>
      <rPr>
        <sz val="10"/>
        <color theme="1"/>
        <rFont val="Calibri"/>
        <family val="2"/>
        <charset val="136"/>
        <scheme val="minor"/>
      </rPr>
      <t>通道隔離式數位輸出模組</t>
    </r>
    <r>
      <rPr>
        <sz val="10"/>
        <color theme="1"/>
        <rFont val="Calibri"/>
        <family val="2"/>
        <scheme val="minor"/>
      </rPr>
      <t xml:space="preserve"> ADVANTECH ADAM-4056SO-B</t>
    </r>
  </si>
  <si>
    <r>
      <rPr>
        <sz val="10"/>
        <color theme="1"/>
        <rFont val="Calibri"/>
        <family val="2"/>
        <charset val="136"/>
        <scheme val="minor"/>
      </rPr>
      <t>軍情局</t>
    </r>
    <r>
      <rPr>
        <sz val="10"/>
        <color theme="1"/>
        <rFont val="Calibri"/>
        <family val="2"/>
        <scheme val="minor"/>
      </rPr>
      <t>x2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</si>
  <si>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研華</t>
    </r>
    <r>
      <rPr>
        <sz val="10"/>
        <color theme="1"/>
        <rFont val="Calibri"/>
        <family val="2"/>
        <scheme val="minor"/>
      </rPr>
      <t>/ 8</t>
    </r>
    <r>
      <rPr>
        <sz val="10"/>
        <color theme="1"/>
        <rFont val="Calibri"/>
        <family val="2"/>
        <charset val="136"/>
        <scheme val="minor"/>
      </rPr>
      <t>通道類比輸入模組</t>
    </r>
    <r>
      <rPr>
        <sz val="10"/>
        <color theme="1"/>
        <rFont val="Calibri"/>
        <family val="2"/>
        <scheme val="minor"/>
      </rPr>
      <t xml:space="preserve"> ADVANTECH ADAM-4017+-F</t>
    </r>
  </si>
  <si>
    <r>
      <rPr>
        <sz val="10"/>
        <color theme="1"/>
        <rFont val="Calibri"/>
        <family val="2"/>
        <charset val="136"/>
        <scheme val="minor"/>
      </rPr>
      <t>軍情局</t>
    </r>
    <r>
      <rPr>
        <sz val="10"/>
        <color theme="1"/>
        <rFont val="Calibri"/>
        <family val="2"/>
        <scheme val="minor"/>
      </rPr>
      <t>x17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</si>
  <si>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龍光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光電式煙霧警報器</t>
    </r>
    <r>
      <rPr>
        <sz val="10"/>
        <color theme="1"/>
        <rFont val="Calibri"/>
        <family val="2"/>
        <scheme val="minor"/>
      </rPr>
      <t xml:space="preserve"> JIC-636AR</t>
    </r>
  </si>
  <si>
    <r>
      <rPr>
        <sz val="10"/>
        <color theme="1"/>
        <rFont val="Calibri"/>
        <family val="2"/>
        <charset val="136"/>
        <scheme val="minor"/>
      </rPr>
      <t>龍光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溫度感應偵測器</t>
    </r>
    <r>
      <rPr>
        <sz val="10"/>
        <color theme="1"/>
        <rFont val="Calibri"/>
        <family val="2"/>
        <scheme val="minor"/>
      </rPr>
      <t xml:space="preserve"> JIC-666</t>
    </r>
  </si>
  <si>
    <r>
      <rPr>
        <sz val="10"/>
        <color theme="1"/>
        <rFont val="Calibri"/>
        <family val="2"/>
        <charset val="136"/>
        <scheme val="minor"/>
      </rPr>
      <t>龍光</t>
    </r>
    <r>
      <rPr>
        <sz val="10"/>
        <color theme="1"/>
        <rFont val="Calibri"/>
        <family val="2"/>
        <scheme val="minor"/>
      </rPr>
      <t xml:space="preserve">/ </t>
    </r>
    <r>
      <rPr>
        <sz val="10"/>
        <color theme="1"/>
        <rFont val="Calibri"/>
        <family val="2"/>
        <charset val="136"/>
        <scheme val="minor"/>
      </rPr>
      <t>電話自動報警機</t>
    </r>
    <r>
      <rPr>
        <sz val="10"/>
        <color theme="1"/>
        <rFont val="Calibri"/>
        <family val="2"/>
        <scheme val="minor"/>
      </rPr>
      <t xml:space="preserve"> LK-100S1</t>
    </r>
  </si>
  <si>
    <r>
      <rPr>
        <sz val="10"/>
        <color rgb="FF000000"/>
        <rFont val="Calibri"/>
        <family val="2"/>
        <charset val="136"/>
        <scheme val="minor"/>
      </rPr>
      <t>誠士</t>
    </r>
    <r>
      <rPr>
        <sz val="10"/>
        <color rgb="FF000000"/>
        <rFont val="Calibri"/>
        <family val="2"/>
        <scheme val="minor"/>
      </rPr>
      <t xml:space="preserve">x4
</t>
    </r>
    <r>
      <rPr>
        <sz val="10"/>
        <color rgb="FF000000"/>
        <rFont val="Calibri"/>
        <family val="2"/>
        <charset val="136"/>
        <scheme val="minor"/>
      </rPr>
      <t>晶兆成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Calibri"/>
        <family val="2"/>
        <charset val="136"/>
        <scheme val="minor"/>
      </rPr>
      <t>國眾</t>
    </r>
    <r>
      <rPr>
        <sz val="10"/>
        <color rgb="FF000000"/>
        <rFont val="Calibri"/>
        <family val="2"/>
        <scheme val="minor"/>
      </rPr>
      <t xml:space="preserve">x2
</t>
    </r>
    <r>
      <rPr>
        <sz val="10"/>
        <color rgb="FF000000"/>
        <rFont val="Calibri"/>
        <family val="2"/>
        <charset val="136"/>
        <scheme val="minor"/>
      </rPr>
      <t>當宏</t>
    </r>
    <r>
      <rPr>
        <sz val="10"/>
        <color rgb="FF000000"/>
        <rFont val="Calibri"/>
        <family val="2"/>
        <scheme val="minor"/>
      </rPr>
      <t>x3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</si>
  <si>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台大農場</t>
    </r>
    <r>
      <rPr>
        <sz val="10"/>
        <color theme="1"/>
        <rFont val="Calibri"/>
        <family val="2"/>
        <scheme val="minor"/>
      </rPr>
      <t>x30</t>
    </r>
    <phoneticPr fontId="3" type="noConversion"/>
  </si>
  <si>
    <r>
      <rPr>
        <sz val="10"/>
        <color rgb="FF000000"/>
        <rFont val="Calibri"/>
        <family val="2"/>
        <charset val="136"/>
        <scheme val="minor"/>
      </rPr>
      <t>台電</t>
    </r>
    <r>
      <rPr>
        <sz val="10"/>
        <color rgb="FF000000"/>
        <rFont val="Calibri"/>
        <family val="2"/>
        <scheme val="minor"/>
      </rPr>
      <t>x4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</si>
  <si>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國眾</t>
    </r>
    <r>
      <rPr>
        <sz val="10"/>
        <color theme="1"/>
        <rFont val="Calibri"/>
        <family val="2"/>
        <scheme val="minor"/>
      </rPr>
      <t>x100</t>
    </r>
    <phoneticPr fontId="3" type="noConversion"/>
  </si>
  <si>
    <t>H008-LRS-35-24</t>
    <phoneticPr fontId="3" type="noConversion"/>
  </si>
  <si>
    <t>A08</t>
    <phoneticPr fontId="3" type="noConversion"/>
  </si>
  <si>
    <t>S203-LK-155</t>
    <phoneticPr fontId="3" type="noConversion"/>
  </si>
  <si>
    <t>B6</t>
    <phoneticPr fontId="3" type="noConversion"/>
  </si>
  <si>
    <t>S203-LK-152N</t>
    <phoneticPr fontId="3" type="noConversion"/>
  </si>
  <si>
    <r>
      <rPr>
        <b/>
        <sz val="12"/>
        <color rgb="FF000000"/>
        <rFont val="Calibri"/>
        <family val="2"/>
        <scheme val="minor"/>
      </rPr>
      <t>2026/6/30</t>
    </r>
    <r>
      <rPr>
        <b/>
        <u/>
        <sz val="12"/>
        <color rgb="FF000000"/>
        <rFont val="Calibri"/>
        <family val="2"/>
        <charset val="136"/>
        <scheme val="minor"/>
      </rPr>
      <t>資產明細</t>
    </r>
  </si>
  <si>
    <r>
      <rPr>
        <b/>
        <sz val="12"/>
        <color rgb="FF000000"/>
        <rFont val="Calibri"/>
        <family val="2"/>
        <charset val="136"/>
        <scheme val="minor"/>
      </rPr>
      <t>資產
編號</t>
    </r>
  </si>
  <si>
    <r>
      <rPr>
        <b/>
        <sz val="12"/>
        <color rgb="FF000000"/>
        <rFont val="Calibri"/>
        <family val="2"/>
        <charset val="136"/>
        <scheme val="minor"/>
      </rPr>
      <t>產品編號</t>
    </r>
  </si>
  <si>
    <r>
      <rPr>
        <b/>
        <sz val="12"/>
        <color theme="1"/>
        <rFont val="Calibri"/>
        <family val="2"/>
        <charset val="136"/>
        <scheme val="minor"/>
      </rPr>
      <t>品名</t>
    </r>
  </si>
  <si>
    <r>
      <rPr>
        <b/>
        <sz val="12"/>
        <color rgb="FF000000"/>
        <rFont val="Calibri"/>
        <family val="2"/>
        <charset val="136"/>
        <scheme val="minor"/>
      </rPr>
      <t>品牌</t>
    </r>
  </si>
  <si>
    <r>
      <rPr>
        <b/>
        <sz val="12"/>
        <color rgb="FF000000"/>
        <rFont val="Calibri"/>
        <family val="2"/>
        <charset val="136"/>
        <scheme val="minor"/>
      </rPr>
      <t>借出</t>
    </r>
  </si>
  <si>
    <r>
      <rPr>
        <b/>
        <sz val="12"/>
        <color rgb="FF000000"/>
        <rFont val="Calibri"/>
        <family val="2"/>
        <charset val="136"/>
        <scheme val="minor"/>
      </rPr>
      <t>實盤</t>
    </r>
  </si>
  <si>
    <r>
      <rPr>
        <b/>
        <sz val="12"/>
        <color rgb="FF000000"/>
        <rFont val="Calibri"/>
        <family val="2"/>
        <charset val="136"/>
        <scheme val="minor"/>
      </rPr>
      <t>現有</t>
    </r>
  </si>
  <si>
    <r>
      <rPr>
        <b/>
        <sz val="12"/>
        <color rgb="FF000000"/>
        <rFont val="Calibri"/>
        <family val="2"/>
        <charset val="136"/>
        <scheme val="minor"/>
      </rPr>
      <t>存放
位置</t>
    </r>
  </si>
  <si>
    <r>
      <rPr>
        <b/>
        <sz val="12"/>
        <color rgb="FF000000"/>
        <rFont val="Calibri"/>
        <family val="2"/>
        <charset val="136"/>
        <scheme val="minor"/>
      </rPr>
      <t>借出
單號</t>
    </r>
  </si>
  <si>
    <r>
      <rPr>
        <b/>
        <sz val="12"/>
        <color rgb="FF000000"/>
        <rFont val="Calibri"/>
        <family val="2"/>
        <charset val="136"/>
        <scheme val="minor"/>
      </rPr>
      <t>借出
數量</t>
    </r>
  </si>
  <si>
    <r>
      <rPr>
        <b/>
        <sz val="12"/>
        <color rgb="FF000000"/>
        <rFont val="Calibri"/>
        <family val="2"/>
        <charset val="136"/>
        <scheme val="minor"/>
      </rPr>
      <t>借出
對象</t>
    </r>
  </si>
  <si>
    <r>
      <rPr>
        <b/>
        <sz val="12"/>
        <color rgb="FF000000"/>
        <rFont val="Calibri"/>
        <family val="2"/>
        <charset val="136"/>
        <scheme val="minor"/>
      </rPr>
      <t>盤點日期</t>
    </r>
  </si>
  <si>
    <r>
      <rPr>
        <b/>
        <sz val="12"/>
        <color rgb="FF000000"/>
        <rFont val="Calibri"/>
        <family val="2"/>
        <charset val="136"/>
        <scheme val="minor"/>
      </rPr>
      <t>備註</t>
    </r>
  </si>
  <si>
    <r>
      <rPr>
        <sz val="12"/>
        <color rgb="FF000000"/>
        <rFont val="Calibri"/>
        <family val="2"/>
        <charset val="136"/>
        <scheme val="minor"/>
      </rPr>
      <t>螺絲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華司型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自攻螺絲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十字</t>
    </r>
    <r>
      <rPr>
        <sz val="12"/>
        <color rgb="FF000000"/>
        <rFont val="Calibri"/>
        <family val="2"/>
        <scheme val="minor"/>
      </rPr>
      <t xml:space="preserve"> #8 1/2in </t>
    </r>
    <r>
      <rPr>
        <sz val="12"/>
        <color rgb="FF000000"/>
        <rFont val="Calibri"/>
        <family val="2"/>
        <charset val="136"/>
        <scheme val="minor"/>
      </rPr>
      <t>銀色</t>
    </r>
    <r>
      <rPr>
        <sz val="12"/>
        <color rgb="FF000000"/>
        <rFont val="Calibri"/>
        <family val="2"/>
        <scheme val="minor"/>
      </rPr>
      <t xml:space="preserve"> 1.3cm</t>
    </r>
  </si>
  <si>
    <r>
      <rPr>
        <sz val="12"/>
        <color rgb="FF000000"/>
        <rFont val="Calibri"/>
        <family val="2"/>
        <scheme val="minor"/>
      </rPr>
      <t>DIN</t>
    </r>
    <r>
      <rPr>
        <sz val="12"/>
        <color rgb="FF000000"/>
        <rFont val="Calibri"/>
        <family val="2"/>
        <charset val="136"/>
        <scheme val="minor"/>
      </rPr>
      <t>導軌端子台固定座</t>
    </r>
    <r>
      <rPr>
        <sz val="12"/>
        <color rgb="FF000000"/>
        <rFont val="Calibri"/>
        <family val="2"/>
        <scheme val="minor"/>
      </rPr>
      <t xml:space="preserve"> TD-015 15A 600V</t>
    </r>
  </si>
  <si>
    <r>
      <rPr>
        <sz val="12"/>
        <color rgb="FF000000"/>
        <rFont val="Calibri"/>
        <family val="2"/>
        <charset val="136"/>
        <scheme val="minor"/>
      </rPr>
      <t>壁虎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內迫壁虎</t>
    </r>
    <r>
      <rPr>
        <sz val="12"/>
        <color rgb="FF000000"/>
        <rFont val="Calibri"/>
        <family val="2"/>
        <scheme val="minor"/>
      </rPr>
      <t xml:space="preserve"> 3/8" </t>
    </r>
    <r>
      <rPr>
        <sz val="12"/>
        <color rgb="FF000000"/>
        <rFont val="Calibri"/>
        <family val="2"/>
        <charset val="136"/>
        <scheme val="minor"/>
      </rPr>
      <t>內牙式壁虎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膨脹壁虎</t>
    </r>
    <r>
      <rPr>
        <sz val="12"/>
        <color rgb="FF000000"/>
        <rFont val="Calibri"/>
        <family val="2"/>
        <scheme val="minor"/>
      </rPr>
      <t xml:space="preserve">  DROP IN ANCHOR </t>
    </r>
  </si>
  <si>
    <r>
      <rPr>
        <sz val="12"/>
        <color rgb="FF000000"/>
        <rFont val="Calibri"/>
        <family val="2"/>
        <charset val="136"/>
        <scheme val="minor"/>
      </rPr>
      <t>螺絲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沉頭機械牙螺絲</t>
    </r>
    <r>
      <rPr>
        <sz val="12"/>
        <color rgb="FF000000"/>
        <rFont val="Calibri"/>
        <family val="2"/>
        <scheme val="minor"/>
      </rPr>
      <t xml:space="preserve"> M3×5 </t>
    </r>
    <r>
      <rPr>
        <sz val="12"/>
        <color rgb="FF000000"/>
        <rFont val="Calibri"/>
        <family val="2"/>
        <charset val="136"/>
        <scheme val="minor"/>
      </rPr>
      <t>黑色</t>
    </r>
  </si>
  <si>
    <r>
      <rPr>
        <sz val="12"/>
        <color rgb="FF000000"/>
        <rFont val="Calibri"/>
        <family val="2"/>
        <charset val="136"/>
        <scheme val="minor"/>
      </rPr>
      <t>魔鬼氈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工業級魔鬼氈扣件</t>
    </r>
  </si>
  <si>
    <r>
      <rPr>
        <sz val="12"/>
        <color rgb="FF000000"/>
        <rFont val="Calibri"/>
        <family val="2"/>
        <scheme val="minor"/>
      </rPr>
      <t>1</t>
    </r>
    <r>
      <rPr>
        <sz val="12"/>
        <color rgb="FF000000"/>
        <rFont val="Calibri"/>
        <family val="2"/>
        <charset val="136"/>
        <scheme val="minor"/>
      </rPr>
      <t>批</t>
    </r>
  </si>
  <si>
    <r>
      <rPr>
        <sz val="12"/>
        <color rgb="FF000000"/>
        <rFont val="Calibri"/>
        <family val="2"/>
        <charset val="136"/>
        <scheme val="minor"/>
      </rPr>
      <t>束線帶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尼龍束線帶</t>
    </r>
    <r>
      <rPr>
        <sz val="12"/>
        <color rgb="FF000000"/>
        <rFont val="Calibri"/>
        <family val="2"/>
        <scheme val="minor"/>
      </rPr>
      <t xml:space="preserve"> 300×4.8mm </t>
    </r>
    <r>
      <rPr>
        <sz val="12"/>
        <color rgb="FF000000"/>
        <rFont val="Calibri"/>
        <family val="2"/>
        <charset val="136"/>
        <scheme val="minor"/>
      </rPr>
      <t>白色</t>
    </r>
  </si>
  <si>
    <r>
      <rPr>
        <sz val="12"/>
        <color rgb="FF000000"/>
        <rFont val="Calibri"/>
        <family val="2"/>
        <charset val="136"/>
        <scheme val="minor"/>
      </rPr>
      <t>束線帶</t>
    </r>
    <r>
      <rPr>
        <sz val="12"/>
        <color rgb="FF000000"/>
        <rFont val="Calibri"/>
        <family val="2"/>
        <scheme val="minor"/>
      </rPr>
      <t xml:space="preserve"> KSS/</t>
    </r>
    <r>
      <rPr>
        <sz val="12"/>
        <color rgb="FF000000"/>
        <rFont val="Calibri"/>
        <family val="2"/>
        <charset val="136"/>
        <scheme val="minor"/>
      </rPr>
      <t>尼龍束線帶</t>
    </r>
    <r>
      <rPr>
        <sz val="12"/>
        <color rgb="FF000000"/>
        <rFont val="Calibri"/>
        <family val="2"/>
        <scheme val="minor"/>
      </rPr>
      <t xml:space="preserve"> CV-100 100×2.5mm </t>
    </r>
    <r>
      <rPr>
        <sz val="12"/>
        <color rgb="FF000000"/>
        <rFont val="Calibri"/>
        <family val="2"/>
        <charset val="136"/>
        <scheme val="minor"/>
      </rPr>
      <t>本色白</t>
    </r>
    <r>
      <rPr>
        <sz val="12"/>
        <color rgb="FF000000"/>
        <rFont val="Calibri"/>
        <family val="2"/>
        <scheme val="minor"/>
      </rPr>
      <t xml:space="preserve"> NYLON66 UL94V-2 </t>
    </r>
    <r>
      <rPr>
        <sz val="12"/>
        <color rgb="FF000000"/>
        <rFont val="Calibri"/>
        <family val="2"/>
        <charset val="136"/>
        <scheme val="minor"/>
      </rPr>
      <t>拉力</t>
    </r>
    <r>
      <rPr>
        <sz val="12"/>
        <color rgb="FF000000"/>
        <rFont val="Calibri"/>
        <family val="2"/>
        <scheme val="minor"/>
      </rPr>
      <t xml:space="preserve">80N </t>
    </r>
    <r>
      <rPr>
        <sz val="12"/>
        <color rgb="FF000000"/>
        <rFont val="Calibri"/>
        <family val="2"/>
        <charset val="136"/>
        <scheme val="minor"/>
      </rPr>
      <t>束徑</t>
    </r>
    <r>
      <rPr>
        <sz val="12"/>
        <color rgb="FF000000"/>
        <rFont val="Calibri"/>
        <family val="2"/>
        <scheme val="minor"/>
      </rPr>
      <t>3–20mm -40</t>
    </r>
    <r>
      <rPr>
        <sz val="12"/>
        <color rgb="FF000000"/>
        <rFont val="Calibri"/>
        <family val="2"/>
        <charset val="136"/>
        <scheme val="minor"/>
      </rPr>
      <t>～</t>
    </r>
    <r>
      <rPr>
        <sz val="12"/>
        <color rgb="FF000000"/>
        <rFont val="Calibri"/>
        <family val="2"/>
        <scheme val="minor"/>
      </rPr>
      <t>85°C 100PCS/</t>
    </r>
    <r>
      <rPr>
        <sz val="12"/>
        <color rgb="FF000000"/>
        <rFont val="Calibri"/>
        <family val="2"/>
        <charset val="136"/>
        <scheme val="minor"/>
      </rPr>
      <t>包</t>
    </r>
  </si>
  <si>
    <r>
      <rPr>
        <sz val="12"/>
        <color rgb="FF000000"/>
        <rFont val="Calibri"/>
        <family val="2"/>
        <charset val="136"/>
        <scheme val="minor"/>
      </rPr>
      <t>束線帶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尼龍束線帶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黑色</t>
    </r>
    <r>
      <rPr>
        <sz val="12"/>
        <color rgb="FF000000"/>
        <rFont val="Calibri"/>
        <family val="2"/>
        <scheme val="minor"/>
      </rPr>
      <t xml:space="preserve"> 20cm</t>
    </r>
  </si>
  <si>
    <r>
      <rPr>
        <sz val="12"/>
        <color rgb="FF000000"/>
        <rFont val="Calibri"/>
        <family val="2"/>
        <charset val="136"/>
        <scheme val="minor"/>
      </rPr>
      <t>扣式護線套</t>
    </r>
    <r>
      <rPr>
        <sz val="12"/>
        <color rgb="FF000000"/>
        <rFont val="Calibri"/>
        <family val="2"/>
        <scheme val="minor"/>
      </rPr>
      <t xml:space="preserve"> KSS/SB-16 </t>
    </r>
    <r>
      <rPr>
        <sz val="12"/>
        <color rgb="FF000000"/>
        <rFont val="Calibri"/>
        <family val="2"/>
        <charset val="136"/>
        <scheme val="minor"/>
      </rPr>
      <t>直徑</t>
    </r>
    <r>
      <rPr>
        <sz val="12"/>
        <color rgb="FF000000"/>
        <rFont val="Calibri"/>
        <family val="2"/>
        <scheme val="minor"/>
      </rPr>
      <t xml:space="preserve">1.9cm </t>
    </r>
    <r>
      <rPr>
        <sz val="12"/>
        <color rgb="FF000000"/>
        <rFont val="Calibri"/>
        <family val="2"/>
        <charset val="136"/>
        <scheme val="minor"/>
      </rPr>
      <t>長度</t>
    </r>
    <r>
      <rPr>
        <sz val="12"/>
        <color rgb="FF000000"/>
        <rFont val="Calibri"/>
        <family val="2"/>
        <scheme val="minor"/>
      </rPr>
      <t xml:space="preserve">1cm </t>
    </r>
    <r>
      <rPr>
        <sz val="12"/>
        <color rgb="FF000000"/>
        <rFont val="Calibri"/>
        <family val="2"/>
        <charset val="136"/>
        <scheme val="minor"/>
      </rPr>
      <t>黑色</t>
    </r>
  </si>
  <si>
    <r>
      <rPr>
        <sz val="12"/>
        <color rgb="FF000000"/>
        <rFont val="Calibri"/>
        <family val="2"/>
        <scheme val="minor"/>
      </rPr>
      <t>86</t>
    </r>
    <r>
      <rPr>
        <sz val="12"/>
        <color rgb="FF000000"/>
        <rFont val="Calibri"/>
        <family val="2"/>
        <charset val="136"/>
        <scheme val="minor"/>
      </rPr>
      <t>型明裝面板盒</t>
    </r>
    <r>
      <rPr>
        <sz val="12"/>
        <color rgb="FF000000"/>
        <rFont val="Calibri"/>
        <family val="2"/>
        <scheme val="minor"/>
      </rPr>
      <t>(</t>
    </r>
    <r>
      <rPr>
        <sz val="12"/>
        <color rgb="FF000000"/>
        <rFont val="Calibri"/>
        <family val="2"/>
        <charset val="136"/>
        <scheme val="minor"/>
      </rPr>
      <t>含蓋板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</si>
  <si>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外殼</t>
    </r>
    <r>
      <rPr>
        <sz val="12"/>
        <color rgb="FF000000"/>
        <rFont val="Calibri"/>
        <family val="2"/>
        <scheme val="minor"/>
      </rPr>
      <t xml:space="preserve"> ADTEK/</t>
    </r>
    <r>
      <rPr>
        <sz val="12"/>
        <color rgb="FF000000"/>
        <rFont val="Calibri"/>
        <family val="2"/>
        <charset val="136"/>
        <scheme val="minor"/>
      </rPr>
      <t>溫濕度傳送器外殼</t>
    </r>
  </si>
  <si>
    <r>
      <rPr>
        <sz val="12"/>
        <color rgb="FF000000"/>
        <rFont val="Calibri"/>
        <family val="2"/>
        <charset val="136"/>
        <scheme val="minor"/>
      </rPr>
      <t>機櫃垂直理線架</t>
    </r>
    <r>
      <rPr>
        <sz val="12"/>
        <color rgb="FF000000"/>
        <rFont val="Calibri"/>
        <family val="2"/>
        <scheme val="minor"/>
      </rPr>
      <t>(2</t>
    </r>
    <r>
      <rPr>
        <sz val="12"/>
        <color rgb="FF000000"/>
        <rFont val="Calibri"/>
        <family val="2"/>
        <charset val="136"/>
        <scheme val="minor"/>
      </rPr>
      <t>入組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</si>
  <si>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電虹國際</t>
    </r>
  </si>
  <si>
    <r>
      <rPr>
        <sz val="12"/>
        <color rgb="FF000000"/>
        <rFont val="Calibri"/>
        <family val="2"/>
        <charset val="136"/>
        <scheme val="minor"/>
      </rPr>
      <t>扣式塞頭</t>
    </r>
    <r>
      <rPr>
        <sz val="12"/>
        <color rgb="FF000000"/>
        <rFont val="Calibri"/>
        <family val="2"/>
        <scheme val="minor"/>
      </rPr>
      <t xml:space="preserve"> KSS/HOLE PLUG </t>
    </r>
    <r>
      <rPr>
        <sz val="12"/>
        <color rgb="FF000000"/>
        <rFont val="Calibri"/>
        <family val="2"/>
        <charset val="136"/>
        <scheme val="minor"/>
      </rPr>
      <t>尼龍孔塞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絕緣</t>
    </r>
    <r>
      <rPr>
        <sz val="12"/>
        <color rgb="FF000000"/>
        <rFont val="Calibri"/>
        <family val="2"/>
        <scheme val="minor"/>
      </rPr>
      <t xml:space="preserve"> HP-25 </t>
    </r>
    <r>
      <rPr>
        <sz val="12"/>
        <color rgb="FF000000"/>
        <rFont val="Calibri"/>
        <family val="2"/>
        <charset val="136"/>
        <scheme val="minor"/>
      </rPr>
      <t>鐵板孔徑</t>
    </r>
    <r>
      <rPr>
        <sz val="12"/>
        <color rgb="FF000000"/>
        <rFont val="Calibri"/>
        <family val="2"/>
        <scheme val="minor"/>
      </rPr>
      <t xml:space="preserve">25.4mm 1in </t>
    </r>
    <r>
      <rPr>
        <sz val="12"/>
        <color rgb="FF000000"/>
        <rFont val="Calibri"/>
        <family val="2"/>
        <charset val="136"/>
        <scheme val="minor"/>
      </rPr>
      <t>適用板厚</t>
    </r>
    <r>
      <rPr>
        <sz val="12"/>
        <color rgb="FF000000"/>
        <rFont val="Calibri"/>
        <family val="2"/>
        <scheme val="minor"/>
      </rPr>
      <t xml:space="preserve">3.2mm </t>
    </r>
  </si>
  <si>
    <r>
      <rPr>
        <sz val="12"/>
        <color rgb="FF000000"/>
        <rFont val="Calibri"/>
        <family val="2"/>
        <charset val="136"/>
        <scheme val="minor"/>
      </rPr>
      <t>插釘式電纜固定夾</t>
    </r>
    <r>
      <rPr>
        <sz val="12"/>
        <color rgb="FF000000"/>
        <rFont val="Calibri"/>
        <family val="2"/>
        <scheme val="minor"/>
      </rPr>
      <t xml:space="preserve"> KSS/NC-8N 3.3x3cm</t>
    </r>
  </si>
  <si>
    <r>
      <rPr>
        <sz val="12"/>
        <color rgb="FF000000"/>
        <rFont val="Calibri"/>
        <family val="2"/>
        <charset val="136"/>
        <scheme val="minor"/>
      </rPr>
      <t>面板蓋板</t>
    </r>
    <r>
      <rPr>
        <sz val="12"/>
        <color rgb="FF000000"/>
        <rFont val="Calibri"/>
        <family val="2"/>
        <scheme val="minor"/>
      </rPr>
      <t>(</t>
    </r>
    <r>
      <rPr>
        <sz val="12"/>
        <color rgb="FF000000"/>
        <rFont val="Calibri"/>
        <family val="2"/>
        <charset val="136"/>
        <scheme val="minor"/>
      </rPr>
      <t>開孔式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</si>
  <si>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scheme val="minor"/>
      </rPr>
      <t>ACTi/</t>
    </r>
    <r>
      <rPr>
        <sz val="12"/>
        <color rgb="FF000000"/>
        <rFont val="Calibri"/>
        <family val="2"/>
        <charset val="136"/>
        <scheme val="minor"/>
      </rPr>
      <t>攝影機吊架</t>
    </r>
    <r>
      <rPr>
        <sz val="12"/>
        <color rgb="FF000000"/>
        <rFont val="Calibri"/>
        <family val="2"/>
        <scheme val="minor"/>
      </rPr>
      <t xml:space="preserve"> PMAX</t>
    </r>
    <r>
      <rPr>
        <sz val="12"/>
        <color rgb="FF000000"/>
        <rFont val="Calibri"/>
        <family val="2"/>
        <charset val="136"/>
        <scheme val="minor"/>
      </rPr>
      <t>系列</t>
    </r>
  </si>
  <si>
    <r>
      <rPr>
        <sz val="12"/>
        <color rgb="FF000000"/>
        <rFont val="Calibri"/>
        <family val="2"/>
        <charset val="136"/>
        <scheme val="minor"/>
      </rPr>
      <t>面板蓋板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一聯不鏽鋼蓋板</t>
    </r>
  </si>
  <si>
    <r>
      <rPr>
        <sz val="12"/>
        <color rgb="FF000000"/>
        <rFont val="Calibri"/>
        <family val="2"/>
        <charset val="136"/>
        <scheme val="minor"/>
      </rPr>
      <t>溫濕度傳送器外殼</t>
    </r>
  </si>
  <si>
    <r>
      <rPr>
        <sz val="12"/>
        <color rgb="FF000000"/>
        <rFont val="Calibri"/>
        <family val="2"/>
        <charset val="136"/>
        <scheme val="minor"/>
      </rPr>
      <t>面板蓋板</t>
    </r>
    <r>
      <rPr>
        <sz val="12"/>
        <color rgb="FF000000"/>
        <rFont val="Calibri"/>
        <family val="2"/>
        <scheme val="minor"/>
      </rPr>
      <t xml:space="preserve"> DECO LITE </t>
    </r>
    <r>
      <rPr>
        <sz val="12"/>
        <color rgb="FF000000"/>
        <rFont val="Calibri"/>
        <family val="2"/>
        <charset val="136"/>
        <scheme val="minor"/>
      </rPr>
      <t>面板蓋板</t>
    </r>
  </si>
  <si>
    <r>
      <rPr>
        <sz val="12"/>
        <color rgb="FF000000"/>
        <rFont val="Calibri"/>
        <family val="2"/>
        <charset val="136"/>
        <scheme val="minor"/>
      </rPr>
      <t>松工電材</t>
    </r>
  </si>
  <si>
    <r>
      <rPr>
        <sz val="12"/>
        <color rgb="FF000000"/>
        <rFont val="Calibri"/>
        <family val="2"/>
        <charset val="136"/>
        <scheme val="minor"/>
      </rPr>
      <t>按鈕</t>
    </r>
    <r>
      <rPr>
        <sz val="12"/>
        <color rgb="FF000000"/>
        <rFont val="Calibri"/>
        <family val="2"/>
        <scheme val="minor"/>
      </rPr>
      <t xml:space="preserve"> IAN/</t>
    </r>
    <r>
      <rPr>
        <sz val="12"/>
        <color rgb="FF000000"/>
        <rFont val="Calibri"/>
        <family val="2"/>
        <charset val="136"/>
        <scheme val="minor"/>
      </rPr>
      <t>緊急求救按鈕</t>
    </r>
  </si>
  <si>
    <r>
      <rPr>
        <sz val="12"/>
        <color rgb="FF000000"/>
        <rFont val="Calibri"/>
        <family val="2"/>
        <charset val="136"/>
        <scheme val="minor"/>
      </rPr>
      <t>電磁鎖</t>
    </r>
    <r>
      <rPr>
        <sz val="12"/>
        <color rgb="FF000000"/>
        <rFont val="Calibri"/>
        <family val="2"/>
        <scheme val="minor"/>
      </rPr>
      <t xml:space="preserve"> SOYAL/AR-0600M 600</t>
    </r>
    <r>
      <rPr>
        <sz val="12"/>
        <color rgb="FF000000"/>
        <rFont val="Calibri"/>
        <family val="2"/>
        <charset val="136"/>
        <scheme val="minor"/>
      </rPr>
      <t>磅</t>
    </r>
  </si>
  <si>
    <r>
      <rPr>
        <sz val="12"/>
        <color rgb="FF000000"/>
        <rFont val="Calibri"/>
        <family val="2"/>
        <charset val="136"/>
        <scheme val="minor"/>
      </rPr>
      <t>控制模組</t>
    </r>
    <r>
      <rPr>
        <sz val="12"/>
        <color rgb="FF000000"/>
        <rFont val="Calibri"/>
        <family val="2"/>
        <scheme val="minor"/>
      </rPr>
      <t xml:space="preserve"> SOYAL/</t>
    </r>
    <r>
      <rPr>
        <sz val="12"/>
        <color rgb="FF000000"/>
        <rFont val="Calibri"/>
        <family val="2"/>
        <charset val="136"/>
        <scheme val="minor"/>
      </rPr>
      <t>門禁繼電器控制模組</t>
    </r>
    <r>
      <rPr>
        <sz val="12"/>
        <color rgb="FF000000"/>
        <rFont val="Calibri"/>
        <family val="2"/>
        <scheme val="minor"/>
      </rPr>
      <t xml:space="preserve"> Relay Board</t>
    </r>
  </si>
  <si>
    <r>
      <rPr>
        <sz val="12"/>
        <color rgb="FF000000"/>
        <rFont val="Calibri"/>
        <family val="2"/>
        <charset val="136"/>
        <scheme val="minor"/>
      </rPr>
      <t>讀卡機</t>
    </r>
    <r>
      <rPr>
        <sz val="12"/>
        <color rgb="FF000000"/>
        <rFont val="Calibri"/>
        <family val="2"/>
        <scheme val="minor"/>
      </rPr>
      <t xml:space="preserve"> SOYAL/RFID</t>
    </r>
    <r>
      <rPr>
        <sz val="12"/>
        <color rgb="FF000000"/>
        <rFont val="Calibri"/>
        <family val="2"/>
        <charset val="136"/>
        <scheme val="minor"/>
      </rPr>
      <t>門禁感應讀卡機</t>
    </r>
    <r>
      <rPr>
        <sz val="12"/>
        <color rgb="FF000000"/>
        <rFont val="Calibri"/>
        <family val="2"/>
        <scheme val="minor"/>
      </rPr>
      <t xml:space="preserve"> 125KHz Wiegand</t>
    </r>
    <r>
      <rPr>
        <sz val="12"/>
        <color rgb="FF000000"/>
        <rFont val="Calibri"/>
        <family val="2"/>
        <charset val="136"/>
        <scheme val="minor"/>
      </rPr>
      <t>介面</t>
    </r>
  </si>
  <si>
    <r>
      <rPr>
        <sz val="12"/>
        <color rgb="FF000000"/>
        <rFont val="Calibri"/>
        <family val="2"/>
        <charset val="136"/>
        <scheme val="minor"/>
      </rPr>
      <t>門禁</t>
    </r>
    <r>
      <rPr>
        <sz val="12"/>
        <color rgb="FF000000"/>
        <rFont val="Calibri"/>
        <family val="2"/>
        <scheme val="minor"/>
      </rPr>
      <t xml:space="preserve"> SOYAL/</t>
    </r>
    <r>
      <rPr>
        <sz val="12"/>
        <color rgb="FF000000"/>
        <rFont val="Calibri"/>
        <family val="2"/>
        <charset val="136"/>
        <scheme val="minor"/>
      </rPr>
      <t>門禁讀卡控制器</t>
    </r>
  </si>
  <si>
    <r>
      <rPr>
        <sz val="12"/>
        <color rgb="FF000000"/>
        <rFont val="Calibri"/>
        <family val="2"/>
        <charset val="136"/>
        <scheme val="minor"/>
      </rPr>
      <t>磁力鎖</t>
    </r>
    <r>
      <rPr>
        <sz val="12"/>
        <color rgb="FF000000"/>
        <rFont val="Calibri"/>
        <family val="2"/>
        <scheme val="minor"/>
      </rPr>
      <t xml:space="preserve"> DA/</t>
    </r>
    <r>
      <rPr>
        <sz val="12"/>
        <color rgb="FF000000"/>
        <rFont val="Calibri"/>
        <family val="2"/>
        <charset val="136"/>
        <scheme val="minor"/>
      </rPr>
      <t>單門磁力鎖</t>
    </r>
    <r>
      <rPr>
        <sz val="12"/>
        <color rgb="FF000000"/>
        <rFont val="Calibri"/>
        <family val="2"/>
        <scheme val="minor"/>
      </rPr>
      <t xml:space="preserve"> 12VDC</t>
    </r>
  </si>
  <si>
    <r>
      <rPr>
        <sz val="12"/>
        <color rgb="FF000000"/>
        <rFont val="Calibri"/>
        <family val="2"/>
        <charset val="136"/>
        <scheme val="minor"/>
      </rPr>
      <t>陰極鎖</t>
    </r>
    <r>
      <rPr>
        <sz val="12"/>
        <color rgb="FF000000"/>
        <rFont val="Calibri"/>
        <family val="2"/>
        <scheme val="minor"/>
      </rPr>
      <t xml:space="preserve"> YUSPHONE </t>
    </r>
    <r>
      <rPr>
        <sz val="12"/>
        <color rgb="FF000000"/>
        <rFont val="Calibri"/>
        <family val="2"/>
        <charset val="136"/>
        <scheme val="minor"/>
      </rPr>
      <t>電插鎖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Calibri"/>
        <family val="2"/>
        <charset val="136"/>
        <scheme val="minor"/>
      </rPr>
      <t>陰極鎖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Calibri"/>
        <family val="2"/>
        <charset val="136"/>
        <scheme val="minor"/>
      </rPr>
      <t>電鎖扣</t>
    </r>
  </si>
  <si>
    <r>
      <rPr>
        <sz val="12"/>
        <color rgb="FF000000"/>
        <rFont val="Calibri"/>
        <family val="2"/>
        <charset val="136"/>
        <scheme val="minor"/>
      </rPr>
      <t>電磁鎖</t>
    </r>
    <r>
      <rPr>
        <sz val="12"/>
        <color rgb="FF000000"/>
        <rFont val="Calibri"/>
        <family val="2"/>
        <scheme val="minor"/>
      </rPr>
      <t xml:space="preserve"> YUSPHONE AC12-24V/DC9-12V</t>
    </r>
  </si>
  <si>
    <r>
      <rPr>
        <sz val="12"/>
        <color rgb="FF000000"/>
        <rFont val="Calibri"/>
        <family val="2"/>
        <charset val="136"/>
        <scheme val="minor"/>
      </rPr>
      <t>電磁鎖</t>
    </r>
    <r>
      <rPr>
        <sz val="12"/>
        <color rgb="FF000000"/>
        <rFont val="Calibri"/>
        <family val="2"/>
        <scheme val="minor"/>
      </rPr>
      <t xml:space="preserve"> SOYAL/1600</t>
    </r>
    <r>
      <rPr>
        <sz val="12"/>
        <color rgb="FF000000"/>
        <rFont val="Calibri"/>
        <family val="2"/>
        <charset val="136"/>
        <scheme val="minor"/>
      </rPr>
      <t>磅電磁鎖</t>
    </r>
  </si>
  <si>
    <r>
      <rPr>
        <sz val="12"/>
        <color rgb="FF000000"/>
        <rFont val="Calibri"/>
        <family val="2"/>
        <charset val="136"/>
        <scheme val="minor"/>
      </rPr>
      <t>支架</t>
    </r>
    <r>
      <rPr>
        <sz val="12"/>
        <color rgb="FF000000"/>
        <rFont val="Calibri"/>
        <family val="2"/>
        <scheme val="minor"/>
      </rPr>
      <t xml:space="preserve"> SOYAL/</t>
    </r>
    <r>
      <rPr>
        <sz val="12"/>
        <color rgb="FF000000"/>
        <rFont val="Calibri"/>
        <family val="2"/>
        <charset val="136"/>
        <scheme val="minor"/>
      </rPr>
      <t>電磁鎖安裝支架</t>
    </r>
    <r>
      <rPr>
        <sz val="12"/>
        <color rgb="FF000000"/>
        <rFont val="Calibri"/>
        <family val="2"/>
        <scheme val="minor"/>
      </rPr>
      <t xml:space="preserve"> U</t>
    </r>
    <r>
      <rPr>
        <sz val="12"/>
        <color rgb="FF000000"/>
        <rFont val="Calibri"/>
        <family val="2"/>
        <charset val="136"/>
        <scheme val="minor"/>
      </rPr>
      <t>型支架</t>
    </r>
    <r>
      <rPr>
        <sz val="12"/>
        <color rgb="FF000000"/>
        <rFont val="Calibri"/>
        <family val="2"/>
        <scheme val="minor"/>
      </rPr>
      <t xml:space="preserve"> 600</t>
    </r>
    <r>
      <rPr>
        <sz val="12"/>
        <color rgb="FF000000"/>
        <rFont val="Calibri"/>
        <family val="2"/>
        <charset val="136"/>
        <scheme val="minor"/>
      </rPr>
      <t>磅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短型</t>
    </r>
    <r>
      <rPr>
        <sz val="12"/>
        <color rgb="FF000000"/>
        <rFont val="Calibri"/>
        <family val="2"/>
        <scheme val="minor"/>
      </rPr>
      <t xml:space="preserve"> 115mm</t>
    </r>
  </si>
  <si>
    <r>
      <rPr>
        <sz val="12"/>
        <color rgb="FF000000"/>
        <rFont val="Calibri"/>
        <family val="2"/>
        <charset val="136"/>
        <scheme val="minor"/>
      </rPr>
      <t>支架</t>
    </r>
    <r>
      <rPr>
        <sz val="12"/>
        <color rgb="FF000000"/>
        <rFont val="Calibri"/>
        <family val="2"/>
        <scheme val="minor"/>
      </rPr>
      <t xml:space="preserve"> SOYAL/</t>
    </r>
    <r>
      <rPr>
        <sz val="12"/>
        <color rgb="FF000000"/>
        <rFont val="Calibri"/>
        <family val="2"/>
        <charset val="136"/>
        <scheme val="minor"/>
      </rPr>
      <t>電磁鎖安裝支架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主支架</t>
    </r>
    <r>
      <rPr>
        <sz val="12"/>
        <color rgb="FF000000"/>
        <rFont val="Calibri"/>
        <family val="2"/>
        <scheme val="minor"/>
      </rPr>
      <t xml:space="preserve"> 600</t>
    </r>
    <r>
      <rPr>
        <sz val="12"/>
        <color rgb="FF000000"/>
        <rFont val="Calibri"/>
        <family val="2"/>
        <charset val="136"/>
        <scheme val="minor"/>
      </rPr>
      <t>磅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長型</t>
    </r>
    <r>
      <rPr>
        <sz val="12"/>
        <color rgb="FF000000"/>
        <rFont val="Calibri"/>
        <family val="2"/>
        <scheme val="minor"/>
      </rPr>
      <t xml:space="preserve"> 215mm</t>
    </r>
  </si>
  <si>
    <r>
      <rPr>
        <sz val="12"/>
        <color rgb="FF000000"/>
        <rFont val="Calibri"/>
        <family val="2"/>
        <scheme val="minor"/>
      </rPr>
      <t>1200</t>
    </r>
    <r>
      <rPr>
        <sz val="12"/>
        <color rgb="FF000000"/>
        <rFont val="Calibri"/>
        <family val="2"/>
        <charset val="136"/>
        <scheme val="minor"/>
      </rPr>
      <t>磅電磁鎖</t>
    </r>
  </si>
  <si>
    <r>
      <rPr>
        <sz val="12"/>
        <color rgb="FF000000"/>
        <rFont val="Calibri"/>
        <family val="2"/>
        <charset val="136"/>
        <scheme val="minor"/>
      </rPr>
      <t>電磁鎖附</t>
    </r>
    <r>
      <rPr>
        <sz val="12"/>
        <color rgb="FF000000"/>
        <rFont val="Calibri"/>
        <family val="2"/>
        <scheme val="minor"/>
      </rPr>
      <t>ZL</t>
    </r>
    <r>
      <rPr>
        <sz val="12"/>
        <color rgb="FF000000"/>
        <rFont val="Calibri"/>
        <family val="2"/>
        <charset val="136"/>
        <scheme val="minor"/>
      </rPr>
      <t>支架</t>
    </r>
    <r>
      <rPr>
        <sz val="12"/>
        <color rgb="FF000000"/>
        <rFont val="Calibri"/>
        <family val="2"/>
        <scheme val="minor"/>
      </rPr>
      <t>(</t>
    </r>
    <r>
      <rPr>
        <sz val="12"/>
        <color rgb="FF000000"/>
        <rFont val="Calibri"/>
        <family val="2"/>
        <charset val="136"/>
        <scheme val="minor"/>
      </rPr>
      <t>缺螺絲零件包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</si>
  <si>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支架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陽極鎖安裝支架組</t>
    </r>
    <r>
      <rPr>
        <sz val="12"/>
        <color rgb="FF000000"/>
        <rFont val="Calibri"/>
        <family val="2"/>
        <scheme val="minor"/>
      </rPr>
      <t xml:space="preserve"> U</t>
    </r>
    <r>
      <rPr>
        <sz val="12"/>
        <color rgb="FF000000"/>
        <rFont val="Calibri"/>
        <family val="2"/>
        <charset val="136"/>
        <scheme val="minor"/>
      </rPr>
      <t>型</t>
    </r>
    <r>
      <rPr>
        <sz val="12"/>
        <color rgb="FF000000"/>
        <rFont val="Calibri"/>
        <family val="2"/>
        <scheme val="minor"/>
      </rPr>
      <t>/L</t>
    </r>
    <r>
      <rPr>
        <sz val="12"/>
        <color rgb="FF000000"/>
        <rFont val="Calibri"/>
        <family val="2"/>
        <charset val="136"/>
        <scheme val="minor"/>
      </rPr>
      <t>型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鋁合金</t>
    </r>
  </si>
  <si>
    <r>
      <rPr>
        <sz val="12"/>
        <color rgb="FF000000"/>
        <rFont val="Calibri"/>
        <family val="2"/>
        <charset val="136"/>
        <scheme val="minor"/>
      </rPr>
      <t>按鈕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不鏽鋼開門按鈕</t>
    </r>
    <r>
      <rPr>
        <sz val="12"/>
        <color rgb="FF000000"/>
        <rFont val="Calibri"/>
        <family val="2"/>
        <scheme val="minor"/>
      </rPr>
      <t xml:space="preserve"> NO/NC </t>
    </r>
    <r>
      <rPr>
        <sz val="12"/>
        <color rgb="FF000000"/>
        <rFont val="Calibri"/>
        <family val="2"/>
        <charset val="136"/>
        <scheme val="minor"/>
      </rPr>
      <t>門禁釋放開關</t>
    </r>
  </si>
  <si>
    <r>
      <rPr>
        <sz val="12"/>
        <color rgb="FF000000"/>
        <rFont val="Calibri"/>
        <family val="2"/>
        <charset val="136"/>
        <scheme val="minor"/>
      </rPr>
      <t>電插鎖</t>
    </r>
    <r>
      <rPr>
        <sz val="12"/>
        <color rgb="FF000000"/>
        <rFont val="Calibri"/>
        <family val="2"/>
        <scheme val="minor"/>
      </rPr>
      <t xml:space="preserve"> SOYAL/DC12V </t>
    </r>
    <r>
      <rPr>
        <sz val="12"/>
        <color rgb="FF000000"/>
        <rFont val="Calibri"/>
        <family val="2"/>
        <charset val="136"/>
        <scheme val="minor"/>
      </rPr>
      <t>門禁用</t>
    </r>
  </si>
  <si>
    <r>
      <rPr>
        <sz val="12"/>
        <color rgb="FF000000"/>
        <rFont val="Calibri"/>
        <family val="2"/>
        <charset val="136"/>
        <scheme val="minor"/>
      </rPr>
      <t>電鎖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自動鐵門電鎖</t>
    </r>
    <r>
      <rPr>
        <sz val="12"/>
        <color rgb="FF000000"/>
        <rFont val="Calibri"/>
        <family val="2"/>
        <scheme val="minor"/>
      </rPr>
      <t>(</t>
    </r>
    <r>
      <rPr>
        <sz val="12"/>
        <color rgb="FF000000"/>
        <rFont val="Calibri"/>
        <family val="2"/>
        <charset val="136"/>
        <scheme val="minor"/>
      </rPr>
      <t>其中一組缺鑰匙零件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</si>
  <si>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按鈕開關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綠色</t>
    </r>
    <r>
      <rPr>
        <sz val="12"/>
        <color rgb="FF000000"/>
        <rFont val="Calibri"/>
        <family val="2"/>
        <scheme val="minor"/>
      </rPr>
      <t xml:space="preserve"> Ø26mm </t>
    </r>
    <r>
      <rPr>
        <sz val="12"/>
        <color rgb="FF000000"/>
        <rFont val="Calibri"/>
        <family val="2"/>
        <charset val="136"/>
        <scheme val="minor"/>
      </rPr>
      <t>黑色底座型</t>
    </r>
  </si>
  <si>
    <r>
      <rPr>
        <sz val="12"/>
        <color rgb="FF000000"/>
        <rFont val="Calibri"/>
        <family val="2"/>
        <charset val="136"/>
        <scheme val="minor"/>
      </rPr>
      <t>按鈕開關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綠色</t>
    </r>
    <r>
      <rPr>
        <sz val="12"/>
        <color rgb="FF000000"/>
        <rFont val="Calibri"/>
        <family val="2"/>
        <scheme val="minor"/>
      </rPr>
      <t xml:space="preserve"> Ø26mm NO</t>
    </r>
    <r>
      <rPr>
        <sz val="12"/>
        <color rgb="FF000000"/>
        <rFont val="Calibri"/>
        <family val="2"/>
        <charset val="136"/>
        <scheme val="minor"/>
      </rPr>
      <t>接點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無底座</t>
    </r>
  </si>
  <si>
    <r>
      <rPr>
        <sz val="12"/>
        <color rgb="FF000000"/>
        <rFont val="Calibri"/>
        <family val="2"/>
        <charset val="136"/>
        <scheme val="minor"/>
      </rPr>
      <t>按鈕開關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紅色</t>
    </r>
    <r>
      <rPr>
        <sz val="12"/>
        <color rgb="FF000000"/>
        <rFont val="Calibri"/>
        <family val="2"/>
        <scheme val="minor"/>
      </rPr>
      <t xml:space="preserve"> Ø26mm NO</t>
    </r>
    <r>
      <rPr>
        <sz val="12"/>
        <color rgb="FF000000"/>
        <rFont val="Calibri"/>
        <family val="2"/>
        <charset val="136"/>
        <scheme val="minor"/>
      </rPr>
      <t>接點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無底座</t>
    </r>
  </si>
  <si>
    <r>
      <rPr>
        <sz val="12"/>
        <color rgb="FF000000"/>
        <rFont val="Calibri"/>
        <family val="2"/>
        <charset val="136"/>
        <scheme val="minor"/>
      </rPr>
      <t>按鈕開關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紅色</t>
    </r>
    <r>
      <rPr>
        <sz val="12"/>
        <color rgb="FF000000"/>
        <rFont val="Calibri"/>
        <family val="2"/>
        <scheme val="minor"/>
      </rPr>
      <t xml:space="preserve"> Ø32mm NO</t>
    </r>
    <r>
      <rPr>
        <sz val="12"/>
        <color rgb="FF000000"/>
        <rFont val="Calibri"/>
        <family val="2"/>
        <charset val="136"/>
        <scheme val="minor"/>
      </rPr>
      <t>接點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灰咖啡底座</t>
    </r>
  </si>
  <si>
    <r>
      <rPr>
        <sz val="12"/>
        <color rgb="FF000000"/>
        <rFont val="Calibri"/>
        <family val="2"/>
        <charset val="136"/>
        <scheme val="minor"/>
      </rPr>
      <t>指示燈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綠色</t>
    </r>
    <r>
      <rPr>
        <sz val="12"/>
        <color rgb="FF000000"/>
        <rFont val="Calibri"/>
        <family val="2"/>
        <scheme val="minor"/>
      </rPr>
      <t xml:space="preserve"> Ø26mm 24V</t>
    </r>
  </si>
  <si>
    <r>
      <rPr>
        <sz val="12"/>
        <color rgb="FF000000"/>
        <rFont val="Calibri"/>
        <family val="2"/>
        <charset val="136"/>
        <scheme val="minor"/>
      </rPr>
      <t>指示燈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綠色</t>
    </r>
    <r>
      <rPr>
        <sz val="12"/>
        <color rgb="FF000000"/>
        <rFont val="Calibri"/>
        <family val="2"/>
        <scheme val="minor"/>
      </rPr>
      <t xml:space="preserve"> Ø30mm LED</t>
    </r>
    <r>
      <rPr>
        <sz val="12"/>
        <color rgb="FF000000"/>
        <rFont val="Calibri"/>
        <family val="2"/>
        <charset val="136"/>
        <scheme val="minor"/>
      </rPr>
      <t>型</t>
    </r>
  </si>
  <si>
    <r>
      <rPr>
        <sz val="12"/>
        <color rgb="FF000000"/>
        <rFont val="Calibri"/>
        <family val="2"/>
        <scheme val="minor"/>
      </rPr>
      <t>PRETEC/USB</t>
    </r>
    <r>
      <rPr>
        <sz val="12"/>
        <color rgb="FF000000"/>
        <rFont val="Calibri"/>
        <family val="2"/>
        <charset val="136"/>
        <scheme val="minor"/>
      </rPr>
      <t>授權金鑰</t>
    </r>
  </si>
  <si>
    <r>
      <rPr>
        <sz val="12"/>
        <color rgb="FF000000"/>
        <rFont val="Calibri"/>
        <family val="2"/>
        <charset val="136"/>
        <scheme val="minor"/>
      </rPr>
      <t>讀卡機</t>
    </r>
    <r>
      <rPr>
        <sz val="12"/>
        <color rgb="FF000000"/>
        <rFont val="Calibri"/>
        <family val="2"/>
        <scheme val="minor"/>
      </rPr>
      <t xml:space="preserve"> HID/</t>
    </r>
    <r>
      <rPr>
        <sz val="12"/>
        <color rgb="FF000000"/>
        <rFont val="Calibri"/>
        <family val="2"/>
        <charset val="136"/>
        <scheme val="minor"/>
      </rPr>
      <t>門禁讀卡機</t>
    </r>
    <r>
      <rPr>
        <sz val="12"/>
        <color rgb="FF000000"/>
        <rFont val="Calibri"/>
        <family val="2"/>
        <scheme val="minor"/>
      </rPr>
      <t xml:space="preserve"> multiCLASS SE</t>
    </r>
  </si>
  <si>
    <r>
      <rPr>
        <sz val="12"/>
        <color rgb="FF000000"/>
        <rFont val="Calibri"/>
        <family val="2"/>
        <charset val="136"/>
        <scheme val="minor"/>
      </rPr>
      <t>按鈕開關</t>
    </r>
    <r>
      <rPr>
        <sz val="12"/>
        <color rgb="FF000000"/>
        <rFont val="Calibri"/>
        <family val="2"/>
        <scheme val="minor"/>
      </rPr>
      <t xml:space="preserve"> TAIKO/</t>
    </r>
    <r>
      <rPr>
        <sz val="12"/>
        <color rgb="FF000000"/>
        <rFont val="Calibri"/>
        <family val="2"/>
        <charset val="136"/>
        <scheme val="minor"/>
      </rPr>
      <t>綠色</t>
    </r>
    <r>
      <rPr>
        <sz val="12"/>
        <color rgb="FF000000"/>
        <rFont val="Calibri"/>
        <family val="2"/>
        <scheme val="minor"/>
      </rPr>
      <t xml:space="preserve"> Ø30mm NC</t>
    </r>
    <r>
      <rPr>
        <sz val="12"/>
        <color rgb="FF000000"/>
        <rFont val="Calibri"/>
        <family val="2"/>
        <charset val="136"/>
        <scheme val="minor"/>
      </rPr>
      <t>接點</t>
    </r>
    <r>
      <rPr>
        <sz val="12"/>
        <color rgb="FF000000"/>
        <rFont val="Calibri"/>
        <family val="2"/>
        <scheme val="minor"/>
      </rPr>
      <t xml:space="preserve"> 10A</t>
    </r>
  </si>
  <si>
    <r>
      <rPr>
        <sz val="12"/>
        <color rgb="FF000000"/>
        <rFont val="Calibri"/>
        <family val="2"/>
        <charset val="136"/>
        <scheme val="minor"/>
      </rPr>
      <t>控制開關</t>
    </r>
    <r>
      <rPr>
        <sz val="12"/>
        <color rgb="FF000000"/>
        <rFont val="Calibri"/>
        <family val="2"/>
        <scheme val="minor"/>
      </rPr>
      <t xml:space="preserve"> TAIKO/</t>
    </r>
    <r>
      <rPr>
        <sz val="12"/>
        <color rgb="FF000000"/>
        <rFont val="Calibri"/>
        <family val="2"/>
        <charset val="136"/>
        <scheme val="minor"/>
      </rPr>
      <t>旋鈕式選擇開關組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含</t>
    </r>
    <r>
      <rPr>
        <sz val="12"/>
        <color rgb="FF000000"/>
        <rFont val="Calibri"/>
        <family val="2"/>
        <scheme val="minor"/>
      </rPr>
      <t>SKB0-1 1NO</t>
    </r>
    <r>
      <rPr>
        <sz val="12"/>
        <color rgb="FF000000"/>
        <rFont val="Calibri"/>
        <family val="2"/>
        <charset val="136"/>
        <scheme val="minor"/>
      </rPr>
      <t>接點模組</t>
    </r>
    <r>
      <rPr>
        <sz val="12"/>
        <color rgb="FF000000"/>
        <rFont val="Calibri"/>
        <family val="2"/>
        <scheme val="minor"/>
      </rPr>
      <t xml:space="preserve"> Ui AC660V Ith10A AC-15/DC-13</t>
    </r>
  </si>
  <si>
    <r>
      <rPr>
        <sz val="12"/>
        <color rgb="FF000000"/>
        <rFont val="Calibri"/>
        <family val="2"/>
        <charset val="136"/>
        <scheme val="minor"/>
      </rPr>
      <t>陽極鎖</t>
    </r>
    <r>
      <rPr>
        <sz val="12"/>
        <color rgb="FF000000"/>
        <rFont val="Calibri"/>
        <family val="2"/>
        <scheme val="minor"/>
      </rPr>
      <t xml:space="preserve"> SOCA/SL-100 Electric Deadbolt</t>
    </r>
  </si>
  <si>
    <r>
      <rPr>
        <sz val="12"/>
        <color rgb="FF000000"/>
        <rFont val="Calibri"/>
        <family val="2"/>
        <charset val="136"/>
        <scheme val="minor"/>
      </rPr>
      <t>選擇開關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山河</t>
    </r>
    <r>
      <rPr>
        <sz val="12"/>
        <color rgb="FF000000"/>
        <rFont val="Calibri"/>
        <family val="2"/>
        <scheme val="minor"/>
      </rPr>
      <t>/2</t>
    </r>
    <r>
      <rPr>
        <sz val="12"/>
        <color rgb="FF000000"/>
        <rFont val="Calibri"/>
        <family val="2"/>
        <charset val="136"/>
        <scheme val="minor"/>
      </rPr>
      <t>段式</t>
    </r>
    <r>
      <rPr>
        <sz val="12"/>
        <color rgb="FF000000"/>
        <rFont val="Calibri"/>
        <family val="2"/>
        <scheme val="minor"/>
      </rPr>
      <t xml:space="preserve"> AC250V 6A </t>
    </r>
    <r>
      <rPr>
        <sz val="12"/>
        <color rgb="FF000000"/>
        <rFont val="Calibri"/>
        <family val="2"/>
        <charset val="136"/>
        <scheme val="minor"/>
      </rPr>
      <t>黑色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按鈕上有箭頭圖案</t>
    </r>
  </si>
  <si>
    <r>
      <rPr>
        <sz val="12"/>
        <color rgb="FF000000"/>
        <rFont val="Calibri"/>
        <family val="2"/>
        <charset val="136"/>
        <scheme val="minor"/>
      </rPr>
      <t>山河</t>
    </r>
  </si>
  <si>
    <r>
      <rPr>
        <sz val="12"/>
        <color rgb="FF000000"/>
        <rFont val="Calibri"/>
        <family val="2"/>
        <charset val="136"/>
        <scheme val="minor"/>
      </rPr>
      <t>電纜插座</t>
    </r>
    <r>
      <rPr>
        <sz val="12"/>
        <color rgb="FF000000"/>
        <rFont val="Calibri"/>
        <family val="2"/>
        <scheme val="minor"/>
      </rPr>
      <t xml:space="preserve"> LONG KUANG/</t>
    </r>
    <r>
      <rPr>
        <sz val="12"/>
        <color rgb="FF000000"/>
        <rFont val="Calibri"/>
        <family val="2"/>
        <charset val="136"/>
        <scheme val="minor"/>
      </rPr>
      <t>接地橡膠中間插座</t>
    </r>
    <r>
      <rPr>
        <sz val="12"/>
        <color rgb="FF000000"/>
        <rFont val="Calibri"/>
        <family val="2"/>
        <scheme val="minor"/>
      </rPr>
      <t xml:space="preserve"> LK5215 2P+E 3</t>
    </r>
    <r>
      <rPr>
        <sz val="12"/>
        <color rgb="FF000000"/>
        <rFont val="Calibri"/>
        <family val="2"/>
        <charset val="136"/>
        <scheme val="minor"/>
      </rPr>
      <t>線</t>
    </r>
    <r>
      <rPr>
        <sz val="12"/>
        <color rgb="FF000000"/>
        <rFont val="Calibri"/>
        <family val="2"/>
        <scheme val="minor"/>
      </rPr>
      <t xml:space="preserve"> 15A 125VAC 60Hz </t>
    </r>
    <r>
      <rPr>
        <sz val="12"/>
        <color rgb="FF000000"/>
        <rFont val="Calibri"/>
        <family val="2"/>
        <charset val="136"/>
        <scheme val="minor"/>
      </rPr>
      <t>後接線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適用</t>
    </r>
    <r>
      <rPr>
        <sz val="12"/>
        <color rgb="FF000000"/>
        <rFont val="Calibri"/>
        <family val="2"/>
        <scheme val="minor"/>
      </rPr>
      <t>2.0mm²</t>
    </r>
    <r>
      <rPr>
        <sz val="12"/>
        <color rgb="FF000000"/>
        <rFont val="Calibri"/>
        <family val="2"/>
        <charset val="136"/>
        <scheme val="minor"/>
      </rPr>
      <t>電線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電木與橡膠材質</t>
    </r>
  </si>
  <si>
    <r>
      <rPr>
        <sz val="12"/>
        <color rgb="FF000000"/>
        <rFont val="Calibri"/>
        <family val="2"/>
        <charset val="136"/>
        <scheme val="minor"/>
      </rPr>
      <t>日式轉向三面插轉接座</t>
    </r>
    <r>
      <rPr>
        <sz val="12"/>
        <color rgb="FF000000"/>
        <rFont val="Calibri"/>
        <family val="2"/>
        <scheme val="minor"/>
      </rPr>
      <t xml:space="preserve"> 15A 1650W</t>
    </r>
  </si>
  <si>
    <r>
      <rPr>
        <sz val="12"/>
        <color rgb="FF000000"/>
        <rFont val="Calibri"/>
        <family val="2"/>
        <charset val="136"/>
        <scheme val="minor"/>
      </rPr>
      <t>繼電器</t>
    </r>
    <r>
      <rPr>
        <sz val="12"/>
        <color rgb="FF000000"/>
        <rFont val="Calibri"/>
        <family val="2"/>
        <scheme val="minor"/>
      </rPr>
      <t xml:space="preserve"> 8Pin </t>
    </r>
    <r>
      <rPr>
        <sz val="12"/>
        <color rgb="FF000000"/>
        <rFont val="Calibri"/>
        <family val="2"/>
        <charset val="136"/>
        <scheme val="minor"/>
      </rPr>
      <t>繼電器底座</t>
    </r>
    <r>
      <rPr>
        <sz val="12"/>
        <color rgb="FF000000"/>
        <rFont val="Calibri"/>
        <family val="2"/>
        <scheme val="minor"/>
      </rPr>
      <t xml:space="preserve"> 2</t>
    </r>
    <r>
      <rPr>
        <sz val="12"/>
        <color rgb="FF000000"/>
        <rFont val="Calibri"/>
        <family val="2"/>
        <charset val="136"/>
        <scheme val="minor"/>
      </rPr>
      <t>組接點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導軌式</t>
    </r>
    <r>
      <rPr>
        <sz val="12"/>
        <color rgb="FF000000"/>
        <rFont val="Calibri"/>
        <family val="2"/>
        <scheme val="minor"/>
      </rPr>
      <t xml:space="preserve"> </t>
    </r>
  </si>
  <si>
    <r>
      <rPr>
        <sz val="12"/>
        <color rgb="FF000000"/>
        <rFont val="Calibri"/>
        <family val="2"/>
        <charset val="136"/>
        <scheme val="minor"/>
      </rPr>
      <t>繼電器</t>
    </r>
    <r>
      <rPr>
        <sz val="12"/>
        <color rgb="FF000000"/>
        <rFont val="Calibri"/>
        <family val="2"/>
        <scheme val="minor"/>
      </rPr>
      <t xml:space="preserve"> PTF08A-A/8Pin </t>
    </r>
    <r>
      <rPr>
        <sz val="12"/>
        <color rgb="FF000000"/>
        <rFont val="Calibri"/>
        <family val="2"/>
        <charset val="136"/>
        <scheme val="minor"/>
      </rPr>
      <t>繼電器底座</t>
    </r>
    <r>
      <rPr>
        <sz val="12"/>
        <color rgb="FF000000"/>
        <rFont val="Calibri"/>
        <family val="2"/>
        <scheme val="minor"/>
      </rPr>
      <t xml:space="preserve"> 2</t>
    </r>
    <r>
      <rPr>
        <sz val="12"/>
        <color rgb="FF000000"/>
        <rFont val="Calibri"/>
        <family val="2"/>
        <charset val="136"/>
        <scheme val="minor"/>
      </rPr>
      <t>組接點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導軌式</t>
    </r>
    <r>
      <rPr>
        <sz val="12"/>
        <color rgb="FF000000"/>
        <rFont val="Calibri"/>
        <family val="2"/>
        <scheme val="minor"/>
      </rPr>
      <t xml:space="preserve"> </t>
    </r>
  </si>
  <si>
    <r>
      <rPr>
        <sz val="12"/>
        <color rgb="FF000000"/>
        <rFont val="Calibri"/>
        <family val="2"/>
        <charset val="136"/>
        <scheme val="minor"/>
      </rPr>
      <t>輔助接點</t>
    </r>
    <r>
      <rPr>
        <sz val="12"/>
        <color rgb="FF000000"/>
        <rFont val="Calibri"/>
        <family val="2"/>
        <scheme val="minor"/>
      </rPr>
      <t xml:space="preserve"> SHIHLIN/</t>
    </r>
    <r>
      <rPr>
        <sz val="12"/>
        <color rgb="FF000000"/>
        <rFont val="Calibri"/>
        <family val="2"/>
        <charset val="136"/>
        <scheme val="minor"/>
      </rPr>
      <t>前置式輔助接點模組</t>
    </r>
    <r>
      <rPr>
        <sz val="12"/>
        <color rgb="FF000000"/>
        <rFont val="Calibri"/>
        <family val="2"/>
        <scheme val="minor"/>
      </rPr>
      <t xml:space="preserve"> AP-11 1NO+1NC Ith16A AC-12 110V 6A</t>
    </r>
    <r>
      <rPr>
        <sz val="12"/>
        <color rgb="FF000000"/>
        <rFont val="Calibri"/>
        <family val="2"/>
        <charset val="136"/>
        <scheme val="minor"/>
      </rPr>
      <t>、</t>
    </r>
    <r>
      <rPr>
        <sz val="12"/>
        <color rgb="FF000000"/>
        <rFont val="Calibri"/>
        <family val="2"/>
        <scheme val="minor"/>
      </rPr>
      <t>220V 5A</t>
    </r>
    <r>
      <rPr>
        <sz val="12"/>
        <color rgb="FF000000"/>
        <rFont val="Calibri"/>
        <family val="2"/>
        <charset val="136"/>
        <scheme val="minor"/>
      </rPr>
      <t>、</t>
    </r>
    <r>
      <rPr>
        <sz val="12"/>
        <color rgb="FF000000"/>
        <rFont val="Calibri"/>
        <family val="2"/>
        <scheme val="minor"/>
      </rPr>
      <t xml:space="preserve">440/550V 3A </t>
    </r>
    <r>
      <rPr>
        <sz val="12"/>
        <color rgb="FF000000"/>
        <rFont val="Calibri"/>
        <family val="2"/>
        <charset val="136"/>
        <scheme val="minor"/>
      </rPr>
      <t>適用</t>
    </r>
    <r>
      <rPr>
        <sz val="12"/>
        <color rgb="FF000000"/>
        <rFont val="Calibri"/>
        <family val="2"/>
        <scheme val="minor"/>
      </rPr>
      <t>S-P11</t>
    </r>
    <r>
      <rPr>
        <sz val="12"/>
        <color rgb="FF000000"/>
        <rFont val="Calibri"/>
        <family val="2"/>
        <charset val="136"/>
        <scheme val="minor"/>
      </rPr>
      <t>～</t>
    </r>
    <r>
      <rPr>
        <sz val="12"/>
        <color rgb="FF000000"/>
        <rFont val="Calibri"/>
        <family val="2"/>
        <scheme val="minor"/>
      </rPr>
      <t>S-P80T</t>
    </r>
  </si>
  <si>
    <r>
      <rPr>
        <sz val="12"/>
        <color rgb="FF000000"/>
        <rFont val="Calibri"/>
        <family val="2"/>
        <scheme val="minor"/>
      </rPr>
      <t>Shihlin/</t>
    </r>
    <r>
      <rPr>
        <sz val="12"/>
        <color rgb="FF000000"/>
        <rFont val="Calibri"/>
        <family val="2"/>
        <charset val="136"/>
        <scheme val="minor"/>
      </rPr>
      <t>輔助接點模組</t>
    </r>
    <r>
      <rPr>
        <sz val="12"/>
        <color rgb="FF000000"/>
        <rFont val="Calibri"/>
        <family val="2"/>
        <scheme val="minor"/>
      </rPr>
      <t xml:space="preserve"> 1NO+1NC</t>
    </r>
  </si>
  <si>
    <r>
      <rPr>
        <sz val="12"/>
        <color rgb="FF000000"/>
        <rFont val="Calibri"/>
        <family val="2"/>
        <charset val="136"/>
        <scheme val="minor"/>
      </rPr>
      <t>斷路器</t>
    </r>
    <r>
      <rPr>
        <sz val="12"/>
        <color rgb="FF000000"/>
        <rFont val="Calibri"/>
        <family val="2"/>
        <scheme val="minor"/>
      </rPr>
      <t xml:space="preserve"> Shihlin/</t>
    </r>
    <r>
      <rPr>
        <sz val="12"/>
        <color rgb="FF000000"/>
        <rFont val="Calibri"/>
        <family val="2"/>
        <charset val="136"/>
        <scheme val="minor"/>
      </rPr>
      <t>無熔線斷路器</t>
    </r>
    <r>
      <rPr>
        <sz val="12"/>
        <color rgb="FF000000"/>
        <rFont val="Calibri"/>
        <family val="2"/>
        <scheme val="minor"/>
      </rPr>
      <t xml:space="preserve"> BH 2P</t>
    </r>
  </si>
  <si>
    <r>
      <rPr>
        <sz val="12"/>
        <color rgb="FF000000"/>
        <rFont val="Calibri"/>
        <family val="2"/>
        <charset val="136"/>
        <scheme val="minor"/>
      </rPr>
      <t>斷路器</t>
    </r>
    <r>
      <rPr>
        <sz val="12"/>
        <color rgb="FF000000"/>
        <rFont val="Calibri"/>
        <family val="2"/>
        <scheme val="minor"/>
      </rPr>
      <t xml:space="preserve"> Shihlin/</t>
    </r>
    <r>
      <rPr>
        <sz val="12"/>
        <color rgb="FF000000"/>
        <rFont val="Calibri"/>
        <family val="2"/>
        <charset val="136"/>
        <scheme val="minor"/>
      </rPr>
      <t>小型斷路器</t>
    </r>
    <r>
      <rPr>
        <sz val="12"/>
        <color rgb="FF000000"/>
        <rFont val="Calibri"/>
        <family val="2"/>
        <scheme val="minor"/>
      </rPr>
      <t xml:space="preserve"> 1PC4 </t>
    </r>
    <r>
      <rPr>
        <sz val="12"/>
        <color rgb="FF000000"/>
        <rFont val="Calibri"/>
        <family val="2"/>
        <charset val="136"/>
        <scheme val="minor"/>
      </rPr>
      <t>單極</t>
    </r>
    <r>
      <rPr>
        <sz val="12"/>
        <color rgb="FF000000"/>
        <rFont val="Calibri"/>
        <family val="2"/>
        <scheme val="minor"/>
      </rPr>
      <t xml:space="preserve"> 220/380V</t>
    </r>
  </si>
  <si>
    <r>
      <rPr>
        <sz val="12"/>
        <color rgb="FF000000"/>
        <rFont val="Calibri"/>
        <family val="2"/>
        <charset val="136"/>
        <scheme val="minor"/>
      </rPr>
      <t>斷路器</t>
    </r>
    <r>
      <rPr>
        <sz val="12"/>
        <color rgb="FF000000"/>
        <rFont val="Calibri"/>
        <family val="2"/>
        <scheme val="minor"/>
      </rPr>
      <t xml:space="preserve"> Shihlin/</t>
    </r>
    <r>
      <rPr>
        <sz val="12"/>
        <color rgb="FF000000"/>
        <rFont val="Calibri"/>
        <family val="2"/>
        <charset val="136"/>
        <scheme val="minor"/>
      </rPr>
      <t>小型斷路器</t>
    </r>
    <r>
      <rPr>
        <sz val="12"/>
        <color rgb="FF000000"/>
        <rFont val="Calibri"/>
        <family val="2"/>
        <scheme val="minor"/>
      </rPr>
      <t xml:space="preserve"> 2PC4 380V</t>
    </r>
  </si>
  <si>
    <r>
      <rPr>
        <sz val="12"/>
        <color rgb="FF000000"/>
        <rFont val="Calibri"/>
        <family val="2"/>
        <scheme val="minor"/>
      </rPr>
      <t>DIN</t>
    </r>
    <r>
      <rPr>
        <sz val="12"/>
        <color rgb="FF000000"/>
        <rFont val="Calibri"/>
        <family val="2"/>
        <charset val="136"/>
        <scheme val="minor"/>
      </rPr>
      <t>導軌端擋固定片</t>
    </r>
  </si>
  <si>
    <r>
      <rPr>
        <sz val="12"/>
        <color rgb="FF000000"/>
        <rFont val="Calibri"/>
        <family val="2"/>
        <charset val="136"/>
        <scheme val="minor"/>
      </rPr>
      <t>圓筒保險絲</t>
    </r>
    <r>
      <rPr>
        <sz val="12"/>
        <color rgb="FF000000"/>
        <rFont val="Calibri"/>
        <family val="2"/>
        <scheme val="minor"/>
      </rPr>
      <t xml:space="preserve"> DEMEX/10×38mm 10A 660VAC</t>
    </r>
  </si>
  <si>
    <r>
      <rPr>
        <sz val="12"/>
        <color rgb="FF000000"/>
        <rFont val="Calibri"/>
        <family val="2"/>
        <charset val="136"/>
        <scheme val="minor"/>
      </rPr>
      <t>保險絲</t>
    </r>
    <r>
      <rPr>
        <sz val="12"/>
        <color rgb="FF000000"/>
        <rFont val="Calibri"/>
        <family val="2"/>
        <scheme val="minor"/>
      </rPr>
      <t xml:space="preserve"> CNYJ/10x38mm 2A 500V</t>
    </r>
  </si>
  <si>
    <r>
      <rPr>
        <sz val="12"/>
        <color rgb="FF000000"/>
        <rFont val="Calibri"/>
        <family val="2"/>
        <charset val="136"/>
        <scheme val="minor"/>
      </rPr>
      <t>云江電器</t>
    </r>
  </si>
  <si>
    <r>
      <rPr>
        <sz val="12"/>
        <color rgb="FF000000"/>
        <rFont val="Calibri"/>
        <family val="2"/>
        <charset val="136"/>
        <scheme val="minor"/>
      </rPr>
      <t>斷路器</t>
    </r>
    <r>
      <rPr>
        <sz val="12"/>
        <color rgb="FF000000"/>
        <rFont val="Calibri"/>
        <family val="2"/>
        <scheme val="minor"/>
      </rPr>
      <t xml:space="preserve"> KUOYUH/16A</t>
    </r>
    <r>
      <rPr>
        <sz val="12"/>
        <color rgb="FF000000"/>
        <rFont val="Calibri"/>
        <family val="2"/>
        <charset val="136"/>
        <scheme val="minor"/>
      </rPr>
      <t>手動復歸式熱斷路器</t>
    </r>
    <r>
      <rPr>
        <sz val="12"/>
        <color rgb="FF000000"/>
        <rFont val="Calibri"/>
        <family val="2"/>
        <scheme val="minor"/>
      </rPr>
      <t xml:space="preserve"> 88 Series</t>
    </r>
  </si>
  <si>
    <r>
      <rPr>
        <sz val="12"/>
        <color rgb="FF000000"/>
        <rFont val="Calibri"/>
        <family val="2"/>
        <charset val="136"/>
        <scheme val="minor"/>
      </rPr>
      <t>交流電磁開關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伍菱電機</t>
    </r>
    <r>
      <rPr>
        <sz val="12"/>
        <color rgb="FF000000"/>
        <rFont val="Calibri"/>
        <family val="2"/>
        <scheme val="minor"/>
      </rPr>
      <t>/AC220V 2.9-4A 1HP</t>
    </r>
  </si>
  <si>
    <r>
      <rPr>
        <sz val="12"/>
        <color rgb="FF000000"/>
        <rFont val="Calibri"/>
        <family val="2"/>
        <charset val="136"/>
        <scheme val="minor"/>
      </rPr>
      <t>伍菱電機</t>
    </r>
  </si>
  <si>
    <r>
      <rPr>
        <sz val="12"/>
        <color rgb="FF000000"/>
        <rFont val="Calibri"/>
        <family val="2"/>
        <charset val="136"/>
        <scheme val="minor"/>
      </rPr>
      <t>繼電器底座</t>
    </r>
    <r>
      <rPr>
        <sz val="12"/>
        <color rgb="FF000000"/>
        <rFont val="Calibri"/>
        <family val="2"/>
        <scheme val="minor"/>
      </rPr>
      <t xml:space="preserve"> 11Pin </t>
    </r>
  </si>
  <si>
    <r>
      <rPr>
        <sz val="12"/>
        <color rgb="FF000000"/>
        <rFont val="Calibri"/>
        <family val="2"/>
        <charset val="136"/>
        <scheme val="minor"/>
      </rPr>
      <t>端子台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插拔式端子台</t>
    </r>
    <r>
      <rPr>
        <sz val="12"/>
        <color rgb="FF000000"/>
        <rFont val="Calibri"/>
        <family val="2"/>
        <scheme val="minor"/>
      </rPr>
      <t xml:space="preserve"> 12P</t>
    </r>
  </si>
  <si>
    <r>
      <rPr>
        <sz val="12"/>
        <color rgb="FF000000"/>
        <rFont val="Calibri"/>
        <family val="2"/>
        <charset val="136"/>
        <scheme val="minor"/>
      </rPr>
      <t>端子台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插拔式端子台</t>
    </r>
    <r>
      <rPr>
        <sz val="12"/>
        <color rgb="FF000000"/>
        <rFont val="Calibri"/>
        <family val="2"/>
        <scheme val="minor"/>
      </rPr>
      <t xml:space="preserve"> 3P</t>
    </r>
  </si>
  <si>
    <r>
      <rPr>
        <sz val="12"/>
        <color rgb="FF000000"/>
        <rFont val="Calibri"/>
        <family val="2"/>
        <charset val="136"/>
        <scheme val="minor"/>
      </rPr>
      <t>端子台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插拔式端子台</t>
    </r>
    <r>
      <rPr>
        <sz val="12"/>
        <color rgb="FF000000"/>
        <rFont val="Calibri"/>
        <family val="2"/>
        <scheme val="minor"/>
      </rPr>
      <t xml:space="preserve"> 5P</t>
    </r>
  </si>
  <si>
    <r>
      <rPr>
        <sz val="12"/>
        <color rgb="FF000000"/>
        <rFont val="Calibri"/>
        <family val="2"/>
        <charset val="136"/>
        <scheme val="minor"/>
      </rPr>
      <t>繼電器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工業控制繼電器</t>
    </r>
    <r>
      <rPr>
        <sz val="12"/>
        <color rgb="FF000000"/>
        <rFont val="Calibri"/>
        <family val="2"/>
        <scheme val="minor"/>
      </rPr>
      <t xml:space="preserve"> 24VDC 14Pin</t>
    </r>
  </si>
  <si>
    <r>
      <rPr>
        <sz val="12"/>
        <color rgb="FF000000"/>
        <rFont val="Calibri"/>
        <family val="2"/>
        <charset val="136"/>
        <scheme val="minor"/>
      </rPr>
      <t>繼電器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工業控制繼電器</t>
    </r>
    <r>
      <rPr>
        <sz val="12"/>
        <color rgb="FF000000"/>
        <rFont val="Calibri"/>
        <family val="2"/>
        <scheme val="minor"/>
      </rPr>
      <t xml:space="preserve"> MY2N 24VDC 8Pin DPDT</t>
    </r>
  </si>
  <si>
    <r>
      <rPr>
        <sz val="12"/>
        <color rgb="FF000000"/>
        <rFont val="Calibri"/>
        <family val="2"/>
        <charset val="136"/>
        <scheme val="minor"/>
      </rPr>
      <t>繼電器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工業控制繼電器</t>
    </r>
    <r>
      <rPr>
        <sz val="12"/>
        <color rgb="FF000000"/>
        <rFont val="Calibri"/>
        <family val="2"/>
        <scheme val="minor"/>
      </rPr>
      <t xml:space="preserve"> 24VDC 8Pin</t>
    </r>
  </si>
  <si>
    <r>
      <rPr>
        <sz val="12"/>
        <color rgb="FF000000"/>
        <rFont val="Calibri"/>
        <family val="2"/>
        <charset val="136"/>
        <scheme val="minor"/>
      </rPr>
      <t>繼電器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通用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Calibri"/>
        <family val="2"/>
        <charset val="136"/>
        <scheme val="minor"/>
      </rPr>
      <t>工業控制電磁繼電器</t>
    </r>
    <r>
      <rPr>
        <sz val="12"/>
        <color rgb="FF000000"/>
        <rFont val="Calibri"/>
        <family val="2"/>
        <scheme val="minor"/>
      </rPr>
      <t xml:space="preserve"> 24VDC 8Pin DPDT </t>
    </r>
    <r>
      <rPr>
        <sz val="12"/>
        <color rgb="FF000000"/>
        <rFont val="Calibri"/>
        <family val="2"/>
        <charset val="136"/>
        <scheme val="minor"/>
      </rPr>
      <t>透明外殼</t>
    </r>
  </si>
  <si>
    <r>
      <rPr>
        <sz val="12"/>
        <color rgb="FF000000"/>
        <rFont val="Calibri"/>
        <family val="2"/>
        <charset val="136"/>
        <scheme val="minor"/>
      </rPr>
      <t>繼電器底座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通用型</t>
    </r>
    <r>
      <rPr>
        <sz val="12"/>
        <color rgb="FF000000"/>
        <rFont val="Calibri"/>
        <family val="2"/>
        <scheme val="minor"/>
      </rPr>
      <t xml:space="preserve">/8Pin </t>
    </r>
    <r>
      <rPr>
        <sz val="12"/>
        <color rgb="FF000000"/>
        <rFont val="Calibri"/>
        <family val="2"/>
        <charset val="136"/>
        <scheme val="minor"/>
      </rPr>
      <t>繼電器底座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導軌式</t>
    </r>
  </si>
  <si>
    <r>
      <rPr>
        <sz val="12"/>
        <color rgb="FF000000"/>
        <rFont val="Calibri"/>
        <family val="2"/>
        <charset val="136"/>
        <scheme val="minor"/>
      </rPr>
      <t>端子台</t>
    </r>
    <r>
      <rPr>
        <sz val="12"/>
        <color rgb="FF000000"/>
        <rFont val="Calibri"/>
        <family val="2"/>
        <scheme val="minor"/>
      </rPr>
      <t xml:space="preserve">  SHAN HO/10P</t>
    </r>
    <r>
      <rPr>
        <sz val="12"/>
        <color rgb="FF000000"/>
        <rFont val="Calibri"/>
        <family val="2"/>
        <charset val="136"/>
        <scheme val="minor"/>
      </rPr>
      <t>柵欄式</t>
    </r>
    <r>
      <rPr>
        <sz val="12"/>
        <color rgb="FF000000"/>
        <rFont val="Calibri"/>
        <family val="2"/>
        <scheme val="minor"/>
      </rPr>
      <t xml:space="preserve"> 10A 600V MAX</t>
    </r>
  </si>
  <si>
    <r>
      <rPr>
        <sz val="12"/>
        <color rgb="FF000000"/>
        <rFont val="Calibri"/>
        <family val="2"/>
        <charset val="136"/>
        <scheme val="minor"/>
      </rPr>
      <t>電磁接觸器</t>
    </r>
    <r>
      <rPr>
        <sz val="12"/>
        <color rgb="FF000000"/>
        <rFont val="Calibri"/>
        <family val="2"/>
        <scheme val="minor"/>
      </rPr>
      <t xml:space="preserve"> SHIHLIN/</t>
    </r>
    <r>
      <rPr>
        <sz val="12"/>
        <color rgb="FF000000"/>
        <rFont val="Calibri"/>
        <family val="2"/>
        <charset val="136"/>
        <scheme val="minor"/>
      </rPr>
      <t>交流電磁接觸器</t>
    </r>
    <r>
      <rPr>
        <sz val="12"/>
        <color rgb="FF000000"/>
        <rFont val="Calibri"/>
        <family val="2"/>
        <scheme val="minor"/>
      </rPr>
      <t xml:space="preserve"> S-P11 3P </t>
    </r>
    <r>
      <rPr>
        <sz val="12"/>
        <color rgb="FF000000"/>
        <rFont val="Calibri"/>
        <family val="2"/>
        <charset val="136"/>
        <scheme val="minor"/>
      </rPr>
      <t>線圈</t>
    </r>
    <r>
      <rPr>
        <sz val="12"/>
        <color rgb="FF000000"/>
        <rFont val="Calibri"/>
        <family val="2"/>
        <scheme val="minor"/>
      </rPr>
      <t>AC200–220V 50Hz</t>
    </r>
    <r>
      <rPr>
        <sz val="12"/>
        <color rgb="FF000000"/>
        <rFont val="Calibri"/>
        <family val="2"/>
        <charset val="136"/>
        <scheme val="minor"/>
      </rPr>
      <t>、</t>
    </r>
    <r>
      <rPr>
        <sz val="12"/>
        <color rgb="FF000000"/>
        <rFont val="Calibri"/>
        <family val="2"/>
        <scheme val="minor"/>
      </rPr>
      <t xml:space="preserve">220V 60Hz AC-3 380V 12A 5.5kW AC-1 Ith20A </t>
    </r>
    <r>
      <rPr>
        <sz val="12"/>
        <color rgb="FF000000"/>
        <rFont val="Calibri"/>
        <family val="2"/>
        <charset val="136"/>
        <scheme val="minor"/>
      </rPr>
      <t>內建</t>
    </r>
    <r>
      <rPr>
        <sz val="12"/>
        <color rgb="FF000000"/>
        <rFont val="Calibri"/>
        <family val="2"/>
        <scheme val="minor"/>
      </rPr>
      <t>1NO</t>
    </r>
  </si>
  <si>
    <r>
      <rPr>
        <sz val="12"/>
        <color rgb="FF000000"/>
        <rFont val="Calibri"/>
        <family val="2"/>
        <charset val="136"/>
        <scheme val="minor"/>
      </rPr>
      <t>電磁接觸器</t>
    </r>
    <r>
      <rPr>
        <sz val="12"/>
        <color rgb="FF000000"/>
        <rFont val="Calibri"/>
        <family val="2"/>
        <scheme val="minor"/>
      </rPr>
      <t xml:space="preserve"> Shihlin/</t>
    </r>
    <r>
      <rPr>
        <sz val="12"/>
        <color rgb="FF000000"/>
        <rFont val="Calibri"/>
        <family val="2"/>
        <charset val="136"/>
        <scheme val="minor"/>
      </rPr>
      <t>電磁接觸器</t>
    </r>
    <r>
      <rPr>
        <sz val="12"/>
        <color rgb="FF000000"/>
        <rFont val="Calibri"/>
        <family val="2"/>
        <scheme val="minor"/>
      </rPr>
      <t xml:space="preserve"> AC3 32A</t>
    </r>
    <r>
      <rPr>
        <sz val="12"/>
        <color rgb="FF000000"/>
        <rFont val="Calibri"/>
        <family val="2"/>
        <charset val="136"/>
        <scheme val="minor"/>
      </rPr>
      <t>、</t>
    </r>
    <r>
      <rPr>
        <sz val="12"/>
        <color rgb="FF000000"/>
        <rFont val="Calibri"/>
        <family val="2"/>
        <scheme val="minor"/>
      </rPr>
      <t>AC1 40A</t>
    </r>
  </si>
  <si>
    <r>
      <rPr>
        <sz val="12"/>
        <color rgb="FF000000"/>
        <rFont val="Calibri"/>
        <family val="2"/>
        <charset val="136"/>
        <scheme val="minor"/>
      </rPr>
      <t>電磁接觸器</t>
    </r>
    <r>
      <rPr>
        <sz val="12"/>
        <color rgb="FF000000"/>
        <rFont val="Calibri"/>
        <family val="2"/>
        <scheme val="minor"/>
      </rPr>
      <t xml:space="preserve"> Shihlin/</t>
    </r>
    <r>
      <rPr>
        <sz val="12"/>
        <color rgb="FF000000"/>
        <rFont val="Calibri"/>
        <family val="2"/>
        <charset val="136"/>
        <scheme val="minor"/>
      </rPr>
      <t>電磁接觸器</t>
    </r>
    <r>
      <rPr>
        <sz val="12"/>
        <color rgb="FF000000"/>
        <rFont val="Calibri"/>
        <family val="2"/>
        <scheme val="minor"/>
      </rPr>
      <t xml:space="preserve"> AC220V 3P 80A </t>
    </r>
  </si>
  <si>
    <r>
      <rPr>
        <sz val="12"/>
        <color rgb="FF000000"/>
        <rFont val="Calibri"/>
        <family val="2"/>
        <charset val="136"/>
        <scheme val="minor"/>
      </rPr>
      <t>端子台</t>
    </r>
    <r>
      <rPr>
        <sz val="12"/>
        <color rgb="FF000000"/>
        <rFont val="Calibri"/>
        <family val="2"/>
        <scheme val="minor"/>
      </rPr>
      <t xml:space="preserve"> SHINING/2P</t>
    </r>
    <r>
      <rPr>
        <sz val="12"/>
        <color rgb="FF000000"/>
        <rFont val="Calibri"/>
        <family val="2"/>
        <charset val="136"/>
        <scheme val="minor"/>
      </rPr>
      <t>柵欄式端子台</t>
    </r>
    <r>
      <rPr>
        <sz val="12"/>
        <color rgb="FF000000"/>
        <rFont val="Calibri"/>
        <family val="2"/>
        <scheme val="minor"/>
      </rPr>
      <t xml:space="preserve"> TA-020 20A 600V MAX Shining 43687</t>
    </r>
  </si>
  <si>
    <r>
      <rPr>
        <sz val="12"/>
        <color rgb="FF000000"/>
        <rFont val="Calibri"/>
        <family val="2"/>
        <charset val="136"/>
        <scheme val="minor"/>
      </rPr>
      <t>端子台</t>
    </r>
    <r>
      <rPr>
        <sz val="12"/>
        <color rgb="FF000000"/>
        <rFont val="Calibri"/>
        <family val="2"/>
        <scheme val="minor"/>
      </rPr>
      <t xml:space="preserve"> SHINING/4P</t>
    </r>
    <r>
      <rPr>
        <sz val="12"/>
        <color rgb="FF000000"/>
        <rFont val="Calibri"/>
        <family val="2"/>
        <charset val="136"/>
        <scheme val="minor"/>
      </rPr>
      <t>柵欄式端子台</t>
    </r>
    <r>
      <rPr>
        <sz val="12"/>
        <color rgb="FF000000"/>
        <rFont val="Calibri"/>
        <family val="2"/>
        <scheme val="minor"/>
      </rPr>
      <t xml:space="preserve"> TA-020 20A 600V MAX Shining 43687</t>
    </r>
  </si>
  <si>
    <r>
      <rPr>
        <sz val="12"/>
        <color rgb="FF000000"/>
        <rFont val="Calibri"/>
        <family val="2"/>
        <charset val="136"/>
        <scheme val="minor"/>
      </rPr>
      <t>端子台</t>
    </r>
    <r>
      <rPr>
        <sz val="12"/>
        <color rgb="FF000000"/>
        <rFont val="Calibri"/>
        <family val="2"/>
        <scheme val="minor"/>
      </rPr>
      <t xml:space="preserve"> 3P</t>
    </r>
    <r>
      <rPr>
        <sz val="12"/>
        <color rgb="FF000000"/>
        <rFont val="Calibri"/>
        <family val="2"/>
        <charset val="136"/>
        <scheme val="minor"/>
      </rPr>
      <t>柵欄式端子台</t>
    </r>
  </si>
  <si>
    <r>
      <rPr>
        <sz val="12"/>
        <color rgb="FF000000"/>
        <rFont val="Calibri"/>
        <family val="2"/>
        <charset val="136"/>
        <scheme val="minor"/>
      </rPr>
      <t>端子台固定座</t>
    </r>
    <r>
      <rPr>
        <sz val="12"/>
        <color rgb="FF000000"/>
        <rFont val="Calibri"/>
        <family val="2"/>
        <scheme val="minor"/>
      </rPr>
      <t xml:space="preserve"> TEND/TBR-20 20A</t>
    </r>
  </si>
  <si>
    <r>
      <rPr>
        <sz val="12"/>
        <color rgb="FF000000"/>
        <rFont val="Calibri"/>
        <family val="2"/>
        <charset val="136"/>
        <scheme val="minor"/>
      </rPr>
      <t>端子台固定座</t>
    </r>
    <r>
      <rPr>
        <sz val="12"/>
        <color rgb="FF000000"/>
        <rFont val="Calibri"/>
        <family val="2"/>
        <scheme val="minor"/>
      </rPr>
      <t xml:space="preserve"> / </t>
    </r>
    <r>
      <rPr>
        <sz val="12"/>
        <color rgb="FF000000"/>
        <rFont val="Calibri"/>
        <family val="2"/>
        <charset val="136"/>
        <scheme val="minor"/>
      </rPr>
      <t>端子台固定扣具</t>
    </r>
    <r>
      <rPr>
        <sz val="12"/>
        <color rgb="FF000000"/>
        <rFont val="Calibri"/>
        <family val="2"/>
        <scheme val="minor"/>
      </rPr>
      <t xml:space="preserve"> TBR </t>
    </r>
    <r>
      <rPr>
        <sz val="12"/>
        <color rgb="FF000000"/>
        <rFont val="Calibri"/>
        <family val="2"/>
        <charset val="136"/>
        <scheme val="minor"/>
      </rPr>
      <t>系列</t>
    </r>
  </si>
  <si>
    <r>
      <rPr>
        <sz val="12"/>
        <color rgb="FF000000"/>
        <rFont val="Calibri"/>
        <family val="2"/>
        <charset val="136"/>
        <scheme val="minor"/>
      </rPr>
      <t>電磁接觸器</t>
    </r>
    <r>
      <rPr>
        <sz val="12"/>
        <color rgb="FF000000"/>
        <rFont val="Calibri"/>
        <family val="2"/>
        <scheme val="minor"/>
      </rPr>
      <t xml:space="preserve"> TECO/</t>
    </r>
    <r>
      <rPr>
        <sz val="12"/>
        <color rgb="FF000000"/>
        <rFont val="Calibri"/>
        <family val="2"/>
        <charset val="136"/>
        <scheme val="minor"/>
      </rPr>
      <t>附熱動過載電驛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電流範圍</t>
    </r>
    <r>
      <rPr>
        <sz val="12"/>
        <color rgb="FF000000"/>
        <rFont val="Calibri"/>
        <family val="2"/>
        <scheme val="minor"/>
      </rPr>
      <t>2.9~4A</t>
    </r>
  </si>
  <si>
    <r>
      <rPr>
        <sz val="12"/>
        <color rgb="FF000000"/>
        <rFont val="Calibri"/>
        <family val="2"/>
        <charset val="136"/>
        <scheme val="minor"/>
      </rPr>
      <t>保險絲座</t>
    </r>
    <r>
      <rPr>
        <sz val="12"/>
        <color rgb="FF000000"/>
        <rFont val="Calibri"/>
        <family val="2"/>
        <scheme val="minor"/>
      </rPr>
      <t xml:space="preserve"> Tend/</t>
    </r>
    <r>
      <rPr>
        <sz val="12"/>
        <color rgb="FF000000"/>
        <rFont val="Calibri"/>
        <family val="2"/>
        <charset val="136"/>
        <scheme val="minor"/>
      </rPr>
      <t>軌道式</t>
    </r>
    <r>
      <rPr>
        <sz val="12"/>
        <color rgb="FF000000"/>
        <rFont val="Calibri"/>
        <family val="2"/>
        <scheme val="minor"/>
      </rPr>
      <t xml:space="preserve"> 32A 600VAC</t>
    </r>
  </si>
  <si>
    <r>
      <rPr>
        <sz val="12"/>
        <color rgb="FF000000"/>
        <rFont val="Calibri"/>
        <family val="2"/>
        <charset val="136"/>
        <scheme val="minor"/>
      </rPr>
      <t>網路線</t>
    </r>
    <r>
      <rPr>
        <sz val="12"/>
        <color rgb="FF000000"/>
        <rFont val="Calibri"/>
        <family val="2"/>
        <scheme val="minor"/>
      </rPr>
      <t xml:space="preserve"> CAT5E UTP RJ45-RJ45 </t>
    </r>
    <r>
      <rPr>
        <sz val="12"/>
        <color rgb="FF000000"/>
        <rFont val="Calibri"/>
        <family val="2"/>
        <charset val="136"/>
        <scheme val="minor"/>
      </rPr>
      <t>約</t>
    </r>
    <r>
      <rPr>
        <sz val="12"/>
        <color rgb="FF000000"/>
        <rFont val="Calibri"/>
        <family val="2"/>
        <scheme val="minor"/>
      </rPr>
      <t>300CM</t>
    </r>
  </si>
  <si>
    <r>
      <rPr>
        <sz val="12"/>
        <color rgb="FF000000"/>
        <rFont val="Calibri"/>
        <family val="2"/>
        <charset val="136"/>
        <scheme val="minor"/>
      </rPr>
      <t>網路線</t>
    </r>
    <r>
      <rPr>
        <sz val="12"/>
        <color rgb="FF000000"/>
        <rFont val="Calibri"/>
        <family val="2"/>
        <scheme val="minor"/>
      </rPr>
      <t xml:space="preserve"> CAT5E RJ45-RJ45 350CM</t>
    </r>
  </si>
  <si>
    <r>
      <rPr>
        <sz val="12"/>
        <color rgb="FF000000"/>
        <rFont val="Calibri"/>
        <family val="2"/>
        <charset val="136"/>
        <scheme val="minor"/>
      </rPr>
      <t>網路線</t>
    </r>
    <r>
      <rPr>
        <sz val="12"/>
        <color rgb="FF000000"/>
        <rFont val="Calibri"/>
        <family val="2"/>
        <scheme val="minor"/>
      </rPr>
      <t xml:space="preserve"> CAT5E UTP RJ45-RJ45 </t>
    </r>
    <r>
      <rPr>
        <sz val="12"/>
        <color rgb="FF000000"/>
        <rFont val="Calibri"/>
        <family val="2"/>
        <charset val="136"/>
        <scheme val="minor"/>
      </rPr>
      <t>約</t>
    </r>
    <r>
      <rPr>
        <sz val="12"/>
        <color rgb="FF000000"/>
        <rFont val="Calibri"/>
        <family val="2"/>
        <scheme val="minor"/>
      </rPr>
      <t>1M</t>
    </r>
  </si>
  <si>
    <r>
      <rPr>
        <sz val="12"/>
        <color rgb="FF000000"/>
        <rFont val="Calibri"/>
        <family val="2"/>
        <scheme val="minor"/>
      </rPr>
      <t>VGA</t>
    </r>
    <r>
      <rPr>
        <sz val="12"/>
        <color rgb="FF000000"/>
        <rFont val="Calibri"/>
        <family val="2"/>
        <charset val="136"/>
        <scheme val="minor"/>
      </rPr>
      <t>延長線</t>
    </r>
    <r>
      <rPr>
        <sz val="12"/>
        <color rgb="FF000000"/>
        <rFont val="Calibri"/>
        <family val="2"/>
        <scheme val="minor"/>
      </rPr>
      <t xml:space="preserve"> D-Sub 15Pin </t>
    </r>
    <r>
      <rPr>
        <sz val="12"/>
        <color rgb="FF000000"/>
        <rFont val="Calibri"/>
        <family val="2"/>
        <charset val="136"/>
        <scheme val="minor"/>
      </rPr>
      <t>公母</t>
    </r>
    <r>
      <rPr>
        <sz val="12"/>
        <color rgb="FF000000"/>
        <rFont val="Calibri"/>
        <family val="2"/>
        <scheme val="minor"/>
      </rPr>
      <t xml:space="preserve"> 1100CM </t>
    </r>
    <r>
      <rPr>
        <sz val="12"/>
        <color rgb="FF000000"/>
        <rFont val="Calibri"/>
        <family val="2"/>
        <charset val="136"/>
        <scheme val="minor"/>
      </rPr>
      <t>黑色</t>
    </r>
  </si>
  <si>
    <r>
      <rPr>
        <sz val="12"/>
        <color rgb="FF000000"/>
        <rFont val="Calibri"/>
        <family val="2"/>
        <charset val="136"/>
        <scheme val="minor"/>
      </rPr>
      <t>杜邦線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公對公</t>
    </r>
    <r>
      <rPr>
        <sz val="12"/>
        <color rgb="FF000000"/>
        <rFont val="Calibri"/>
        <family val="2"/>
        <scheme val="minor"/>
      </rPr>
      <t xml:space="preserve"> 20CM 40</t>
    </r>
    <r>
      <rPr>
        <sz val="12"/>
        <color rgb="FF000000"/>
        <rFont val="Calibri"/>
        <family val="2"/>
        <charset val="136"/>
        <scheme val="minor"/>
      </rPr>
      <t>芯組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彩虹排線</t>
    </r>
  </si>
  <si>
    <r>
      <rPr>
        <sz val="12"/>
        <color rgb="FF000000"/>
        <rFont val="Calibri"/>
        <family val="2"/>
        <charset val="136"/>
        <scheme val="minor"/>
      </rPr>
      <t>電話線</t>
    </r>
    <r>
      <rPr>
        <sz val="12"/>
        <color rgb="FF000000"/>
        <rFont val="Calibri"/>
        <family val="2"/>
        <scheme val="minor"/>
      </rPr>
      <t xml:space="preserve"> RJ11 150CM </t>
    </r>
    <r>
      <rPr>
        <sz val="12"/>
        <color rgb="FF000000"/>
        <rFont val="Calibri"/>
        <family val="2"/>
        <charset val="136"/>
        <scheme val="minor"/>
      </rPr>
      <t>白色</t>
    </r>
  </si>
  <si>
    <r>
      <rPr>
        <sz val="12"/>
        <color rgb="FF000000"/>
        <rFont val="Calibri"/>
        <family val="2"/>
        <charset val="136"/>
        <scheme val="minor"/>
      </rPr>
      <t>電話線</t>
    </r>
    <r>
      <rPr>
        <sz val="12"/>
        <color rgb="FF000000"/>
        <rFont val="Calibri"/>
        <family val="2"/>
        <scheme val="minor"/>
      </rPr>
      <t xml:space="preserve"> RJ11 200CM </t>
    </r>
    <r>
      <rPr>
        <sz val="12"/>
        <color rgb="FF000000"/>
        <rFont val="Calibri"/>
        <family val="2"/>
        <charset val="136"/>
        <scheme val="minor"/>
      </rPr>
      <t>灰色</t>
    </r>
  </si>
  <si>
    <r>
      <rPr>
        <sz val="12"/>
        <color rgb="FF000000"/>
        <rFont val="Calibri"/>
        <family val="2"/>
        <charset val="136"/>
        <scheme val="minor"/>
      </rPr>
      <t>電話線</t>
    </r>
    <r>
      <rPr>
        <sz val="12"/>
        <color rgb="FF000000"/>
        <rFont val="Calibri"/>
        <family val="2"/>
        <scheme val="minor"/>
      </rPr>
      <t xml:space="preserve"> RJ11 200CM </t>
    </r>
    <r>
      <rPr>
        <sz val="12"/>
        <color rgb="FF000000"/>
        <rFont val="Calibri"/>
        <family val="2"/>
        <charset val="136"/>
        <scheme val="minor"/>
      </rPr>
      <t>黑色</t>
    </r>
  </si>
  <si>
    <r>
      <rPr>
        <sz val="12"/>
        <color rgb="FF000000"/>
        <rFont val="Calibri"/>
        <family val="2"/>
        <charset val="136"/>
        <scheme val="minor"/>
      </rPr>
      <t>電話線</t>
    </r>
    <r>
      <rPr>
        <sz val="12"/>
        <color rgb="FF000000"/>
        <rFont val="Calibri"/>
        <family val="2"/>
        <scheme val="minor"/>
      </rPr>
      <t xml:space="preserve"> RJ11 215CM </t>
    </r>
    <r>
      <rPr>
        <sz val="12"/>
        <color rgb="FF000000"/>
        <rFont val="Calibri"/>
        <family val="2"/>
        <charset val="136"/>
        <scheme val="minor"/>
      </rPr>
      <t>黑色</t>
    </r>
  </si>
  <si>
    <r>
      <rPr>
        <sz val="12"/>
        <color rgb="FF000000"/>
        <rFont val="Calibri"/>
        <family val="2"/>
        <charset val="136"/>
        <scheme val="minor"/>
      </rPr>
      <t>電話線</t>
    </r>
    <r>
      <rPr>
        <sz val="12"/>
        <color rgb="FF000000"/>
        <rFont val="Calibri"/>
        <family val="2"/>
        <scheme val="minor"/>
      </rPr>
      <t xml:space="preserve"> RJ11 7CM </t>
    </r>
    <r>
      <rPr>
        <sz val="12"/>
        <color rgb="FF000000"/>
        <rFont val="Calibri"/>
        <family val="2"/>
        <charset val="136"/>
        <scheme val="minor"/>
      </rPr>
      <t>白色</t>
    </r>
  </si>
  <si>
    <r>
      <rPr>
        <sz val="12"/>
        <color rgb="FF000000"/>
        <rFont val="Calibri"/>
        <family val="2"/>
        <charset val="136"/>
        <scheme val="minor"/>
      </rPr>
      <t>音源線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通用</t>
    </r>
    <r>
      <rPr>
        <sz val="12"/>
        <color rgb="FF000000"/>
        <rFont val="Calibri"/>
        <family val="2"/>
        <scheme val="minor"/>
      </rPr>
      <t>/3.5mm</t>
    </r>
    <r>
      <rPr>
        <sz val="12"/>
        <color rgb="FF000000"/>
        <rFont val="Calibri"/>
        <family val="2"/>
        <charset val="136"/>
        <scheme val="minor"/>
      </rPr>
      <t>立體聲音源線</t>
    </r>
    <r>
      <rPr>
        <sz val="12"/>
        <color rgb="FF000000"/>
        <rFont val="Calibri"/>
        <family val="2"/>
        <scheme val="minor"/>
      </rPr>
      <t xml:space="preserve"> TRS 3</t>
    </r>
    <r>
      <rPr>
        <sz val="12"/>
        <color rgb="FF000000"/>
        <rFont val="Calibri"/>
        <family val="2"/>
        <charset val="136"/>
        <scheme val="minor"/>
      </rPr>
      <t>極公對公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黑色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長度</t>
    </r>
    <r>
      <rPr>
        <sz val="12"/>
        <color rgb="FF000000"/>
        <rFont val="Calibri"/>
        <family val="2"/>
        <scheme val="minor"/>
      </rPr>
      <t>120CM</t>
    </r>
  </si>
  <si>
    <r>
      <rPr>
        <sz val="12"/>
        <color rgb="FF000000"/>
        <rFont val="Calibri"/>
        <family val="2"/>
        <charset val="136"/>
        <scheme val="minor"/>
      </rPr>
      <t>裸線通訊線</t>
    </r>
    <r>
      <rPr>
        <sz val="12"/>
        <color rgb="FF000000"/>
        <rFont val="Calibri"/>
        <family val="2"/>
        <scheme val="minor"/>
      </rPr>
      <t xml:space="preserve"> RS232 DB9</t>
    </r>
    <r>
      <rPr>
        <sz val="12"/>
        <color rgb="FF000000"/>
        <rFont val="Calibri"/>
        <family val="2"/>
        <charset val="136"/>
        <scheme val="minor"/>
      </rPr>
      <t>母頭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裸線通訊線</t>
    </r>
    <r>
      <rPr>
        <sz val="12"/>
        <color rgb="FF000000"/>
        <rFont val="Calibri"/>
        <family val="2"/>
        <scheme val="minor"/>
      </rPr>
      <t xml:space="preserve"> 100CM RS232 </t>
    </r>
    <r>
      <rPr>
        <sz val="12"/>
        <color rgb="FF000000"/>
        <rFont val="Calibri"/>
        <family val="2"/>
        <charset val="136"/>
        <scheme val="minor"/>
      </rPr>
      <t>串列通訊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一端</t>
    </r>
    <r>
      <rPr>
        <sz val="12"/>
        <color rgb="FF000000"/>
        <rFont val="Calibri"/>
        <family val="2"/>
        <scheme val="minor"/>
      </rPr>
      <t xml:space="preserve"> DB9 </t>
    </r>
    <r>
      <rPr>
        <sz val="12"/>
        <color rgb="FF000000"/>
        <rFont val="Calibri"/>
        <family val="2"/>
        <charset val="136"/>
        <scheme val="minor"/>
      </rPr>
      <t>母頭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一端三芯裸線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用於</t>
    </r>
    <r>
      <rPr>
        <sz val="12"/>
        <color rgb="FF000000"/>
        <rFont val="Calibri"/>
        <family val="2"/>
        <scheme val="minor"/>
      </rPr>
      <t xml:space="preserve"> PLC</t>
    </r>
    <r>
      <rPr>
        <sz val="12"/>
        <color rgb="FF000000"/>
        <rFont val="Calibri"/>
        <family val="2"/>
        <charset val="136"/>
        <scheme val="minor"/>
      </rPr>
      <t>、控制器及工控設備</t>
    </r>
  </si>
  <si>
    <r>
      <rPr>
        <sz val="12"/>
        <color rgb="FF000000"/>
        <rFont val="Calibri"/>
        <family val="2"/>
        <charset val="136"/>
        <scheme val="minor"/>
      </rPr>
      <t>紅外線接收器延長線</t>
    </r>
    <r>
      <rPr>
        <sz val="12"/>
        <color rgb="FF000000"/>
        <rFont val="Calibri"/>
        <family val="2"/>
        <scheme val="minor"/>
      </rPr>
      <t xml:space="preserve"> CA-IR-RH2251 3.5mm</t>
    </r>
  </si>
  <si>
    <r>
      <rPr>
        <sz val="12"/>
        <color rgb="FF000000"/>
        <rFont val="Calibri"/>
        <family val="2"/>
        <charset val="136"/>
        <scheme val="minor"/>
      </rPr>
      <t>傳輸線</t>
    </r>
    <r>
      <rPr>
        <sz val="12"/>
        <color rgb="FF000000"/>
        <rFont val="Calibri"/>
        <family val="2"/>
        <scheme val="minor"/>
      </rPr>
      <t xml:space="preserve"> PX/HDMI</t>
    </r>
    <r>
      <rPr>
        <sz val="12"/>
        <color rgb="FF000000"/>
        <rFont val="Calibri"/>
        <family val="2"/>
        <charset val="136"/>
        <scheme val="minor"/>
      </rPr>
      <t>高速影音傳輸線</t>
    </r>
    <r>
      <rPr>
        <sz val="12"/>
        <color rgb="FF000000"/>
        <rFont val="Calibri"/>
        <family val="2"/>
        <scheme val="minor"/>
      </rPr>
      <t xml:space="preserve"> 1.2M</t>
    </r>
  </si>
  <si>
    <r>
      <rPr>
        <sz val="12"/>
        <color rgb="FF000000"/>
        <rFont val="Calibri"/>
        <family val="2"/>
        <scheme val="minor"/>
      </rPr>
      <t xml:space="preserve">PX </t>
    </r>
    <r>
      <rPr>
        <sz val="12"/>
        <color rgb="FF000000"/>
        <rFont val="Calibri"/>
        <family val="2"/>
        <charset val="136"/>
        <scheme val="minor"/>
      </rPr>
      <t>大通</t>
    </r>
  </si>
  <si>
    <r>
      <rPr>
        <sz val="12"/>
        <color rgb="FF000000"/>
        <rFont val="Calibri"/>
        <family val="2"/>
        <scheme val="minor"/>
      </rPr>
      <t>SATA</t>
    </r>
    <r>
      <rPr>
        <sz val="12"/>
        <color rgb="FF000000"/>
        <rFont val="Calibri"/>
        <family val="2"/>
        <charset val="136"/>
        <scheme val="minor"/>
      </rPr>
      <t>傳輸線</t>
    </r>
    <r>
      <rPr>
        <sz val="12"/>
        <color rgb="FF000000"/>
        <rFont val="Calibri"/>
        <family val="2"/>
        <scheme val="minor"/>
      </rPr>
      <t xml:space="preserve"> SATA III 7Pin </t>
    </r>
    <r>
      <rPr>
        <sz val="12"/>
        <color rgb="FF000000"/>
        <rFont val="Calibri"/>
        <family val="2"/>
        <charset val="136"/>
        <scheme val="minor"/>
      </rPr>
      <t>金屬扣</t>
    </r>
    <r>
      <rPr>
        <sz val="12"/>
        <color rgb="FF000000"/>
        <rFont val="Calibri"/>
        <family val="2"/>
        <scheme val="minor"/>
      </rPr>
      <t xml:space="preserve"> 38CM</t>
    </r>
  </si>
  <si>
    <r>
      <rPr>
        <sz val="12"/>
        <color rgb="FF000000"/>
        <rFont val="Calibri"/>
        <family val="2"/>
        <scheme val="minor"/>
      </rPr>
      <t>SATA</t>
    </r>
    <r>
      <rPr>
        <sz val="12"/>
        <color rgb="FF000000"/>
        <rFont val="Calibri"/>
        <family val="2"/>
        <charset val="136"/>
        <scheme val="minor"/>
      </rPr>
      <t>延長線</t>
    </r>
    <r>
      <rPr>
        <sz val="12"/>
        <color rgb="FF000000"/>
        <rFont val="Calibri"/>
        <family val="2"/>
        <scheme val="minor"/>
      </rPr>
      <t xml:space="preserve"> 6Gb/s 38CM</t>
    </r>
  </si>
  <si>
    <r>
      <rPr>
        <sz val="12"/>
        <color rgb="FF000000"/>
        <rFont val="Calibri"/>
        <family val="2"/>
        <charset val="136"/>
        <scheme val="minor"/>
      </rPr>
      <t>電源線</t>
    </r>
    <r>
      <rPr>
        <sz val="12"/>
        <color rgb="FF000000"/>
        <rFont val="Calibri"/>
        <family val="2"/>
        <scheme val="minor"/>
      </rPr>
      <t xml:space="preserve"> KING-CORD/</t>
    </r>
    <r>
      <rPr>
        <sz val="12"/>
        <color rgb="FF000000"/>
        <rFont val="Calibri"/>
        <family val="2"/>
        <charset val="136"/>
        <scheme val="minor"/>
      </rPr>
      <t>英規</t>
    </r>
    <r>
      <rPr>
        <sz val="12"/>
        <color rgb="FF000000"/>
        <rFont val="Calibri"/>
        <family val="2"/>
        <scheme val="minor"/>
      </rPr>
      <t>3P</t>
    </r>
    <r>
      <rPr>
        <sz val="12"/>
        <color rgb="FF000000"/>
        <rFont val="Calibri"/>
        <family val="2"/>
        <charset val="136"/>
        <scheme val="minor"/>
      </rPr>
      <t>插頭轉</t>
    </r>
    <r>
      <rPr>
        <sz val="12"/>
        <color rgb="FF000000"/>
        <rFont val="Calibri"/>
        <family val="2"/>
        <scheme val="minor"/>
      </rPr>
      <t>IEC C13</t>
    </r>
    <r>
      <rPr>
        <sz val="12"/>
        <color rgb="FF000000"/>
        <rFont val="Calibri"/>
        <family val="2"/>
        <charset val="136"/>
        <scheme val="minor"/>
      </rPr>
      <t>電源線</t>
    </r>
    <r>
      <rPr>
        <sz val="12"/>
        <color rgb="FF000000"/>
        <rFont val="Calibri"/>
        <family val="2"/>
        <scheme val="minor"/>
      </rPr>
      <t xml:space="preserve"> BS1363/A 3A 250V FUSED IEC C13</t>
    </r>
  </si>
  <si>
    <r>
      <rPr>
        <sz val="12"/>
        <color rgb="FF000000"/>
        <rFont val="Calibri"/>
        <family val="2"/>
        <charset val="136"/>
        <scheme val="minor"/>
      </rPr>
      <t>傳輸線</t>
    </r>
    <r>
      <rPr>
        <sz val="12"/>
        <color rgb="FF000000"/>
        <rFont val="Calibri"/>
        <family val="2"/>
        <scheme val="minor"/>
      </rPr>
      <t xml:space="preserve"> USB Type-C </t>
    </r>
    <r>
      <rPr>
        <sz val="12"/>
        <color rgb="FF000000"/>
        <rFont val="Calibri"/>
        <family val="2"/>
        <charset val="136"/>
        <scheme val="minor"/>
      </rPr>
      <t>傳輸線</t>
    </r>
    <r>
      <rPr>
        <sz val="12"/>
        <color rgb="FF000000"/>
        <rFont val="Calibri"/>
        <family val="2"/>
        <scheme val="minor"/>
      </rPr>
      <t xml:space="preserve"> 100cm</t>
    </r>
  </si>
  <si>
    <r>
      <rPr>
        <sz val="12"/>
        <color rgb="FF000000"/>
        <rFont val="Calibri"/>
        <family val="2"/>
        <charset val="136"/>
        <scheme val="minor"/>
      </rPr>
      <t>電源供應器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明緯電源供應器</t>
    </r>
    <r>
      <rPr>
        <sz val="12"/>
        <color rgb="FF000000"/>
        <rFont val="Calibri"/>
        <family val="2"/>
        <scheme val="minor"/>
      </rPr>
      <t xml:space="preserve"> 12V 3.33A 40W</t>
    </r>
  </si>
  <si>
    <r>
      <rPr>
        <sz val="12"/>
        <color rgb="FF000000"/>
        <rFont val="Calibri"/>
        <family val="2"/>
        <charset val="136"/>
        <scheme val="minor"/>
      </rPr>
      <t>變壓器</t>
    </r>
    <r>
      <rPr>
        <sz val="12"/>
        <color rgb="FF000000"/>
        <rFont val="Calibri"/>
        <family val="2"/>
        <scheme val="minor"/>
      </rPr>
      <t xml:space="preserve"> ASUS</t>
    </r>
    <r>
      <rPr>
        <sz val="12"/>
        <color rgb="FF000000"/>
        <rFont val="Calibri"/>
        <family val="2"/>
        <charset val="136"/>
        <scheme val="minor"/>
      </rPr>
      <t>筆電變壓器</t>
    </r>
    <r>
      <rPr>
        <sz val="12"/>
        <color rgb="FF000000"/>
        <rFont val="Calibri"/>
        <family val="2"/>
        <scheme val="minor"/>
      </rPr>
      <t xml:space="preserve"> 19V 4.74A 90W</t>
    </r>
  </si>
  <si>
    <r>
      <rPr>
        <sz val="12"/>
        <color rgb="FF000000"/>
        <rFont val="Calibri"/>
        <family val="2"/>
        <charset val="136"/>
        <scheme val="minor"/>
      </rPr>
      <t>延長線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巧巧牌</t>
    </r>
    <r>
      <rPr>
        <sz val="12"/>
        <color rgb="FF000000"/>
        <rFont val="Calibri"/>
        <family val="2"/>
        <scheme val="minor"/>
      </rPr>
      <t>/3</t>
    </r>
    <r>
      <rPr>
        <sz val="12"/>
        <color rgb="FF000000"/>
        <rFont val="Calibri"/>
        <family val="2"/>
        <charset val="136"/>
        <scheme val="minor"/>
      </rPr>
      <t>孔</t>
    </r>
    <r>
      <rPr>
        <sz val="12"/>
        <color rgb="FF000000"/>
        <rFont val="Calibri"/>
        <family val="2"/>
        <scheme val="minor"/>
      </rPr>
      <t>2P AC125V/15A 460CM</t>
    </r>
  </si>
  <si>
    <r>
      <rPr>
        <sz val="12"/>
        <color rgb="FF000000"/>
        <rFont val="Calibri"/>
        <family val="2"/>
        <charset val="136"/>
        <scheme val="minor"/>
      </rPr>
      <t>巧巧牌</t>
    </r>
  </si>
  <si>
    <r>
      <rPr>
        <sz val="12"/>
        <color rgb="FF000000"/>
        <rFont val="Calibri"/>
        <family val="2"/>
        <charset val="136"/>
        <scheme val="minor"/>
      </rPr>
      <t>電源線</t>
    </r>
    <r>
      <rPr>
        <sz val="12"/>
        <color rgb="FF000000"/>
        <rFont val="Calibri"/>
        <family val="2"/>
        <scheme val="minor"/>
      </rPr>
      <t xml:space="preserve"> AC</t>
    </r>
    <r>
      <rPr>
        <sz val="12"/>
        <color rgb="FF000000"/>
        <rFont val="Calibri"/>
        <family val="2"/>
        <charset val="136"/>
        <scheme val="minor"/>
      </rPr>
      <t>電源線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美規二孔裸線端</t>
    </r>
    <r>
      <rPr>
        <sz val="12"/>
        <color rgb="FF000000"/>
        <rFont val="Calibri"/>
        <family val="2"/>
        <scheme val="minor"/>
      </rPr>
      <t xml:space="preserve"> 120CM</t>
    </r>
  </si>
  <si>
    <r>
      <rPr>
        <sz val="12"/>
        <color rgb="FF000000"/>
        <rFont val="Calibri"/>
        <family val="2"/>
        <charset val="136"/>
        <scheme val="minor"/>
      </rPr>
      <t>電源線</t>
    </r>
    <r>
      <rPr>
        <sz val="12"/>
        <color rgb="FF000000"/>
        <rFont val="Calibri"/>
        <family val="2"/>
        <scheme val="minor"/>
      </rPr>
      <t xml:space="preserve"> AC</t>
    </r>
    <r>
      <rPr>
        <sz val="12"/>
        <color rgb="FF000000"/>
        <rFont val="Calibri"/>
        <family val="2"/>
        <charset val="136"/>
        <scheme val="minor"/>
      </rPr>
      <t>電源線</t>
    </r>
    <r>
      <rPr>
        <sz val="12"/>
        <color rgb="FF000000"/>
        <rFont val="Calibri"/>
        <family val="2"/>
        <scheme val="minor"/>
      </rPr>
      <t xml:space="preserve"> C13 1.8M</t>
    </r>
  </si>
  <si>
    <r>
      <rPr>
        <sz val="12"/>
        <color rgb="FF000000"/>
        <rFont val="Calibri"/>
        <family val="2"/>
        <charset val="136"/>
        <scheme val="minor"/>
      </rPr>
      <t>電源線</t>
    </r>
    <r>
      <rPr>
        <sz val="12"/>
        <color rgb="FF000000"/>
        <rFont val="Calibri"/>
        <family val="2"/>
        <scheme val="minor"/>
      </rPr>
      <t xml:space="preserve"> AC</t>
    </r>
    <r>
      <rPr>
        <sz val="12"/>
        <color rgb="FF000000"/>
        <rFont val="Calibri"/>
        <family val="2"/>
        <charset val="136"/>
        <scheme val="minor"/>
      </rPr>
      <t>電源線</t>
    </r>
    <r>
      <rPr>
        <sz val="12"/>
        <color rgb="FF000000"/>
        <rFont val="Calibri"/>
        <family val="2"/>
        <scheme val="minor"/>
      </rPr>
      <t xml:space="preserve"> C7 2P 180CM </t>
    </r>
    <r>
      <rPr>
        <sz val="12"/>
        <color rgb="FF000000"/>
        <rFont val="Calibri"/>
        <family val="2"/>
        <charset val="136"/>
        <scheme val="minor"/>
      </rPr>
      <t>黑色</t>
    </r>
  </si>
  <si>
    <r>
      <rPr>
        <sz val="12"/>
        <color rgb="FF000000"/>
        <rFont val="Calibri"/>
        <family val="2"/>
        <charset val="136"/>
        <scheme val="minor"/>
      </rPr>
      <t>變壓器</t>
    </r>
    <r>
      <rPr>
        <sz val="12"/>
        <color rgb="FF000000"/>
        <rFont val="Calibri"/>
        <family val="2"/>
        <scheme val="minor"/>
      </rPr>
      <t xml:space="preserve"> Sunny/12V 1A DC</t>
    </r>
    <r>
      <rPr>
        <sz val="12"/>
        <color rgb="FF000000"/>
        <rFont val="Calibri"/>
        <family val="2"/>
        <charset val="136"/>
        <scheme val="minor"/>
      </rPr>
      <t>變壓器</t>
    </r>
  </si>
  <si>
    <r>
      <rPr>
        <sz val="12"/>
        <color rgb="FF000000"/>
        <rFont val="Calibri"/>
        <family val="2"/>
        <charset val="136"/>
        <scheme val="minor"/>
      </rPr>
      <t>變壓器</t>
    </r>
    <r>
      <rPr>
        <sz val="12"/>
        <color rgb="FF000000"/>
        <rFont val="Calibri"/>
        <family val="2"/>
        <scheme val="minor"/>
      </rPr>
      <t xml:space="preserve"> Canon/12V 1A </t>
    </r>
    <r>
      <rPr>
        <sz val="12"/>
        <color rgb="FF000000"/>
        <rFont val="Calibri"/>
        <family val="2"/>
        <charset val="136"/>
        <scheme val="minor"/>
      </rPr>
      <t>端子台變壓器</t>
    </r>
  </si>
  <si>
    <r>
      <rPr>
        <sz val="12"/>
        <color rgb="FF000000"/>
        <rFont val="Calibri"/>
        <family val="2"/>
        <charset val="136"/>
        <scheme val="minor"/>
      </rPr>
      <t>變壓器</t>
    </r>
    <r>
      <rPr>
        <sz val="12"/>
        <color rgb="FF000000"/>
        <rFont val="Calibri"/>
        <family val="2"/>
        <scheme val="minor"/>
      </rPr>
      <t xml:space="preserve"> 30V 2.1A DC</t>
    </r>
    <r>
      <rPr>
        <sz val="12"/>
        <color rgb="FF000000"/>
        <rFont val="Calibri"/>
        <family val="2"/>
        <charset val="136"/>
        <scheme val="minor"/>
      </rPr>
      <t>變壓器</t>
    </r>
  </si>
  <si>
    <r>
      <rPr>
        <sz val="12"/>
        <color rgb="FF000000"/>
        <rFont val="Calibri"/>
        <family val="2"/>
        <charset val="136"/>
        <scheme val="minor"/>
      </rPr>
      <t>電源供應器</t>
    </r>
    <r>
      <rPr>
        <sz val="12"/>
        <color rgb="FF000000"/>
        <rFont val="Calibri"/>
        <family val="2"/>
        <scheme val="minor"/>
      </rPr>
      <t xml:space="preserve"> PCL/5VDC</t>
    </r>
    <r>
      <rPr>
        <sz val="12"/>
        <color rgb="FF000000"/>
        <rFont val="Calibri"/>
        <family val="2"/>
        <charset val="136"/>
        <scheme val="minor"/>
      </rPr>
      <t>電源供應器</t>
    </r>
    <r>
      <rPr>
        <sz val="12"/>
        <color rgb="FF000000"/>
        <rFont val="Calibri"/>
        <family val="2"/>
        <scheme val="minor"/>
      </rPr>
      <t xml:space="preserve"> 0.8A</t>
    </r>
  </si>
  <si>
    <r>
      <rPr>
        <sz val="12"/>
        <color rgb="FF000000"/>
        <rFont val="Calibri"/>
        <family val="2"/>
        <charset val="136"/>
        <scheme val="minor"/>
      </rPr>
      <t>變壓器</t>
    </r>
    <r>
      <rPr>
        <sz val="12"/>
        <color rgb="FF000000"/>
        <rFont val="Calibri"/>
        <family val="2"/>
        <scheme val="minor"/>
      </rPr>
      <t xml:space="preserve"> JT International/5V 3A USB-C</t>
    </r>
    <r>
      <rPr>
        <sz val="12"/>
        <color rgb="FF000000"/>
        <rFont val="Calibri"/>
        <family val="2"/>
        <charset val="136"/>
        <scheme val="minor"/>
      </rPr>
      <t>變壓器</t>
    </r>
  </si>
  <si>
    <r>
      <rPr>
        <sz val="12"/>
        <color rgb="FF000000"/>
        <rFont val="Calibri"/>
        <family val="2"/>
        <charset val="136"/>
        <scheme val="minor"/>
      </rPr>
      <t>電源線</t>
    </r>
    <r>
      <rPr>
        <sz val="12"/>
        <color rgb="FF000000"/>
        <rFont val="Calibri"/>
        <family val="2"/>
        <scheme val="minor"/>
      </rPr>
      <t xml:space="preserve"> HOU TA/IEC C20</t>
    </r>
    <r>
      <rPr>
        <sz val="12"/>
        <color rgb="FF000000"/>
        <rFont val="Calibri"/>
        <family val="2"/>
        <charset val="136"/>
        <scheme val="minor"/>
      </rPr>
      <t>轉</t>
    </r>
    <r>
      <rPr>
        <sz val="12"/>
        <color rgb="FF000000"/>
        <rFont val="Calibri"/>
        <family val="2"/>
        <scheme val="minor"/>
      </rPr>
      <t xml:space="preserve">C19 310CM 20A </t>
    </r>
    <r>
      <rPr>
        <sz val="12"/>
        <color rgb="FF000000"/>
        <rFont val="Calibri"/>
        <family val="2"/>
        <charset val="136"/>
        <scheme val="minor"/>
      </rPr>
      <t>電源延長線</t>
    </r>
  </si>
  <si>
    <r>
      <rPr>
        <sz val="12"/>
        <color rgb="FF000000"/>
        <rFont val="Calibri"/>
        <family val="2"/>
        <charset val="136"/>
        <scheme val="minor"/>
      </rPr>
      <t>變壓器</t>
    </r>
    <r>
      <rPr>
        <sz val="12"/>
        <color rgb="FF000000"/>
        <rFont val="Calibri"/>
        <family val="2"/>
        <scheme val="minor"/>
      </rPr>
      <t xml:space="preserve"> DVE/DSA-12PF11-12L FUS 12V 1A DC</t>
    </r>
    <r>
      <rPr>
        <sz val="12"/>
        <color rgb="FF000000"/>
        <rFont val="Calibri"/>
        <family val="2"/>
        <charset val="136"/>
        <scheme val="minor"/>
      </rPr>
      <t>電源變壓器</t>
    </r>
  </si>
  <si>
    <r>
      <rPr>
        <sz val="12"/>
        <color rgb="FF000000"/>
        <rFont val="Calibri"/>
        <family val="2"/>
        <charset val="136"/>
        <scheme val="minor"/>
      </rPr>
      <t>轉接頭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歐規轉接插頭</t>
    </r>
  </si>
  <si>
    <r>
      <rPr>
        <sz val="12"/>
        <color rgb="FF000000"/>
        <rFont val="Calibri"/>
        <family val="2"/>
        <charset val="136"/>
        <scheme val="minor"/>
      </rPr>
      <t>電源轉接線</t>
    </r>
    <r>
      <rPr>
        <sz val="12"/>
        <color rgb="FF000000"/>
        <rFont val="Calibri"/>
        <family val="2"/>
        <scheme val="minor"/>
      </rPr>
      <t xml:space="preserve"> YI-HUAN/IEC C14</t>
    </r>
    <r>
      <rPr>
        <sz val="12"/>
        <color rgb="FF000000"/>
        <rFont val="Calibri"/>
        <family val="2"/>
        <charset val="136"/>
        <scheme val="minor"/>
      </rPr>
      <t>轉美規三孔母座</t>
    </r>
    <r>
      <rPr>
        <sz val="12"/>
        <color rgb="FF000000"/>
        <rFont val="Calibri"/>
        <family val="2"/>
        <scheme val="minor"/>
      </rPr>
      <t xml:space="preserve"> 20CM</t>
    </r>
  </si>
  <si>
    <r>
      <rPr>
        <sz val="12"/>
        <color rgb="FF000000"/>
        <rFont val="Calibri"/>
        <family val="2"/>
        <charset val="136"/>
        <scheme val="minor"/>
      </rPr>
      <t>電源線</t>
    </r>
    <r>
      <rPr>
        <sz val="12"/>
        <color rgb="FF000000"/>
        <rFont val="Calibri"/>
        <family val="2"/>
        <scheme val="minor"/>
      </rPr>
      <t xml:space="preserve"> LOROM/IEC C14</t>
    </r>
    <r>
      <rPr>
        <sz val="12"/>
        <color rgb="FF000000"/>
        <rFont val="Calibri"/>
        <family val="2"/>
        <charset val="136"/>
        <scheme val="minor"/>
      </rPr>
      <t>轉</t>
    </r>
    <r>
      <rPr>
        <sz val="12"/>
        <color rgb="FF000000"/>
        <rFont val="Calibri"/>
        <family val="2"/>
        <scheme val="minor"/>
      </rPr>
      <t>C13 190CM AC</t>
    </r>
    <r>
      <rPr>
        <sz val="12"/>
        <color rgb="FF000000"/>
        <rFont val="Calibri"/>
        <family val="2"/>
        <charset val="136"/>
        <scheme val="minor"/>
      </rPr>
      <t>電源延長線</t>
    </r>
  </si>
  <si>
    <r>
      <rPr>
        <sz val="12"/>
        <color rgb="FF000000"/>
        <rFont val="Calibri"/>
        <family val="2"/>
        <charset val="136"/>
        <scheme val="minor"/>
      </rPr>
      <t>電源線</t>
    </r>
    <r>
      <rPr>
        <sz val="12"/>
        <color rgb="FF000000"/>
        <rFont val="Calibri"/>
        <family val="2"/>
        <scheme val="minor"/>
      </rPr>
      <t xml:space="preserve"> AC</t>
    </r>
    <r>
      <rPr>
        <sz val="12"/>
        <color rgb="FF000000"/>
        <rFont val="Calibri"/>
        <family val="2"/>
        <charset val="136"/>
        <scheme val="minor"/>
      </rPr>
      <t>電源線</t>
    </r>
    <r>
      <rPr>
        <sz val="12"/>
        <color rgb="FF000000"/>
        <rFont val="Calibri"/>
        <family val="2"/>
        <scheme val="minor"/>
      </rPr>
      <t xml:space="preserve"> C13 175CM </t>
    </r>
    <r>
      <rPr>
        <sz val="12"/>
        <color rgb="FF000000"/>
        <rFont val="Calibri"/>
        <family val="2"/>
        <charset val="136"/>
        <scheme val="minor"/>
      </rPr>
      <t>黑色</t>
    </r>
  </si>
  <si>
    <r>
      <rPr>
        <sz val="12"/>
        <color rgb="FF000000"/>
        <rFont val="Calibri"/>
        <family val="2"/>
        <charset val="136"/>
        <scheme val="minor"/>
      </rPr>
      <t>電源轉接線</t>
    </r>
    <r>
      <rPr>
        <sz val="12"/>
        <color rgb="FF000000"/>
        <rFont val="Calibri"/>
        <family val="2"/>
        <scheme val="minor"/>
      </rPr>
      <t xml:space="preserve"> Longwell/IEC C14</t>
    </r>
    <r>
      <rPr>
        <sz val="12"/>
        <color rgb="FF000000"/>
        <rFont val="Calibri"/>
        <family val="2"/>
        <charset val="136"/>
        <scheme val="minor"/>
      </rPr>
      <t>轉</t>
    </r>
    <r>
      <rPr>
        <sz val="12"/>
        <color rgb="FF000000"/>
        <rFont val="Calibri"/>
        <family val="2"/>
        <scheme val="minor"/>
      </rPr>
      <t xml:space="preserve">C13 50CM </t>
    </r>
    <r>
      <rPr>
        <sz val="12"/>
        <color rgb="FF000000"/>
        <rFont val="Calibri"/>
        <family val="2"/>
        <charset val="136"/>
        <scheme val="minor"/>
      </rPr>
      <t>母頭電源轉接線</t>
    </r>
  </si>
  <si>
    <r>
      <rPr>
        <sz val="12"/>
        <color rgb="FF000000"/>
        <rFont val="Calibri"/>
        <family val="2"/>
        <charset val="136"/>
        <scheme val="minor"/>
      </rPr>
      <t>變壓器</t>
    </r>
    <r>
      <rPr>
        <sz val="12"/>
        <color rgb="FF000000"/>
        <rFont val="Calibri"/>
        <family val="2"/>
        <scheme val="minor"/>
      </rPr>
      <t xml:space="preserve"> Mass Power/12V 1A AC/DC</t>
    </r>
    <r>
      <rPr>
        <sz val="12"/>
        <color rgb="FF000000"/>
        <rFont val="Calibri"/>
        <family val="2"/>
        <charset val="136"/>
        <scheme val="minor"/>
      </rPr>
      <t>電源適配器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美規插頭</t>
    </r>
  </si>
  <si>
    <r>
      <rPr>
        <sz val="12"/>
        <color rgb="FF000000"/>
        <rFont val="Calibri"/>
        <family val="2"/>
        <charset val="136"/>
        <scheme val="minor"/>
      </rPr>
      <t>電源線</t>
    </r>
    <r>
      <rPr>
        <sz val="12"/>
        <color rgb="FF000000"/>
        <rFont val="Calibri"/>
        <family val="2"/>
        <scheme val="minor"/>
      </rPr>
      <t xml:space="preserve"> XUANHUA/IEC C14</t>
    </r>
    <r>
      <rPr>
        <sz val="12"/>
        <color rgb="FF000000"/>
        <rFont val="Calibri"/>
        <family val="2"/>
        <charset val="136"/>
        <scheme val="minor"/>
      </rPr>
      <t>轉</t>
    </r>
    <r>
      <rPr>
        <sz val="12"/>
        <color rgb="FF000000"/>
        <rFont val="Calibri"/>
        <family val="2"/>
        <scheme val="minor"/>
      </rPr>
      <t xml:space="preserve">C13 100CM </t>
    </r>
    <r>
      <rPr>
        <sz val="12"/>
        <color rgb="FF000000"/>
        <rFont val="Calibri"/>
        <family val="2"/>
        <charset val="136"/>
        <scheme val="minor"/>
      </rPr>
      <t>母頭電源線</t>
    </r>
  </si>
  <si>
    <r>
      <rPr>
        <sz val="12"/>
        <color rgb="FF000000"/>
        <rFont val="Calibri"/>
        <family val="2"/>
        <charset val="136"/>
        <scheme val="minor"/>
      </rPr>
      <t>變壓器</t>
    </r>
    <r>
      <rPr>
        <sz val="12"/>
        <color rgb="FF000000"/>
        <rFont val="Calibri"/>
        <family val="2"/>
        <scheme val="minor"/>
      </rPr>
      <t xml:space="preserve"> FJ/GOC</t>
    </r>
    <r>
      <rPr>
        <sz val="12"/>
        <color rgb="FF000000"/>
        <rFont val="Calibri"/>
        <family val="2"/>
        <charset val="136"/>
        <scheme val="minor"/>
      </rPr>
      <t>光纖影像接收器用</t>
    </r>
    <r>
      <rPr>
        <sz val="12"/>
        <color rgb="FF000000"/>
        <rFont val="Calibri"/>
        <family val="2"/>
        <scheme val="minor"/>
      </rPr>
      <t xml:space="preserve"> 6V 2A</t>
    </r>
  </si>
  <si>
    <r>
      <rPr>
        <sz val="12"/>
        <color rgb="FF000000"/>
        <rFont val="Calibri"/>
        <family val="2"/>
        <charset val="136"/>
        <scheme val="minor"/>
      </rPr>
      <t>變壓器</t>
    </r>
    <r>
      <rPr>
        <sz val="12"/>
        <color rgb="FF000000"/>
        <rFont val="Calibri"/>
        <family val="2"/>
        <scheme val="minor"/>
      </rPr>
      <t xml:space="preserve"> JQA/6V 1.8A DC</t>
    </r>
    <r>
      <rPr>
        <sz val="12"/>
        <color rgb="FF000000"/>
        <rFont val="Calibri"/>
        <family val="2"/>
        <charset val="136"/>
        <scheme val="minor"/>
      </rPr>
      <t>電源供應器</t>
    </r>
  </si>
  <si>
    <r>
      <rPr>
        <sz val="12"/>
        <color rgb="FF000000"/>
        <rFont val="Calibri"/>
        <family val="2"/>
        <charset val="136"/>
        <scheme val="minor"/>
      </rPr>
      <t>轉接頭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英規轉接插頭</t>
    </r>
  </si>
  <si>
    <r>
      <rPr>
        <sz val="12"/>
        <color rgb="FF000000"/>
        <rFont val="Calibri"/>
        <family val="2"/>
        <charset val="136"/>
        <scheme val="minor"/>
      </rPr>
      <t>延長線</t>
    </r>
    <r>
      <rPr>
        <sz val="12"/>
        <color rgb="FF000000"/>
        <rFont val="Calibri"/>
        <family val="2"/>
        <scheme val="minor"/>
      </rPr>
      <t xml:space="preserve"> WONPRO/6</t>
    </r>
    <r>
      <rPr>
        <sz val="12"/>
        <color rgb="FF000000"/>
        <rFont val="Calibri"/>
        <family val="2"/>
        <charset val="136"/>
        <scheme val="minor"/>
      </rPr>
      <t>孔</t>
    </r>
    <r>
      <rPr>
        <sz val="12"/>
        <color rgb="FF000000"/>
        <rFont val="Calibri"/>
        <family val="2"/>
        <scheme val="minor"/>
      </rPr>
      <t xml:space="preserve"> AC125V/20A</t>
    </r>
  </si>
  <si>
    <r>
      <rPr>
        <sz val="12"/>
        <color rgb="FF000000"/>
        <rFont val="Calibri"/>
        <family val="2"/>
        <charset val="136"/>
        <scheme val="minor"/>
      </rPr>
      <t>塑膠固定頭</t>
    </r>
    <r>
      <rPr>
        <sz val="12"/>
        <color rgb="FF000000"/>
        <rFont val="Calibri"/>
        <family val="2"/>
        <scheme val="minor"/>
      </rPr>
      <t xml:space="preserve"> KSS/BG-22 </t>
    </r>
    <r>
      <rPr>
        <sz val="12"/>
        <color rgb="FF000000"/>
        <rFont val="Calibri"/>
        <family val="2"/>
        <charset val="136"/>
        <scheme val="minor"/>
      </rPr>
      <t>直徑</t>
    </r>
    <r>
      <rPr>
        <sz val="12"/>
        <color rgb="FF000000"/>
        <rFont val="Calibri"/>
        <family val="2"/>
        <scheme val="minor"/>
      </rPr>
      <t xml:space="preserve">1.7cm </t>
    </r>
    <r>
      <rPr>
        <sz val="12"/>
        <color rgb="FF000000"/>
        <rFont val="Calibri"/>
        <family val="2"/>
        <charset val="136"/>
        <scheme val="minor"/>
      </rPr>
      <t>長度</t>
    </r>
    <r>
      <rPr>
        <sz val="12"/>
        <color rgb="FF000000"/>
        <rFont val="Calibri"/>
        <family val="2"/>
        <scheme val="minor"/>
      </rPr>
      <t>3cm</t>
    </r>
  </si>
  <si>
    <r>
      <rPr>
        <sz val="12"/>
        <color rgb="FF000000"/>
        <rFont val="Calibri"/>
        <family val="2"/>
        <scheme val="minor"/>
      </rPr>
      <t>BNC</t>
    </r>
    <r>
      <rPr>
        <sz val="12"/>
        <color rgb="FF000000"/>
        <rFont val="Calibri"/>
        <family val="2"/>
        <charset val="136"/>
        <scheme val="minor"/>
      </rPr>
      <t>接頭</t>
    </r>
    <r>
      <rPr>
        <sz val="12"/>
        <color rgb="FF000000"/>
        <rFont val="Calibri"/>
        <family val="2"/>
        <scheme val="minor"/>
      </rPr>
      <t xml:space="preserve"> PLUS-IN/BNC</t>
    </r>
    <r>
      <rPr>
        <sz val="12"/>
        <color rgb="FF000000"/>
        <rFont val="Calibri"/>
        <family val="2"/>
        <charset val="136"/>
        <scheme val="minor"/>
      </rPr>
      <t>公頭線端接頭</t>
    </r>
    <r>
      <rPr>
        <sz val="12"/>
        <color rgb="FF000000"/>
        <rFont val="Calibri"/>
        <family val="2"/>
        <scheme val="minor"/>
      </rPr>
      <t xml:space="preserve"> 1200 </t>
    </r>
    <r>
      <rPr>
        <sz val="12"/>
        <color rgb="FF000000"/>
        <rFont val="Calibri"/>
        <family val="2"/>
        <charset val="136"/>
        <scheme val="minor"/>
      </rPr>
      <t>直式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金屬外殼</t>
    </r>
  </si>
  <si>
    <r>
      <rPr>
        <sz val="12"/>
        <color rgb="FF000000"/>
        <rFont val="Calibri"/>
        <family val="2"/>
        <charset val="136"/>
        <scheme val="minor"/>
      </rPr>
      <t>佳恩</t>
    </r>
  </si>
  <si>
    <r>
      <rPr>
        <sz val="12"/>
        <color rgb="FF000000"/>
        <rFont val="Calibri"/>
        <family val="2"/>
        <charset val="136"/>
        <scheme val="minor"/>
      </rPr>
      <t>電源轉接線</t>
    </r>
    <r>
      <rPr>
        <sz val="12"/>
        <color rgb="FF000000"/>
        <rFont val="Calibri"/>
        <family val="2"/>
        <scheme val="minor"/>
      </rPr>
      <t xml:space="preserve"> NEMA 1-15P</t>
    </r>
    <r>
      <rPr>
        <sz val="12"/>
        <color rgb="FF000000"/>
        <rFont val="Calibri"/>
        <family val="2"/>
        <charset val="136"/>
        <scheme val="minor"/>
      </rPr>
      <t>轉</t>
    </r>
    <r>
      <rPr>
        <sz val="12"/>
        <color rgb="FF000000"/>
        <rFont val="Calibri"/>
        <family val="2"/>
        <scheme val="minor"/>
      </rPr>
      <t>IEC C13</t>
    </r>
  </si>
  <si>
    <r>
      <rPr>
        <sz val="12"/>
        <color rgb="FF000000"/>
        <rFont val="Calibri"/>
        <family val="2"/>
        <charset val="136"/>
        <scheme val="minor"/>
      </rPr>
      <t>轉接器</t>
    </r>
    <r>
      <rPr>
        <sz val="12"/>
        <color rgb="FF000000"/>
        <rFont val="Calibri"/>
        <family val="2"/>
        <scheme val="minor"/>
      </rPr>
      <t xml:space="preserve"> ADVANTECH/DB9</t>
    </r>
    <r>
      <rPr>
        <sz val="12"/>
        <color rgb="FF000000"/>
        <rFont val="Calibri"/>
        <family val="2"/>
        <charset val="136"/>
        <scheme val="minor"/>
      </rPr>
      <t>轉端子台轉接器</t>
    </r>
  </si>
  <si>
    <r>
      <rPr>
        <sz val="12"/>
        <color rgb="FF000000"/>
        <rFont val="Calibri"/>
        <family val="2"/>
        <charset val="136"/>
        <scheme val="minor"/>
      </rPr>
      <t>金屬固定頭</t>
    </r>
    <r>
      <rPr>
        <sz val="12"/>
        <color rgb="FF000000"/>
        <rFont val="Calibri"/>
        <family val="2"/>
        <scheme val="minor"/>
      </rPr>
      <t xml:space="preserve"> KSS/PVC</t>
    </r>
    <r>
      <rPr>
        <sz val="12"/>
        <color rgb="FF000000"/>
        <rFont val="Calibri"/>
        <family val="2"/>
        <charset val="136"/>
        <scheme val="minor"/>
      </rPr>
      <t>管接頭</t>
    </r>
    <r>
      <rPr>
        <sz val="12"/>
        <color rgb="FF000000"/>
        <rFont val="Calibri"/>
        <family val="2"/>
        <scheme val="minor"/>
      </rPr>
      <t xml:space="preserve"> PBG05 </t>
    </r>
    <r>
      <rPr>
        <sz val="12"/>
        <color rgb="FF000000"/>
        <rFont val="Calibri"/>
        <family val="2"/>
        <charset val="136"/>
        <scheme val="minor"/>
      </rPr>
      <t>直徑</t>
    </r>
    <r>
      <rPr>
        <sz val="12"/>
        <color rgb="FF000000"/>
        <rFont val="Calibri"/>
        <family val="2"/>
        <scheme val="minor"/>
      </rPr>
      <t xml:space="preserve">2.9cm </t>
    </r>
    <r>
      <rPr>
        <sz val="12"/>
        <color rgb="FF000000"/>
        <rFont val="Calibri"/>
        <family val="2"/>
        <charset val="136"/>
        <scheme val="minor"/>
      </rPr>
      <t>長度</t>
    </r>
    <r>
      <rPr>
        <sz val="12"/>
        <color rgb="FF000000"/>
        <rFont val="Calibri"/>
        <family val="2"/>
        <scheme val="minor"/>
      </rPr>
      <t>3.7cm</t>
    </r>
  </si>
  <si>
    <r>
      <rPr>
        <sz val="12"/>
        <color rgb="FF000000"/>
        <rFont val="Calibri"/>
        <family val="2"/>
        <charset val="136"/>
        <scheme val="minor"/>
      </rPr>
      <t>金屬固定頭</t>
    </r>
    <r>
      <rPr>
        <sz val="12"/>
        <color rgb="FF000000"/>
        <rFont val="Calibri"/>
        <family val="2"/>
        <scheme val="minor"/>
      </rPr>
      <t xml:space="preserve"> PVC</t>
    </r>
    <r>
      <rPr>
        <sz val="12"/>
        <color rgb="FF000000"/>
        <rFont val="Calibri"/>
        <family val="2"/>
        <charset val="136"/>
        <scheme val="minor"/>
      </rPr>
      <t>管接頭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直徑</t>
    </r>
    <r>
      <rPr>
        <sz val="12"/>
        <color rgb="FF000000"/>
        <rFont val="Calibri"/>
        <family val="2"/>
        <scheme val="minor"/>
      </rPr>
      <t xml:space="preserve">2.9cm </t>
    </r>
    <r>
      <rPr>
        <sz val="12"/>
        <color rgb="FF000000"/>
        <rFont val="Calibri"/>
        <family val="2"/>
        <charset val="136"/>
        <scheme val="minor"/>
      </rPr>
      <t>長度</t>
    </r>
    <r>
      <rPr>
        <sz val="12"/>
        <color rgb="FF000000"/>
        <rFont val="Calibri"/>
        <family val="2"/>
        <scheme val="minor"/>
      </rPr>
      <t xml:space="preserve">3.6cm </t>
    </r>
  </si>
  <si>
    <r>
      <rPr>
        <sz val="12"/>
        <color rgb="FF000000"/>
        <rFont val="Calibri"/>
        <family val="2"/>
        <charset val="136"/>
        <scheme val="minor"/>
      </rPr>
      <t>金屬固定頭</t>
    </r>
    <r>
      <rPr>
        <sz val="12"/>
        <color rgb="FF000000"/>
        <rFont val="Calibri"/>
        <family val="2"/>
        <scheme val="minor"/>
      </rPr>
      <t xml:space="preserve"> PVC</t>
    </r>
    <r>
      <rPr>
        <sz val="12"/>
        <color rgb="FF000000"/>
        <rFont val="Calibri"/>
        <family val="2"/>
        <charset val="136"/>
        <scheme val="minor"/>
      </rPr>
      <t>管接頭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直徑</t>
    </r>
    <r>
      <rPr>
        <sz val="12"/>
        <color rgb="FF000000"/>
        <rFont val="Calibri"/>
        <family val="2"/>
        <scheme val="minor"/>
      </rPr>
      <t xml:space="preserve">3.5cm </t>
    </r>
    <r>
      <rPr>
        <sz val="12"/>
        <color rgb="FF000000"/>
        <rFont val="Calibri"/>
        <family val="2"/>
        <charset val="136"/>
        <scheme val="minor"/>
      </rPr>
      <t>長度</t>
    </r>
    <r>
      <rPr>
        <sz val="12"/>
        <color rgb="FF000000"/>
        <rFont val="Calibri"/>
        <family val="2"/>
        <scheme val="minor"/>
      </rPr>
      <t>3.9cm</t>
    </r>
  </si>
  <si>
    <r>
      <rPr>
        <sz val="12"/>
        <color rgb="FF000000"/>
        <rFont val="Calibri"/>
        <family val="2"/>
        <charset val="136"/>
        <scheme val="minor"/>
      </rPr>
      <t>電話明裝插座</t>
    </r>
    <r>
      <rPr>
        <sz val="12"/>
        <color rgb="FF000000"/>
        <rFont val="Calibri"/>
        <family val="2"/>
        <scheme val="minor"/>
      </rPr>
      <t xml:space="preserve"> RJ11 </t>
    </r>
    <r>
      <rPr>
        <sz val="12"/>
        <color rgb="FF000000"/>
        <rFont val="Calibri"/>
        <family val="2"/>
        <charset val="136"/>
        <scheme val="minor"/>
      </rPr>
      <t>單孔</t>
    </r>
    <r>
      <rPr>
        <sz val="12"/>
        <color rgb="FF000000"/>
        <rFont val="Calibri"/>
        <family val="2"/>
        <scheme val="minor"/>
      </rPr>
      <t xml:space="preserve"> 5.5x4cm</t>
    </r>
  </si>
  <si>
    <r>
      <rPr>
        <sz val="12"/>
        <color rgb="FF000000"/>
        <rFont val="Calibri"/>
        <family val="2"/>
        <charset val="136"/>
        <scheme val="minor"/>
      </rPr>
      <t>水晶頭護套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通用</t>
    </r>
    <r>
      <rPr>
        <sz val="12"/>
        <color rgb="FF000000"/>
        <rFont val="Calibri"/>
        <family val="2"/>
        <scheme val="minor"/>
      </rPr>
      <t>/RJ45 8P8C</t>
    </r>
    <r>
      <rPr>
        <sz val="12"/>
        <color rgb="FF000000"/>
        <rFont val="Calibri"/>
        <family val="2"/>
        <charset val="136"/>
        <scheme val="minor"/>
      </rPr>
      <t>網路接頭防折護套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橘色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圓線用</t>
    </r>
    <r>
      <rPr>
        <sz val="12"/>
        <color rgb="FF000000"/>
        <rFont val="Calibri"/>
        <family val="2"/>
        <scheme val="minor"/>
      </rPr>
      <t xml:space="preserve"> 2.6cm</t>
    </r>
  </si>
  <si>
    <r>
      <rPr>
        <sz val="12"/>
        <color rgb="FF000000"/>
        <rFont val="Calibri"/>
        <family val="2"/>
        <charset val="136"/>
        <scheme val="minor"/>
      </rPr>
      <t>電話接線盒</t>
    </r>
    <r>
      <rPr>
        <sz val="12"/>
        <color rgb="FF000000"/>
        <rFont val="Calibri"/>
        <family val="2"/>
        <scheme val="minor"/>
      </rPr>
      <t xml:space="preserve"> MILLY/</t>
    </r>
    <r>
      <rPr>
        <sz val="12"/>
        <color rgb="FF000000"/>
        <rFont val="Calibri"/>
        <family val="2"/>
        <charset val="136"/>
        <scheme val="minor"/>
      </rPr>
      <t>電話接線盒</t>
    </r>
    <r>
      <rPr>
        <sz val="12"/>
        <color rgb="FF000000"/>
        <rFont val="Calibri"/>
        <family val="2"/>
        <scheme val="minor"/>
      </rPr>
      <t xml:space="preserve"> 6</t>
    </r>
    <r>
      <rPr>
        <sz val="12"/>
        <color rgb="FF000000"/>
        <rFont val="Calibri"/>
        <family val="2"/>
        <charset val="136"/>
        <scheme val="minor"/>
      </rPr>
      <t>極</t>
    </r>
    <r>
      <rPr>
        <sz val="12"/>
        <color rgb="FF000000"/>
        <rFont val="Calibri"/>
        <family val="2"/>
        <scheme val="minor"/>
      </rPr>
      <t>2</t>
    </r>
    <r>
      <rPr>
        <sz val="12"/>
        <color rgb="FF000000"/>
        <rFont val="Calibri"/>
        <family val="2"/>
        <charset val="136"/>
        <scheme val="minor"/>
      </rPr>
      <t>芯</t>
    </r>
    <r>
      <rPr>
        <sz val="12"/>
        <color rgb="FF000000"/>
        <rFont val="Calibri"/>
        <family val="2"/>
        <scheme val="minor"/>
      </rPr>
      <t xml:space="preserve"> 2</t>
    </r>
    <r>
      <rPr>
        <sz val="12"/>
        <color rgb="FF000000"/>
        <rFont val="Calibri"/>
        <family val="2"/>
        <charset val="136"/>
        <scheme val="minor"/>
      </rPr>
      <t>孔</t>
    </r>
    <r>
      <rPr>
        <sz val="12"/>
        <color rgb="FF000000"/>
        <rFont val="Calibri"/>
        <family val="2"/>
        <scheme val="minor"/>
      </rPr>
      <t>1</t>
    </r>
    <r>
      <rPr>
        <sz val="12"/>
        <color rgb="FF000000"/>
        <rFont val="Calibri"/>
        <family val="2"/>
        <charset val="136"/>
        <scheme val="minor"/>
      </rPr>
      <t>分</t>
    </r>
    <r>
      <rPr>
        <sz val="12"/>
        <color rgb="FF000000"/>
        <rFont val="Calibri"/>
        <family val="2"/>
        <scheme val="minor"/>
      </rPr>
      <t>2</t>
    </r>
  </si>
  <si>
    <r>
      <rPr>
        <sz val="12"/>
        <color rgb="FF000000"/>
        <rFont val="Calibri"/>
        <family val="2"/>
        <charset val="136"/>
        <scheme val="minor"/>
      </rPr>
      <t>電話水晶頭</t>
    </r>
    <r>
      <rPr>
        <sz val="12"/>
        <color rgb="FF000000"/>
        <rFont val="Calibri"/>
        <family val="2"/>
        <scheme val="minor"/>
      </rPr>
      <t xml:space="preserve"> MILLY/RJ11 6P4C</t>
    </r>
  </si>
  <si>
    <r>
      <rPr>
        <sz val="12"/>
        <color rgb="FF000000"/>
        <rFont val="Calibri"/>
        <family val="2"/>
        <charset val="136"/>
        <scheme val="minor"/>
      </rPr>
      <t>絕緣配線槽接頭</t>
    </r>
    <r>
      <rPr>
        <sz val="12"/>
        <color rgb="FF000000"/>
        <rFont val="Calibri"/>
        <family val="2"/>
        <scheme val="minor"/>
      </rPr>
      <t xml:space="preserve"> KSS/SDL-5050 </t>
    </r>
    <r>
      <rPr>
        <sz val="12"/>
        <color rgb="FF000000"/>
        <rFont val="Calibri"/>
        <family val="2"/>
        <charset val="136"/>
        <scheme val="minor"/>
      </rPr>
      <t>配線槽直線連接接頭</t>
    </r>
    <r>
      <rPr>
        <sz val="12"/>
        <color rgb="FF000000"/>
        <rFont val="Calibri"/>
        <family val="2"/>
        <scheme val="minor"/>
      </rPr>
      <t xml:space="preserve"> 7.5x7.5x5cm</t>
    </r>
  </si>
  <si>
    <r>
      <rPr>
        <sz val="12"/>
        <color rgb="FF000000"/>
        <rFont val="Calibri"/>
        <family val="2"/>
        <charset val="136"/>
        <scheme val="minor"/>
      </rPr>
      <t>絕緣配線槽接頭</t>
    </r>
    <r>
      <rPr>
        <sz val="12"/>
        <color rgb="FF000000"/>
        <rFont val="Calibri"/>
        <family val="2"/>
        <scheme val="minor"/>
      </rPr>
      <t xml:space="preserve"> KSS/SDL-5050 </t>
    </r>
    <r>
      <rPr>
        <sz val="12"/>
        <color rgb="FF000000"/>
        <rFont val="Calibri"/>
        <family val="2"/>
        <charset val="136"/>
        <scheme val="minor"/>
      </rPr>
      <t>偏移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Calibri"/>
        <family val="2"/>
        <charset val="136"/>
        <scheme val="minor"/>
      </rPr>
      <t>轉接頭／階梯式連接接頭</t>
    </r>
    <r>
      <rPr>
        <sz val="12"/>
        <color rgb="FF000000"/>
        <rFont val="Calibri"/>
        <family val="2"/>
        <scheme val="minor"/>
      </rPr>
      <t xml:space="preserve"> 7.7x7.7x5.2cm</t>
    </r>
  </si>
  <si>
    <r>
      <rPr>
        <sz val="12"/>
        <color rgb="FF000000"/>
        <rFont val="Calibri"/>
        <family val="2"/>
        <charset val="136"/>
        <scheme val="minor"/>
      </rPr>
      <t>喇叭</t>
    </r>
    <r>
      <rPr>
        <sz val="12"/>
        <color rgb="FF000000"/>
        <rFont val="Calibri"/>
        <family val="2"/>
        <scheme val="minor"/>
      </rPr>
      <t xml:space="preserve"> KY/</t>
    </r>
    <r>
      <rPr>
        <sz val="12"/>
        <color rgb="FF000000"/>
        <rFont val="Calibri"/>
        <family val="2"/>
        <charset val="136"/>
        <scheme val="minor"/>
      </rPr>
      <t>號角喇叭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防水型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廣播告警用</t>
    </r>
  </si>
  <si>
    <r>
      <rPr>
        <sz val="12"/>
        <color rgb="FF000000"/>
        <rFont val="Calibri"/>
        <family val="2"/>
        <charset val="136"/>
        <scheme val="minor"/>
      </rPr>
      <t>聲光警報器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閃光喇叭</t>
    </r>
    <r>
      <rPr>
        <sz val="12"/>
        <color rgb="FF000000"/>
        <rFont val="Calibri"/>
        <family val="2"/>
        <scheme val="minor"/>
      </rPr>
      <t>+LED</t>
    </r>
    <r>
      <rPr>
        <sz val="12"/>
        <color rgb="FF000000"/>
        <rFont val="Calibri"/>
        <family val="2"/>
        <charset val="136"/>
        <scheme val="minor"/>
      </rPr>
      <t>指示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三線式</t>
    </r>
  </si>
  <si>
    <r>
      <rPr>
        <sz val="12"/>
        <color rgb="FF000000"/>
        <rFont val="Calibri"/>
        <family val="2"/>
        <charset val="136"/>
        <scheme val="minor"/>
      </rPr>
      <t>龍光</t>
    </r>
  </si>
  <si>
    <r>
      <rPr>
        <sz val="12"/>
        <color rgb="FF000000"/>
        <rFont val="Calibri"/>
        <family val="2"/>
        <charset val="136"/>
        <scheme val="minor"/>
      </rPr>
      <t>天線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無線通訊天線</t>
    </r>
    <r>
      <rPr>
        <sz val="12"/>
        <color rgb="FF000000"/>
        <rFont val="Calibri"/>
        <family val="2"/>
        <scheme val="minor"/>
      </rPr>
      <t xml:space="preserve"> 915MHz</t>
    </r>
    <r>
      <rPr>
        <sz val="12"/>
        <color rgb="FF000000"/>
        <rFont val="Calibri"/>
        <family val="2"/>
        <charset val="136"/>
        <scheme val="minor"/>
      </rPr>
      <t>工業無線通訊天線</t>
    </r>
  </si>
  <si>
    <r>
      <rPr>
        <sz val="12"/>
        <color rgb="FF000000"/>
        <rFont val="Calibri"/>
        <family val="2"/>
        <charset val="136"/>
        <scheme val="minor"/>
      </rPr>
      <t>天線</t>
    </r>
    <r>
      <rPr>
        <sz val="12"/>
        <color rgb="FF000000"/>
        <rFont val="Calibri"/>
        <family val="2"/>
        <scheme val="minor"/>
      </rPr>
      <t xml:space="preserve"> RF</t>
    </r>
    <r>
      <rPr>
        <sz val="12"/>
        <color rgb="FF000000"/>
        <rFont val="Calibri"/>
        <family val="2"/>
        <charset val="136"/>
        <scheme val="minor"/>
      </rPr>
      <t>無線通訊天線</t>
    </r>
  </si>
  <si>
    <r>
      <rPr>
        <sz val="12"/>
        <color rgb="FF000000"/>
        <rFont val="Calibri"/>
        <family val="2"/>
        <charset val="136"/>
        <scheme val="minor"/>
      </rPr>
      <t>天線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無線通訊天線</t>
    </r>
  </si>
  <si>
    <r>
      <rPr>
        <sz val="12"/>
        <color rgb="FF000000"/>
        <rFont val="Calibri"/>
        <family val="2"/>
        <charset val="136"/>
        <scheme val="minor"/>
      </rPr>
      <t>通訊閘道器</t>
    </r>
    <r>
      <rPr>
        <sz val="12"/>
        <color rgb="FF000000"/>
        <rFont val="Calibri"/>
        <family val="2"/>
        <scheme val="minor"/>
      </rPr>
      <t xml:space="preserve"> ADVANTECH</t>
    </r>
    <r>
      <rPr>
        <sz val="12"/>
        <color rgb="FF000000"/>
        <rFont val="Calibri"/>
        <family val="2"/>
        <charset val="136"/>
        <scheme val="minor"/>
      </rPr>
      <t>／</t>
    </r>
    <r>
      <rPr>
        <sz val="12"/>
        <color rgb="FF000000"/>
        <rFont val="Calibri"/>
        <family val="2"/>
        <scheme val="minor"/>
      </rPr>
      <t>6</t>
    </r>
    <r>
      <rPr>
        <sz val="12"/>
        <color rgb="FF000000"/>
        <rFont val="Calibri"/>
        <family val="2"/>
        <charset val="136"/>
        <scheme val="minor"/>
      </rPr>
      <t>埠</t>
    </r>
    <r>
      <rPr>
        <sz val="12"/>
        <color rgb="FF000000"/>
        <rFont val="Calibri"/>
        <family val="2"/>
        <scheme val="minor"/>
      </rPr>
      <t xml:space="preserve"> RS-232</t>
    </r>
    <r>
      <rPr>
        <sz val="12"/>
        <color rgb="FF000000"/>
        <rFont val="Calibri"/>
        <family val="2"/>
        <charset val="136"/>
        <scheme val="minor"/>
      </rPr>
      <t>／</t>
    </r>
    <r>
      <rPr>
        <sz val="12"/>
        <color rgb="FF000000"/>
        <rFont val="Calibri"/>
        <family val="2"/>
        <scheme val="minor"/>
      </rPr>
      <t xml:space="preserve">RS-485 </t>
    </r>
    <r>
      <rPr>
        <sz val="12"/>
        <color rgb="FF000000"/>
        <rFont val="Calibri"/>
        <family val="2"/>
        <charset val="136"/>
        <scheme val="minor"/>
      </rPr>
      <t>串列設備伺服器</t>
    </r>
  </si>
  <si>
    <r>
      <rPr>
        <sz val="12"/>
        <color rgb="FF000000"/>
        <rFont val="Calibri"/>
        <family val="2"/>
        <charset val="136"/>
        <scheme val="minor"/>
      </rPr>
      <t>伺服器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工業級無線串列設備伺服器</t>
    </r>
    <r>
      <rPr>
        <sz val="12"/>
        <color rgb="FF000000"/>
        <rFont val="Calibri"/>
        <family val="2"/>
        <scheme val="minor"/>
      </rPr>
      <t xml:space="preserve"> 2</t>
    </r>
    <r>
      <rPr>
        <sz val="12"/>
        <color rgb="FF000000"/>
        <rFont val="Calibri"/>
        <family val="2"/>
        <charset val="136"/>
        <scheme val="minor"/>
      </rPr>
      <t>埠</t>
    </r>
    <r>
      <rPr>
        <sz val="12"/>
        <color rgb="FF000000"/>
        <rFont val="Calibri"/>
        <family val="2"/>
        <scheme val="minor"/>
      </rPr>
      <t xml:space="preserve"> RS232/422/485 WiFi</t>
    </r>
  </si>
  <si>
    <r>
      <rPr>
        <sz val="12"/>
        <color rgb="FF000000"/>
        <rFont val="Calibri"/>
        <family val="2"/>
        <charset val="136"/>
        <scheme val="minor"/>
      </rPr>
      <t>伺服器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工業級串列設備伺服器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端口伺服器</t>
    </r>
    <r>
      <rPr>
        <sz val="12"/>
        <color rgb="FF000000"/>
        <rFont val="Calibri"/>
        <family val="2"/>
        <scheme val="minor"/>
      </rPr>
      <t xml:space="preserve"> EKI-1528 8</t>
    </r>
    <r>
      <rPr>
        <sz val="12"/>
        <color rgb="FF000000"/>
        <rFont val="Calibri"/>
        <family val="2"/>
        <charset val="136"/>
        <scheme val="minor"/>
      </rPr>
      <t>埠</t>
    </r>
    <r>
      <rPr>
        <sz val="12"/>
        <color rgb="FF000000"/>
        <rFont val="Calibri"/>
        <family val="2"/>
        <scheme val="minor"/>
      </rPr>
      <t>DB9 RS-232/422/485 2</t>
    </r>
    <r>
      <rPr>
        <sz val="12"/>
        <color rgb="FF000000"/>
        <rFont val="Calibri"/>
        <family val="2"/>
        <charset val="136"/>
        <scheme val="minor"/>
      </rPr>
      <t>埠</t>
    </r>
    <r>
      <rPr>
        <sz val="12"/>
        <color rgb="FF000000"/>
        <rFont val="Calibri"/>
        <family val="2"/>
        <scheme val="minor"/>
      </rPr>
      <t>10/100/1000Mbps Ethernet AC100–240V 1U</t>
    </r>
    <r>
      <rPr>
        <sz val="12"/>
        <color rgb="FF000000"/>
        <rFont val="Calibri"/>
        <family val="2"/>
        <charset val="136"/>
        <scheme val="minor"/>
      </rPr>
      <t>機架式</t>
    </r>
  </si>
  <si>
    <r>
      <rPr>
        <sz val="12"/>
        <color rgb="FF000000"/>
        <rFont val="Calibri"/>
        <family val="2"/>
        <charset val="136"/>
        <scheme val="minor"/>
      </rPr>
      <t>伺服器</t>
    </r>
    <r>
      <rPr>
        <sz val="12"/>
        <color rgb="FF000000"/>
        <rFont val="Calibri"/>
        <family val="2"/>
        <scheme val="minor"/>
      </rPr>
      <t xml:space="preserve"> MOXA/</t>
    </r>
    <r>
      <rPr>
        <sz val="12"/>
        <color rgb="FF000000"/>
        <rFont val="Calibri"/>
        <family val="2"/>
        <charset val="136"/>
        <scheme val="minor"/>
      </rPr>
      <t>串列設備伺服器</t>
    </r>
    <r>
      <rPr>
        <sz val="12"/>
        <color rgb="FF000000"/>
        <rFont val="Calibri"/>
        <family val="2"/>
        <scheme val="minor"/>
      </rPr>
      <t xml:space="preserve"> 1</t>
    </r>
    <r>
      <rPr>
        <sz val="12"/>
        <color rgb="FF000000"/>
        <rFont val="Calibri"/>
        <family val="2"/>
        <charset val="136"/>
        <scheme val="minor"/>
      </rPr>
      <t>埠</t>
    </r>
    <r>
      <rPr>
        <sz val="12"/>
        <color rgb="FF000000"/>
        <rFont val="Calibri"/>
        <family val="2"/>
        <scheme val="minor"/>
      </rPr>
      <t xml:space="preserve"> RS232/422/485 Ethernet Device Server</t>
    </r>
  </si>
  <si>
    <r>
      <rPr>
        <sz val="12"/>
        <color rgb="FF000000"/>
        <rFont val="Calibri"/>
        <family val="2"/>
        <charset val="136"/>
        <scheme val="minor"/>
      </rPr>
      <t>閘道器</t>
    </r>
    <r>
      <rPr>
        <sz val="12"/>
        <color rgb="FF000000"/>
        <rFont val="Calibri"/>
        <family val="2"/>
        <scheme val="minor"/>
      </rPr>
      <t xml:space="preserve"> ADVANTECH/LoRaWAN</t>
    </r>
    <r>
      <rPr>
        <sz val="12"/>
        <color rgb="FF000000"/>
        <rFont val="Calibri"/>
        <family val="2"/>
        <charset val="136"/>
        <scheme val="minor"/>
      </rPr>
      <t>無線閘道器</t>
    </r>
    <r>
      <rPr>
        <sz val="12"/>
        <color rgb="FF000000"/>
        <rFont val="Calibri"/>
        <family val="2"/>
        <scheme val="minor"/>
      </rPr>
      <t xml:space="preserve"> </t>
    </r>
  </si>
  <si>
    <r>
      <rPr>
        <sz val="12"/>
        <color rgb="FF000000"/>
        <rFont val="Calibri"/>
        <family val="2"/>
        <charset val="136"/>
        <scheme val="minor"/>
      </rPr>
      <t>閘道器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工業</t>
    </r>
    <r>
      <rPr>
        <sz val="12"/>
        <color rgb="FF000000"/>
        <rFont val="Calibri"/>
        <family val="2"/>
        <scheme val="minor"/>
      </rPr>
      <t>LoRaWAN</t>
    </r>
    <r>
      <rPr>
        <sz val="12"/>
        <color rgb="FF000000"/>
        <rFont val="Calibri"/>
        <family val="2"/>
        <charset val="136"/>
        <scheme val="minor"/>
      </rPr>
      <t>閘道器</t>
    </r>
  </si>
  <si>
    <r>
      <rPr>
        <sz val="12"/>
        <color rgb="FF000000"/>
        <rFont val="Calibri"/>
        <family val="2"/>
        <charset val="136"/>
        <scheme val="minor"/>
      </rPr>
      <t>工業電腦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嵌入式工業電腦</t>
    </r>
    <r>
      <rPr>
        <sz val="12"/>
        <color rgb="FF000000"/>
        <rFont val="Calibri"/>
        <family val="2"/>
        <scheme val="minor"/>
      </rPr>
      <t xml:space="preserve"> ARM i.MX6 Dual LAN HDMI RS232</t>
    </r>
  </si>
  <si>
    <r>
      <rPr>
        <sz val="12"/>
        <color rgb="FF000000"/>
        <rFont val="Calibri"/>
        <family val="2"/>
        <charset val="136"/>
        <scheme val="minor"/>
      </rPr>
      <t>伺服器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工業級邊緣運算伺服器</t>
    </r>
    <r>
      <rPr>
        <sz val="12"/>
        <color rgb="FF000000"/>
        <rFont val="Calibri"/>
        <family val="2"/>
        <scheme val="minor"/>
      </rPr>
      <t xml:space="preserve"> Edge Server Box</t>
    </r>
  </si>
  <si>
    <r>
      <rPr>
        <sz val="12"/>
        <color rgb="FF000000"/>
        <rFont val="Calibri"/>
        <family val="2"/>
        <charset val="136"/>
        <scheme val="minor"/>
      </rPr>
      <t>工業電腦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工業電腦</t>
    </r>
    <r>
      <rPr>
        <sz val="12"/>
        <color rgb="FF000000"/>
        <rFont val="Calibri"/>
        <family val="2"/>
        <scheme val="minor"/>
      </rPr>
      <t xml:space="preserve"> (</t>
    </r>
    <r>
      <rPr>
        <sz val="12"/>
        <color rgb="FF000000"/>
        <rFont val="Calibri"/>
        <family val="2"/>
        <charset val="136"/>
        <scheme val="minor"/>
      </rPr>
      <t>無硬碟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Calibri"/>
        <family val="2"/>
        <charset val="136"/>
        <scheme val="minor"/>
      </rPr>
      <t>無記憶體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Calibri"/>
        <family val="2"/>
        <charset val="136"/>
        <scheme val="minor"/>
      </rPr>
      <t>有</t>
    </r>
    <r>
      <rPr>
        <sz val="12"/>
        <color rgb="FF000000"/>
        <rFont val="Calibri"/>
        <family val="2"/>
        <scheme val="minor"/>
      </rPr>
      <t>CPU)</t>
    </r>
  </si>
  <si>
    <r>
      <rPr>
        <sz val="12"/>
        <color rgb="FF000000"/>
        <rFont val="Calibri"/>
        <family val="2"/>
        <charset val="136"/>
        <scheme val="minor"/>
      </rPr>
      <t>工業電腦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無風扇工業電腦</t>
    </r>
    <r>
      <rPr>
        <sz val="12"/>
        <color rgb="FF000000"/>
        <rFont val="Calibri"/>
        <family val="2"/>
        <scheme val="minor"/>
      </rPr>
      <t xml:space="preserve"> MIC-770 V2 DC9~36V</t>
    </r>
  </si>
  <si>
    <r>
      <rPr>
        <sz val="12"/>
        <color rgb="FF000000"/>
        <rFont val="Calibri"/>
        <family val="2"/>
        <charset val="136"/>
        <scheme val="minor"/>
      </rPr>
      <t>工業電腦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工業觸控平板電腦</t>
    </r>
    <r>
      <rPr>
        <sz val="12"/>
        <color rgb="FF000000"/>
        <rFont val="Calibri"/>
        <family val="2"/>
        <scheme val="minor"/>
      </rPr>
      <t xml:space="preserve"> </t>
    </r>
  </si>
  <si>
    <r>
      <rPr>
        <sz val="12"/>
        <color rgb="FF000000"/>
        <rFont val="Calibri"/>
        <family val="2"/>
        <charset val="136"/>
        <scheme val="minor"/>
      </rPr>
      <t>工業級嵌入式電腦</t>
    </r>
    <r>
      <rPr>
        <sz val="12"/>
        <color rgb="FF000000"/>
        <rFont val="Calibri"/>
        <family val="2"/>
        <scheme val="minor"/>
      </rPr>
      <t xml:space="preserve"> ADVANTECH/VGA </t>
    </r>
    <r>
      <rPr>
        <sz val="12"/>
        <color rgb="FF000000"/>
        <rFont val="Calibri"/>
        <family val="2"/>
        <charset val="136"/>
        <scheme val="minor"/>
      </rPr>
      <t>雙</t>
    </r>
    <r>
      <rPr>
        <sz val="12"/>
        <color rgb="FF000000"/>
        <rFont val="Calibri"/>
        <family val="2"/>
        <scheme val="minor"/>
      </rPr>
      <t>LAN USB RS-232/422/485</t>
    </r>
    <r>
      <rPr>
        <sz val="12"/>
        <color rgb="FF000000"/>
        <rFont val="Calibri"/>
        <family val="2"/>
        <charset val="136"/>
        <scheme val="minor"/>
      </rPr>
      <t>介面</t>
    </r>
  </si>
  <si>
    <r>
      <rPr>
        <sz val="12"/>
        <color rgb="FF000000"/>
        <rFont val="Calibri"/>
        <family val="2"/>
        <charset val="136"/>
        <scheme val="minor"/>
      </rPr>
      <t>電話總機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同美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Calibri"/>
        <family val="2"/>
        <charset val="136"/>
        <scheme val="minor"/>
      </rPr>
      <t>三外線八內線交換電話總機系統</t>
    </r>
  </si>
  <si>
    <r>
      <rPr>
        <sz val="12"/>
        <color rgb="FF000000"/>
        <rFont val="Calibri"/>
        <family val="2"/>
        <charset val="136"/>
        <scheme val="minor"/>
      </rPr>
      <t>同美科技</t>
    </r>
  </si>
  <si>
    <r>
      <rPr>
        <sz val="12"/>
        <color rgb="FF000000"/>
        <rFont val="Calibri"/>
        <family val="2"/>
        <charset val="136"/>
        <scheme val="minor"/>
      </rPr>
      <t>伺服器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工業級無線串列設備伺服器</t>
    </r>
    <r>
      <rPr>
        <sz val="12"/>
        <color rgb="FF000000"/>
        <rFont val="Calibri"/>
        <family val="2"/>
        <scheme val="minor"/>
      </rPr>
      <t xml:space="preserve"> RS232/RS422/RS485 </t>
    </r>
    <r>
      <rPr>
        <sz val="12"/>
        <color rgb="FF000000"/>
        <rFont val="Calibri"/>
        <family val="2"/>
        <charset val="136"/>
        <scheme val="minor"/>
      </rPr>
      <t>設備轉</t>
    </r>
    <r>
      <rPr>
        <sz val="12"/>
        <color rgb="FF000000"/>
        <rFont val="Calibri"/>
        <family val="2"/>
        <scheme val="minor"/>
      </rPr>
      <t xml:space="preserve"> WiFi </t>
    </r>
    <r>
      <rPr>
        <sz val="12"/>
        <color rgb="FF000000"/>
        <rFont val="Calibri"/>
        <family val="2"/>
        <charset val="136"/>
        <scheme val="minor"/>
      </rPr>
      <t>無線通訊</t>
    </r>
  </si>
  <si>
    <r>
      <rPr>
        <sz val="12"/>
        <color rgb="FF000000"/>
        <rFont val="Calibri"/>
        <family val="2"/>
        <charset val="136"/>
        <scheme val="minor"/>
      </rPr>
      <t>網路交換器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工業乙太網路交換器</t>
    </r>
    <r>
      <rPr>
        <sz val="12"/>
        <color rgb="FF000000"/>
        <rFont val="Calibri"/>
        <family val="2"/>
        <scheme val="minor"/>
      </rPr>
      <t xml:space="preserve"> 8</t>
    </r>
    <r>
      <rPr>
        <sz val="12"/>
        <color rgb="FF000000"/>
        <rFont val="Calibri"/>
        <family val="2"/>
        <charset val="136"/>
        <scheme val="minor"/>
      </rPr>
      <t>埠</t>
    </r>
    <r>
      <rPr>
        <sz val="12"/>
        <color rgb="FF000000"/>
        <rFont val="Calibri"/>
        <family val="2"/>
        <scheme val="minor"/>
      </rPr>
      <t xml:space="preserve"> RJ45 </t>
    </r>
    <r>
      <rPr>
        <sz val="12"/>
        <color rgb="FF000000"/>
        <rFont val="Calibri"/>
        <family val="2"/>
        <charset val="136"/>
        <scheme val="minor"/>
      </rPr>
      <t>非網管型</t>
    </r>
  </si>
  <si>
    <r>
      <rPr>
        <sz val="12"/>
        <color rgb="FF000000"/>
        <rFont val="Calibri"/>
        <family val="2"/>
        <charset val="136"/>
        <scheme val="minor"/>
      </rPr>
      <t>網路轉換器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工業級無線網路轉換器</t>
    </r>
    <r>
      <rPr>
        <sz val="12"/>
        <color rgb="FF000000"/>
        <rFont val="Calibri"/>
        <family val="2"/>
        <scheme val="minor"/>
      </rPr>
      <t xml:space="preserve"> </t>
    </r>
  </si>
  <si>
    <r>
      <rPr>
        <sz val="12"/>
        <color rgb="FF000000"/>
        <rFont val="Calibri"/>
        <family val="2"/>
        <charset val="136"/>
        <scheme val="minor"/>
      </rPr>
      <t>通訊閘道器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工業乙太網交換器</t>
    </r>
  </si>
  <si>
    <r>
      <rPr>
        <sz val="12"/>
        <color rgb="FF000000"/>
        <rFont val="Calibri"/>
        <family val="2"/>
        <charset val="136"/>
        <scheme val="minor"/>
      </rPr>
      <t>通訊閘道器</t>
    </r>
    <r>
      <rPr>
        <sz val="12"/>
        <color rgb="FF000000"/>
        <rFont val="Calibri"/>
        <family val="2"/>
        <scheme val="minor"/>
      </rPr>
      <t xml:space="preserve"> Spectre/3G</t>
    </r>
    <r>
      <rPr>
        <sz val="12"/>
        <color rgb="FF000000"/>
        <rFont val="Calibri"/>
        <family val="2"/>
        <charset val="136"/>
        <scheme val="minor"/>
      </rPr>
      <t>工業通訊閘道器</t>
    </r>
    <r>
      <rPr>
        <sz val="12"/>
        <color rgb="FF000000"/>
        <rFont val="Calibri"/>
        <family val="2"/>
        <scheme val="minor"/>
      </rPr>
      <t xml:space="preserve"> RT3G-350</t>
    </r>
  </si>
  <si>
    <r>
      <rPr>
        <sz val="12"/>
        <color rgb="FF000000"/>
        <rFont val="Calibri"/>
        <family val="2"/>
        <charset val="136"/>
        <scheme val="minor"/>
      </rPr>
      <t>東元設備健康管理閘道器</t>
    </r>
    <r>
      <rPr>
        <sz val="12"/>
        <color rgb="FF000000"/>
        <rFont val="Calibri"/>
        <family val="2"/>
        <scheme val="minor"/>
      </rPr>
      <t xml:space="preserve"> TECO AG-300</t>
    </r>
  </si>
  <si>
    <r>
      <rPr>
        <sz val="12"/>
        <color rgb="FF000000"/>
        <rFont val="Calibri"/>
        <family val="2"/>
        <charset val="136"/>
        <scheme val="minor"/>
      </rPr>
      <t>無線基地台</t>
    </r>
    <r>
      <rPr>
        <sz val="12"/>
        <color rgb="FF000000"/>
        <rFont val="Calibri"/>
        <family val="2"/>
        <scheme val="minor"/>
      </rPr>
      <t xml:space="preserve"> Aruba/Instant On WiFi AP</t>
    </r>
  </si>
  <si>
    <r>
      <rPr>
        <sz val="12"/>
        <color rgb="FF000000"/>
        <rFont val="Calibri"/>
        <family val="2"/>
        <charset val="136"/>
        <scheme val="minor"/>
      </rPr>
      <t>無線基地台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工業級</t>
    </r>
    <r>
      <rPr>
        <sz val="12"/>
        <color rgb="FF000000"/>
        <rFont val="Calibri"/>
        <family val="2"/>
        <scheme val="minor"/>
      </rPr>
      <t xml:space="preserve"> IEEE 802.11a/n</t>
    </r>
    <r>
      <rPr>
        <sz val="12"/>
        <color rgb="FF000000"/>
        <rFont val="Calibri"/>
        <family val="2"/>
        <charset val="136"/>
        <scheme val="minor"/>
      </rPr>
      <t>、</t>
    </r>
    <r>
      <rPr>
        <sz val="12"/>
        <color rgb="FF000000"/>
        <rFont val="Calibri"/>
        <family val="2"/>
        <scheme val="minor"/>
      </rPr>
      <t>5GHz</t>
    </r>
    <r>
      <rPr>
        <sz val="12"/>
        <color rgb="FF000000"/>
        <rFont val="Calibri"/>
        <family val="2"/>
        <charset val="136"/>
        <scheme val="minor"/>
      </rPr>
      <t>、室外型、高功率無線</t>
    </r>
    <r>
      <rPr>
        <sz val="12"/>
        <color rgb="FF000000"/>
        <rFont val="Calibri"/>
        <family val="2"/>
        <scheme val="minor"/>
      </rPr>
      <t>AP/CPE</t>
    </r>
  </si>
  <si>
    <r>
      <rPr>
        <sz val="12"/>
        <color rgb="FF000000"/>
        <rFont val="Calibri"/>
        <family val="2"/>
        <charset val="136"/>
        <scheme val="minor"/>
      </rPr>
      <t>無線基地台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工業級無線基地台</t>
    </r>
    <r>
      <rPr>
        <sz val="12"/>
        <color rgb="FF000000"/>
        <rFont val="Calibri"/>
        <family val="2"/>
        <scheme val="minor"/>
      </rPr>
      <t xml:space="preserve"> IEEE 802.11b/g/n IP55</t>
    </r>
  </si>
  <si>
    <r>
      <rPr>
        <sz val="12"/>
        <color rgb="FF000000"/>
        <rFont val="Calibri"/>
        <family val="2"/>
        <charset val="136"/>
        <scheme val="minor"/>
      </rPr>
      <t>無線基地台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工業級</t>
    </r>
    <r>
      <rPr>
        <sz val="12"/>
        <color rgb="FF000000"/>
        <rFont val="Calibri"/>
        <family val="2"/>
        <scheme val="minor"/>
      </rPr>
      <t xml:space="preserve"> IEEE 802.11ac Dual Band Wi-Fi AP</t>
    </r>
  </si>
  <si>
    <r>
      <rPr>
        <sz val="12"/>
        <color rgb="FF000000"/>
        <rFont val="Calibri"/>
        <family val="2"/>
        <charset val="136"/>
        <scheme val="minor"/>
      </rPr>
      <t>無線基地台</t>
    </r>
    <r>
      <rPr>
        <sz val="12"/>
        <color rgb="FF000000"/>
        <rFont val="Calibri"/>
        <family val="2"/>
        <scheme val="minor"/>
      </rPr>
      <t xml:space="preserve"> Zyxel/AX3000 WiFi 6 NWA90AX PRO</t>
    </r>
  </si>
  <si>
    <r>
      <rPr>
        <sz val="12"/>
        <color rgb="FF000000"/>
        <rFont val="Calibri"/>
        <family val="2"/>
        <charset val="136"/>
        <scheme val="minor"/>
      </rPr>
      <t>硬碟</t>
    </r>
    <r>
      <rPr>
        <sz val="12"/>
        <color rgb="FF000000"/>
        <rFont val="Calibri"/>
        <family val="2"/>
        <scheme val="minor"/>
      </rPr>
      <t xml:space="preserve"> HITACHI/Deskstar SATA  320GB 5V 730mA 12V 640mA</t>
    </r>
  </si>
  <si>
    <r>
      <rPr>
        <sz val="12"/>
        <color rgb="FF000000"/>
        <rFont val="Calibri"/>
        <family val="2"/>
        <charset val="136"/>
        <scheme val="minor"/>
      </rPr>
      <t>網路儲存設備</t>
    </r>
    <r>
      <rPr>
        <sz val="12"/>
        <color rgb="FF000000"/>
        <rFont val="Calibri"/>
        <family val="2"/>
        <scheme val="minor"/>
      </rPr>
      <t xml:space="preserve"> CUBE/2Bay RAID NAS</t>
    </r>
  </si>
  <si>
    <r>
      <rPr>
        <sz val="12"/>
        <color rgb="FF000000"/>
        <rFont val="Calibri"/>
        <family val="2"/>
        <charset val="136"/>
        <scheme val="minor"/>
      </rPr>
      <t>硬碟</t>
    </r>
    <r>
      <rPr>
        <sz val="12"/>
        <color rgb="FF000000"/>
        <rFont val="Calibri"/>
        <family val="2"/>
        <scheme val="minor"/>
      </rPr>
      <t xml:space="preserve"> Transcend/</t>
    </r>
    <r>
      <rPr>
        <sz val="12"/>
        <color rgb="FF000000"/>
        <rFont val="Calibri"/>
        <family val="2"/>
        <charset val="136"/>
        <scheme val="minor"/>
      </rPr>
      <t>工業級固態硬碟</t>
    </r>
    <r>
      <rPr>
        <sz val="12"/>
        <color rgb="FF000000"/>
        <rFont val="Calibri"/>
        <family val="2"/>
        <scheme val="minor"/>
      </rPr>
      <t xml:space="preserve"> 128GB SATA SSD420K</t>
    </r>
  </si>
  <si>
    <r>
      <rPr>
        <sz val="12"/>
        <color rgb="FF000000"/>
        <rFont val="Calibri"/>
        <family val="2"/>
        <charset val="136"/>
        <scheme val="minor"/>
      </rPr>
      <t>電源供應器</t>
    </r>
    <r>
      <rPr>
        <sz val="12"/>
        <color rgb="FF000000"/>
        <rFont val="Calibri"/>
        <family val="2"/>
        <scheme val="minor"/>
      </rPr>
      <t xml:space="preserve"> Delta/AC/DC</t>
    </r>
    <r>
      <rPr>
        <sz val="12"/>
        <color rgb="FF000000"/>
        <rFont val="Calibri"/>
        <family val="2"/>
        <charset val="136"/>
        <scheme val="minor"/>
      </rPr>
      <t>電源供應器</t>
    </r>
    <r>
      <rPr>
        <sz val="12"/>
        <color rgb="FF000000"/>
        <rFont val="Calibri"/>
        <family val="2"/>
        <scheme val="minor"/>
      </rPr>
      <t>12V 5A</t>
    </r>
  </si>
  <si>
    <r>
      <rPr>
        <sz val="12"/>
        <color rgb="FF000000"/>
        <rFont val="Calibri"/>
        <family val="2"/>
        <charset val="136"/>
        <scheme val="minor"/>
      </rPr>
      <t>電源供應器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勁冷俠</t>
    </r>
    <r>
      <rPr>
        <sz val="12"/>
        <color rgb="FF000000"/>
        <rFont val="Calibri"/>
        <family val="2"/>
        <scheme val="minor"/>
      </rPr>
      <t>3/NX 400W Plus 400W ATX</t>
    </r>
  </si>
  <si>
    <r>
      <rPr>
        <sz val="12"/>
        <color rgb="FF000000"/>
        <rFont val="Calibri"/>
        <family val="2"/>
        <charset val="136"/>
        <scheme val="minor"/>
      </rPr>
      <t>勁冷俠</t>
    </r>
    <r>
      <rPr>
        <sz val="12"/>
        <color rgb="FF000000"/>
        <rFont val="Calibri"/>
        <family val="2"/>
        <scheme val="minor"/>
      </rPr>
      <t>(KTNET)</t>
    </r>
  </si>
  <si>
    <r>
      <rPr>
        <sz val="12"/>
        <color rgb="FF000000"/>
        <rFont val="Calibri"/>
        <family val="2"/>
        <charset val="136"/>
        <scheme val="minor"/>
      </rPr>
      <t>電源供應器</t>
    </r>
    <r>
      <rPr>
        <sz val="12"/>
        <color rgb="FF000000"/>
        <rFont val="Calibri"/>
        <family val="2"/>
        <scheme val="minor"/>
      </rPr>
      <t xml:space="preserve"> Mean Well/12VDC 17A 204W </t>
    </r>
    <r>
      <rPr>
        <sz val="12"/>
        <color rgb="FF000000"/>
        <rFont val="Calibri"/>
        <family val="2"/>
        <charset val="136"/>
        <scheme val="minor"/>
      </rPr>
      <t>工業級開關電源</t>
    </r>
  </si>
  <si>
    <r>
      <rPr>
        <sz val="12"/>
        <color rgb="FF000000"/>
        <rFont val="Calibri"/>
        <family val="2"/>
        <charset val="136"/>
        <scheme val="minor"/>
      </rPr>
      <t>電源供應器</t>
    </r>
    <r>
      <rPr>
        <sz val="12"/>
        <color rgb="FF000000"/>
        <rFont val="Calibri"/>
        <family val="2"/>
        <scheme val="minor"/>
      </rPr>
      <t xml:space="preserve"> Mean Well/</t>
    </r>
    <r>
      <rPr>
        <sz val="12"/>
        <color rgb="FF000000"/>
        <rFont val="Calibri"/>
        <family val="2"/>
        <charset val="136"/>
        <scheme val="minor"/>
      </rPr>
      <t>軌道式電源供應器</t>
    </r>
    <r>
      <rPr>
        <sz val="12"/>
        <color rgb="FF000000"/>
        <rFont val="Calibri"/>
        <family val="2"/>
        <scheme val="minor"/>
      </rPr>
      <t xml:space="preserve"> 24VDC 10A 240W</t>
    </r>
  </si>
  <si>
    <r>
      <rPr>
        <sz val="12"/>
        <color rgb="FF000000"/>
        <rFont val="Calibri"/>
        <family val="2"/>
        <charset val="136"/>
        <scheme val="minor"/>
      </rPr>
      <t>電源供應器</t>
    </r>
    <r>
      <rPr>
        <sz val="12"/>
        <color rgb="FF000000"/>
        <rFont val="Calibri"/>
        <family val="2"/>
        <scheme val="minor"/>
      </rPr>
      <t xml:space="preserve"> Mean Well/200W </t>
    </r>
    <r>
      <rPr>
        <sz val="12"/>
        <color rgb="FF000000"/>
        <rFont val="Calibri"/>
        <family val="2"/>
        <charset val="136"/>
        <scheme val="minor"/>
      </rPr>
      <t>開關式電源供應器</t>
    </r>
  </si>
  <si>
    <r>
      <rPr>
        <sz val="12"/>
        <color rgb="FF000000"/>
        <rFont val="Calibri"/>
        <family val="2"/>
        <charset val="136"/>
        <scheme val="minor"/>
      </rPr>
      <t>電源供應器</t>
    </r>
    <r>
      <rPr>
        <sz val="12"/>
        <color rgb="FF000000"/>
        <rFont val="Calibri"/>
        <family val="2"/>
        <scheme val="minor"/>
      </rPr>
      <t xml:space="preserve"> Mean Well/24VDC </t>
    </r>
    <r>
      <rPr>
        <sz val="12"/>
        <color rgb="FF000000"/>
        <rFont val="Calibri"/>
        <family val="2"/>
        <charset val="136"/>
        <scheme val="minor"/>
      </rPr>
      <t>開關電源供應器</t>
    </r>
    <r>
      <rPr>
        <sz val="12"/>
        <color rgb="FF000000"/>
        <rFont val="Calibri"/>
        <family val="2"/>
        <scheme val="minor"/>
      </rPr>
      <t xml:space="preserve"> S-50-24</t>
    </r>
  </si>
  <si>
    <r>
      <rPr>
        <sz val="12"/>
        <color rgb="FF000000"/>
        <rFont val="Calibri"/>
        <family val="2"/>
        <charset val="136"/>
        <scheme val="minor"/>
      </rPr>
      <t>電源供應器</t>
    </r>
    <r>
      <rPr>
        <sz val="12"/>
        <color rgb="FF000000"/>
        <rFont val="Calibri"/>
        <family val="2"/>
        <scheme val="minor"/>
      </rPr>
      <t xml:space="preserve"> Mean Well/DC12V 8.5A 100W </t>
    </r>
    <r>
      <rPr>
        <sz val="12"/>
        <color rgb="FF000000"/>
        <rFont val="Calibri"/>
        <family val="2"/>
        <charset val="136"/>
        <scheme val="minor"/>
      </rPr>
      <t>交換式電源供應器</t>
    </r>
  </si>
  <si>
    <r>
      <rPr>
        <sz val="12"/>
        <color rgb="FF000000"/>
        <rFont val="Calibri"/>
        <family val="2"/>
        <charset val="136"/>
        <scheme val="minor"/>
      </rPr>
      <t>電壓轉換器</t>
    </r>
    <r>
      <rPr>
        <sz val="12"/>
        <color rgb="FF000000"/>
        <rFont val="Calibri"/>
        <family val="2"/>
        <scheme val="minor"/>
      </rPr>
      <t xml:space="preserve"> AC110V 220V 500W </t>
    </r>
    <r>
      <rPr>
        <sz val="12"/>
        <color rgb="FF000000"/>
        <rFont val="Calibri"/>
        <family val="2"/>
        <charset val="136"/>
        <scheme val="minor"/>
      </rPr>
      <t>升降壓電壓轉換器</t>
    </r>
    <r>
      <rPr>
        <sz val="12"/>
        <color rgb="FF000000"/>
        <rFont val="Calibri"/>
        <family val="2"/>
        <scheme val="minor"/>
      </rPr>
      <t>(</t>
    </r>
    <r>
      <rPr>
        <sz val="12"/>
        <color rgb="FF000000"/>
        <rFont val="Calibri"/>
        <family val="2"/>
        <charset val="136"/>
        <scheme val="minor"/>
      </rPr>
      <t>含電源線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</si>
  <si>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攝影機</t>
    </r>
    <r>
      <rPr>
        <sz val="12"/>
        <color rgb="FF000000"/>
        <rFont val="Calibri"/>
        <family val="2"/>
        <scheme val="minor"/>
      </rPr>
      <t xml:space="preserve"> ACTi/</t>
    </r>
    <r>
      <rPr>
        <sz val="12"/>
        <color rgb="FF000000"/>
        <rFont val="Calibri"/>
        <family val="2"/>
        <charset val="136"/>
        <scheme val="minor"/>
      </rPr>
      <t>網路半球型攝影機</t>
    </r>
    <r>
      <rPr>
        <sz val="12"/>
        <color rgb="FF000000"/>
        <rFont val="Calibri"/>
        <family val="2"/>
        <scheme val="minor"/>
      </rPr>
      <t xml:space="preserve"> (</t>
    </r>
    <r>
      <rPr>
        <sz val="12"/>
        <color rgb="FF000000"/>
        <rFont val="Calibri"/>
        <family val="2"/>
        <charset val="136"/>
        <scheme val="minor"/>
      </rPr>
      <t>無盒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Calibri"/>
        <family val="2"/>
        <charset val="136"/>
        <scheme val="minor"/>
      </rPr>
      <t>無配件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</si>
  <si>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攝影機</t>
    </r>
    <r>
      <rPr>
        <sz val="12"/>
        <color rgb="FF000000"/>
        <rFont val="Calibri"/>
        <family val="2"/>
        <scheme val="minor"/>
      </rPr>
      <t xml:space="preserve"> ACTi/</t>
    </r>
    <r>
      <rPr>
        <sz val="12"/>
        <color rgb="FF000000"/>
        <rFont val="Calibri"/>
        <family val="2"/>
        <charset val="136"/>
        <scheme val="minor"/>
      </rPr>
      <t>網路半球型攝影機</t>
    </r>
    <r>
      <rPr>
        <sz val="12"/>
        <color rgb="FF000000"/>
        <rFont val="Calibri"/>
        <family val="2"/>
        <scheme val="minor"/>
      </rPr>
      <t>(</t>
    </r>
    <r>
      <rPr>
        <sz val="12"/>
        <color rgb="FF000000"/>
        <rFont val="Calibri"/>
        <family val="2"/>
        <charset val="136"/>
        <scheme val="minor"/>
      </rPr>
      <t>有盒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</si>
  <si>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攝影機</t>
    </r>
    <r>
      <rPr>
        <sz val="12"/>
        <color rgb="FF000000"/>
        <rFont val="Calibri"/>
        <family val="2"/>
        <scheme val="minor"/>
      </rPr>
      <t xml:space="preserve"> KIM/</t>
    </r>
    <r>
      <rPr>
        <sz val="12"/>
        <color rgb="FF000000"/>
        <rFont val="Calibri"/>
        <family val="2"/>
        <charset val="136"/>
        <scheme val="minor"/>
      </rPr>
      <t>網路攝影機</t>
    </r>
    <r>
      <rPr>
        <sz val="12"/>
        <color rgb="FF000000"/>
        <rFont val="Calibri"/>
        <family val="2"/>
        <scheme val="minor"/>
      </rPr>
      <t xml:space="preserve"> 2MP PoE </t>
    </r>
    <r>
      <rPr>
        <sz val="12"/>
        <color rgb="FF000000"/>
        <rFont val="Calibri"/>
        <family val="2"/>
        <charset val="136"/>
        <scheme val="minor"/>
      </rPr>
      <t>紅外線防水型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內建</t>
    </r>
    <r>
      <rPr>
        <sz val="12"/>
        <color rgb="FF000000"/>
        <rFont val="Calibri"/>
        <family val="2"/>
        <scheme val="minor"/>
      </rPr>
      <t>MIC</t>
    </r>
  </si>
  <si>
    <r>
      <rPr>
        <sz val="12"/>
        <color rgb="FF000000"/>
        <rFont val="Calibri"/>
        <family val="2"/>
        <charset val="136"/>
        <scheme val="minor"/>
      </rPr>
      <t>攝影機</t>
    </r>
    <r>
      <rPr>
        <sz val="12"/>
        <color rgb="FF000000"/>
        <rFont val="Calibri"/>
        <family val="2"/>
        <scheme val="minor"/>
      </rPr>
      <t xml:space="preserve"> Magic MS2-01 </t>
    </r>
    <r>
      <rPr>
        <sz val="12"/>
        <color rgb="FF000000"/>
        <rFont val="Calibri"/>
        <family val="2"/>
        <charset val="136"/>
        <scheme val="minor"/>
      </rPr>
      <t>類比監視攝影機</t>
    </r>
    <r>
      <rPr>
        <sz val="12"/>
        <color rgb="FF000000"/>
        <rFont val="Calibri"/>
        <family val="2"/>
        <scheme val="minor"/>
      </rPr>
      <t xml:space="preserve"> 8mm</t>
    </r>
  </si>
  <si>
    <r>
      <rPr>
        <sz val="12"/>
        <color rgb="FF000000"/>
        <rFont val="Calibri"/>
        <family val="2"/>
        <charset val="136"/>
        <scheme val="minor"/>
      </rPr>
      <t>網路影像伺服器</t>
    </r>
    <r>
      <rPr>
        <sz val="12"/>
        <color rgb="FF000000"/>
        <rFont val="Calibri"/>
        <family val="2"/>
        <scheme val="minor"/>
      </rPr>
      <t xml:space="preserve"> NVS-3510</t>
    </r>
  </si>
  <si>
    <r>
      <rPr>
        <sz val="12"/>
        <color rgb="FF000000"/>
        <rFont val="Calibri"/>
        <family val="2"/>
        <charset val="136"/>
        <scheme val="minor"/>
      </rPr>
      <t>攝影機</t>
    </r>
    <r>
      <rPr>
        <sz val="12"/>
        <color rgb="FF000000"/>
        <rFont val="Calibri"/>
        <family val="2"/>
        <scheme val="minor"/>
      </rPr>
      <t xml:space="preserve"> PT Dome Camera </t>
    </r>
    <r>
      <rPr>
        <sz val="12"/>
        <color rgb="FF000000"/>
        <rFont val="Calibri"/>
        <family val="2"/>
        <charset val="136"/>
        <scheme val="minor"/>
      </rPr>
      <t>水平／垂直旋轉球型攝影機</t>
    </r>
  </si>
  <si>
    <r>
      <rPr>
        <sz val="12"/>
        <color rgb="FF000000"/>
        <rFont val="Calibri"/>
        <family val="2"/>
        <charset val="136"/>
        <scheme val="minor"/>
      </rPr>
      <t>顯示器</t>
    </r>
    <r>
      <rPr>
        <sz val="12"/>
        <color rgb="FF000000"/>
        <rFont val="Calibri"/>
        <family val="2"/>
        <scheme val="minor"/>
      </rPr>
      <t xml:space="preserve"> JSBO/</t>
    </r>
    <r>
      <rPr>
        <sz val="12"/>
        <color rgb="FF000000"/>
        <rFont val="Calibri"/>
        <family val="2"/>
        <charset val="136"/>
        <scheme val="minor"/>
      </rPr>
      <t>高清液晶監控顯示器</t>
    </r>
    <r>
      <rPr>
        <sz val="12"/>
        <color rgb="FF000000"/>
        <rFont val="Calibri"/>
        <family val="2"/>
        <scheme val="minor"/>
      </rPr>
      <t xml:space="preserve"> CCTV 7</t>
    </r>
    <r>
      <rPr>
        <sz val="12"/>
        <color rgb="FF000000"/>
        <rFont val="Calibri"/>
        <family val="2"/>
        <charset val="136"/>
        <scheme val="minor"/>
      </rPr>
      <t>吋</t>
    </r>
    <r>
      <rPr>
        <sz val="12"/>
        <color rgb="FF000000"/>
        <rFont val="Calibri"/>
        <family val="2"/>
        <scheme val="minor"/>
      </rPr>
      <t xml:space="preserve"> TFT LCD 8-15V</t>
    </r>
  </si>
  <si>
    <r>
      <rPr>
        <sz val="12"/>
        <color rgb="FF000000"/>
        <rFont val="Calibri"/>
        <family val="2"/>
        <charset val="136"/>
        <scheme val="minor"/>
      </rPr>
      <t>螢幕</t>
    </r>
    <r>
      <rPr>
        <sz val="12"/>
        <color rgb="FF000000"/>
        <rFont val="Calibri"/>
        <family val="2"/>
        <scheme val="minor"/>
      </rPr>
      <t xml:space="preserve"> Acer/27</t>
    </r>
    <r>
      <rPr>
        <sz val="12"/>
        <color rgb="FF000000"/>
        <rFont val="Calibri"/>
        <family val="2"/>
        <charset val="136"/>
        <scheme val="minor"/>
      </rPr>
      <t>吋</t>
    </r>
    <r>
      <rPr>
        <sz val="12"/>
        <color rgb="FF000000"/>
        <rFont val="Calibri"/>
        <family val="2"/>
        <scheme val="minor"/>
      </rPr>
      <t xml:space="preserve"> IPS</t>
    </r>
    <r>
      <rPr>
        <sz val="12"/>
        <color rgb="FF000000"/>
        <rFont val="Calibri"/>
        <family val="2"/>
        <charset val="136"/>
        <scheme val="minor"/>
      </rPr>
      <t>液晶顯示器</t>
    </r>
    <r>
      <rPr>
        <sz val="12"/>
        <color rgb="FF000000"/>
        <rFont val="Calibri"/>
        <family val="2"/>
        <scheme val="minor"/>
      </rPr>
      <t xml:space="preserve"> 16:9  Acer EK271</t>
    </r>
  </si>
  <si>
    <r>
      <rPr>
        <sz val="12"/>
        <color rgb="FF000000"/>
        <rFont val="Calibri"/>
        <family val="2"/>
        <charset val="136"/>
        <scheme val="minor"/>
      </rPr>
      <t>人機介面</t>
    </r>
    <r>
      <rPr>
        <sz val="12"/>
        <color rgb="FF000000"/>
        <rFont val="Calibri"/>
        <family val="2"/>
        <scheme val="minor"/>
      </rPr>
      <t xml:space="preserve"> CERMATE/7</t>
    </r>
    <r>
      <rPr>
        <sz val="12"/>
        <color rgb="FF000000"/>
        <rFont val="Calibri"/>
        <family val="2"/>
        <charset val="136"/>
        <scheme val="minor"/>
      </rPr>
      <t>吋</t>
    </r>
    <r>
      <rPr>
        <sz val="12"/>
        <color rgb="FF000000"/>
        <rFont val="Calibri"/>
        <family val="2"/>
        <scheme val="minor"/>
      </rPr>
      <t xml:space="preserve"> LCD Touch Control Panel 24VDC</t>
    </r>
  </si>
  <si>
    <r>
      <rPr>
        <sz val="12"/>
        <color rgb="FF000000"/>
        <rFont val="Calibri"/>
        <family val="2"/>
        <charset val="136"/>
        <scheme val="minor"/>
      </rPr>
      <t>人機介面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工業觸控人機介面</t>
    </r>
    <r>
      <rPr>
        <sz val="12"/>
        <color rgb="FF000000"/>
        <rFont val="Calibri"/>
        <family val="2"/>
        <scheme val="minor"/>
      </rPr>
      <t xml:space="preserve"> 7</t>
    </r>
    <r>
      <rPr>
        <sz val="12"/>
        <color rgb="FF000000"/>
        <rFont val="Calibri"/>
        <family val="2"/>
        <charset val="136"/>
        <scheme val="minor"/>
      </rPr>
      <t>吋</t>
    </r>
    <r>
      <rPr>
        <sz val="12"/>
        <color rgb="FF000000"/>
        <rFont val="Calibri"/>
        <family val="2"/>
        <scheme val="minor"/>
      </rPr>
      <t xml:space="preserve"> TFT LCD</t>
    </r>
  </si>
  <si>
    <r>
      <rPr>
        <sz val="12"/>
        <color rgb="FF000000"/>
        <rFont val="Calibri"/>
        <family val="2"/>
        <charset val="136"/>
        <scheme val="minor"/>
      </rPr>
      <t>話機</t>
    </r>
    <r>
      <rPr>
        <sz val="12"/>
        <color rgb="FF000000"/>
        <rFont val="Calibri"/>
        <family val="2"/>
        <scheme val="minor"/>
      </rPr>
      <t xml:space="preserve"> Alcatel </t>
    </r>
    <r>
      <rPr>
        <sz val="12"/>
        <color rgb="FF000000"/>
        <rFont val="Calibri"/>
        <family val="2"/>
        <charset val="136"/>
        <scheme val="minor"/>
      </rPr>
      <t>類比話機</t>
    </r>
    <r>
      <rPr>
        <sz val="12"/>
        <color rgb="FF000000"/>
        <rFont val="Calibri"/>
        <family val="2"/>
        <scheme val="minor"/>
      </rPr>
      <t xml:space="preserve"> 29438</t>
    </r>
  </si>
  <si>
    <r>
      <rPr>
        <sz val="12"/>
        <color rgb="FF000000"/>
        <rFont val="Calibri"/>
        <family val="2"/>
        <charset val="136"/>
        <scheme val="minor"/>
      </rPr>
      <t>影音設備</t>
    </r>
    <r>
      <rPr>
        <sz val="12"/>
        <color rgb="FF000000"/>
        <rFont val="Calibri"/>
        <family val="2"/>
        <scheme val="minor"/>
      </rPr>
      <t xml:space="preserve"> HDMI/1</t>
    </r>
    <r>
      <rPr>
        <sz val="12"/>
        <color rgb="FF000000"/>
        <rFont val="Calibri"/>
        <family val="2"/>
        <charset val="136"/>
        <scheme val="minor"/>
      </rPr>
      <t>進</t>
    </r>
    <r>
      <rPr>
        <sz val="12"/>
        <color rgb="FF000000"/>
        <rFont val="Calibri"/>
        <family val="2"/>
        <scheme val="minor"/>
      </rPr>
      <t>2</t>
    </r>
    <r>
      <rPr>
        <sz val="12"/>
        <color rgb="FF000000"/>
        <rFont val="Calibri"/>
        <family val="2"/>
        <charset val="136"/>
        <scheme val="minor"/>
      </rPr>
      <t>出</t>
    </r>
    <r>
      <rPr>
        <sz val="12"/>
        <color rgb="FF000000"/>
        <rFont val="Calibri"/>
        <family val="2"/>
        <scheme val="minor"/>
      </rPr>
      <t xml:space="preserve"> HDMI</t>
    </r>
    <r>
      <rPr>
        <sz val="12"/>
        <color rgb="FF000000"/>
        <rFont val="Calibri"/>
        <family val="2"/>
        <charset val="136"/>
        <scheme val="minor"/>
      </rPr>
      <t>訊號分配器</t>
    </r>
    <r>
      <rPr>
        <sz val="12"/>
        <color rgb="FF000000"/>
        <rFont val="Calibri"/>
        <family val="2"/>
        <scheme val="minor"/>
      </rPr>
      <t xml:space="preserve"> 4K×2K (</t>
    </r>
    <r>
      <rPr>
        <sz val="12"/>
        <color rgb="FF000000"/>
        <rFont val="Calibri"/>
        <family val="2"/>
        <charset val="136"/>
        <scheme val="minor"/>
      </rPr>
      <t>附上</t>
    </r>
    <r>
      <rPr>
        <sz val="12"/>
        <color rgb="FF000000"/>
        <rFont val="Calibri"/>
        <family val="2"/>
        <scheme val="minor"/>
      </rPr>
      <t>3</t>
    </r>
    <r>
      <rPr>
        <sz val="12"/>
        <color rgb="FF000000"/>
        <rFont val="Calibri"/>
        <family val="2"/>
        <charset val="136"/>
        <scheme val="minor"/>
      </rPr>
      <t>頭連接線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</si>
  <si>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影音延伸接收器</t>
    </r>
    <r>
      <rPr>
        <sz val="12"/>
        <color rgb="FF000000"/>
        <rFont val="Calibri"/>
        <family val="2"/>
        <scheme val="minor"/>
      </rPr>
      <t xml:space="preserve"> PSTEK/HDBaseT</t>
    </r>
    <r>
      <rPr>
        <sz val="12"/>
        <color rgb="FF000000"/>
        <rFont val="Calibri"/>
        <family val="2"/>
        <charset val="136"/>
        <scheme val="minor"/>
      </rPr>
      <t>影音延伸接收器</t>
    </r>
    <r>
      <rPr>
        <sz val="12"/>
        <color rgb="FF000000"/>
        <rFont val="Calibri"/>
        <family val="2"/>
        <scheme val="minor"/>
      </rPr>
      <t xml:space="preserve"> 70M </t>
    </r>
    <r>
      <rPr>
        <sz val="12"/>
        <color rgb="FF000000"/>
        <rFont val="Calibri"/>
        <family val="2"/>
        <charset val="136"/>
        <scheme val="minor"/>
      </rPr>
      <t>透過網路線延伸</t>
    </r>
    <r>
      <rPr>
        <sz val="12"/>
        <color rgb="FF000000"/>
        <rFont val="Calibri"/>
        <family val="2"/>
        <scheme val="minor"/>
      </rPr>
      <t>HDMI</t>
    </r>
    <r>
      <rPr>
        <sz val="12"/>
        <color rgb="FF000000"/>
        <rFont val="Calibri"/>
        <family val="2"/>
        <charset val="136"/>
        <scheme val="minor"/>
      </rPr>
      <t>影音訊號傳輸距離，接收遠端影音訊號並輸出至顯示設備</t>
    </r>
  </si>
  <si>
    <r>
      <rPr>
        <sz val="12"/>
        <color rgb="FF000000"/>
        <rFont val="Calibri"/>
        <family val="2"/>
        <charset val="136"/>
        <scheme val="minor"/>
      </rPr>
      <t>影音延伸接收器</t>
    </r>
    <r>
      <rPr>
        <sz val="12"/>
        <color rgb="FF000000"/>
        <rFont val="Calibri"/>
        <family val="2"/>
        <scheme val="minor"/>
      </rPr>
      <t xml:space="preserve"> PSTEK/HDBaseT</t>
    </r>
    <r>
      <rPr>
        <sz val="12"/>
        <color rgb="FF000000"/>
        <rFont val="Calibri"/>
        <family val="2"/>
        <charset val="136"/>
        <scheme val="minor"/>
      </rPr>
      <t>影音延伸發射器</t>
    </r>
    <r>
      <rPr>
        <sz val="12"/>
        <color rgb="FF000000"/>
        <rFont val="Calibri"/>
        <family val="2"/>
        <scheme val="minor"/>
      </rPr>
      <t xml:space="preserve"> 70M </t>
    </r>
    <r>
      <rPr>
        <sz val="12"/>
        <color rgb="FF000000"/>
        <rFont val="Calibri"/>
        <family val="2"/>
        <charset val="136"/>
        <scheme val="minor"/>
      </rPr>
      <t>透過網路線延伸</t>
    </r>
    <r>
      <rPr>
        <sz val="12"/>
        <color rgb="FF000000"/>
        <rFont val="Calibri"/>
        <family val="2"/>
        <scheme val="minor"/>
      </rPr>
      <t>HDMI</t>
    </r>
    <r>
      <rPr>
        <sz val="12"/>
        <color rgb="FF000000"/>
        <rFont val="Calibri"/>
        <family val="2"/>
        <charset val="136"/>
        <scheme val="minor"/>
      </rPr>
      <t>影音訊號傳輸距離，接收遠端影音訊號並輸出至顯示設備</t>
    </r>
  </si>
  <si>
    <r>
      <rPr>
        <sz val="12"/>
        <color rgb="FF000000"/>
        <rFont val="Calibri"/>
        <family val="2"/>
        <charset val="136"/>
        <scheme val="minor"/>
      </rPr>
      <t>影音設備</t>
    </r>
    <r>
      <rPr>
        <sz val="12"/>
        <color rgb="FF000000"/>
        <rFont val="Calibri"/>
        <family val="2"/>
        <scheme val="minor"/>
      </rPr>
      <t xml:space="preserve"> PSTEK/HDMI</t>
    </r>
    <r>
      <rPr>
        <sz val="12"/>
        <color rgb="FF000000"/>
        <rFont val="Calibri"/>
        <family val="2"/>
        <charset val="136"/>
        <scheme val="minor"/>
      </rPr>
      <t>訊號延伸器</t>
    </r>
    <r>
      <rPr>
        <sz val="12"/>
        <color rgb="FF000000"/>
        <rFont val="Calibri"/>
        <family val="2"/>
        <scheme val="minor"/>
      </rPr>
      <t xml:space="preserve"> 30M </t>
    </r>
    <r>
      <rPr>
        <sz val="12"/>
        <color rgb="FF000000"/>
        <rFont val="Calibri"/>
        <family val="2"/>
        <charset val="136"/>
        <scheme val="minor"/>
      </rPr>
      <t>發射接收組</t>
    </r>
  </si>
  <si>
    <r>
      <rPr>
        <sz val="12"/>
        <color rgb="FF000000"/>
        <rFont val="Calibri"/>
        <family val="2"/>
        <charset val="136"/>
        <scheme val="minor"/>
      </rPr>
      <t>話機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多美多話機</t>
    </r>
  </si>
  <si>
    <r>
      <rPr>
        <sz val="12"/>
        <color rgb="FF000000"/>
        <rFont val="Calibri"/>
        <family val="2"/>
        <charset val="136"/>
        <scheme val="minor"/>
      </rPr>
      <t>多美多</t>
    </r>
  </si>
  <si>
    <r>
      <rPr>
        <sz val="12"/>
        <color rgb="FF000000"/>
        <rFont val="Calibri"/>
        <family val="2"/>
        <charset val="136"/>
        <scheme val="minor"/>
      </rPr>
      <t>話機</t>
    </r>
    <r>
      <rPr>
        <sz val="12"/>
        <color rgb="FF000000"/>
        <rFont val="Calibri"/>
        <family val="2"/>
        <scheme val="minor"/>
      </rPr>
      <t xml:space="preserve"> TONNET/</t>
    </r>
    <r>
      <rPr>
        <sz val="12"/>
        <color rgb="FF000000"/>
        <rFont val="Calibri"/>
        <family val="2"/>
        <charset val="136"/>
        <scheme val="minor"/>
      </rPr>
      <t>類比電話</t>
    </r>
  </si>
  <si>
    <r>
      <rPr>
        <sz val="12"/>
        <color rgb="FF000000"/>
        <rFont val="Calibri"/>
        <family val="2"/>
        <charset val="136"/>
        <scheme val="minor"/>
      </rPr>
      <t>記憶體</t>
    </r>
    <r>
      <rPr>
        <sz val="12"/>
        <color rgb="FF000000"/>
        <rFont val="Calibri"/>
        <family val="2"/>
        <scheme val="minor"/>
      </rPr>
      <t xml:space="preserve"> A-DATA DDR2-800 1GB </t>
    </r>
    <r>
      <rPr>
        <sz val="12"/>
        <color rgb="FF000000"/>
        <rFont val="Calibri"/>
        <family val="2"/>
        <charset val="136"/>
        <scheme val="minor"/>
      </rPr>
      <t>記憶體模組</t>
    </r>
  </si>
  <si>
    <r>
      <rPr>
        <sz val="12"/>
        <color rgb="FF000000"/>
        <rFont val="Calibri"/>
        <family val="2"/>
        <charset val="136"/>
        <scheme val="minor"/>
      </rPr>
      <t>記憶體</t>
    </r>
    <r>
      <rPr>
        <sz val="12"/>
        <color rgb="FF000000"/>
        <rFont val="Calibri"/>
        <family val="2"/>
        <scheme val="minor"/>
      </rPr>
      <t xml:space="preserve"> A-DATA DDR2-800 1GB </t>
    </r>
    <r>
      <rPr>
        <sz val="12"/>
        <color rgb="FF000000"/>
        <rFont val="Calibri"/>
        <family val="2"/>
        <charset val="136"/>
        <scheme val="minor"/>
      </rPr>
      <t>記憶體模組</t>
    </r>
    <r>
      <rPr>
        <sz val="12"/>
        <color rgb="FF000000"/>
        <rFont val="Calibri"/>
        <family val="2"/>
        <scheme val="minor"/>
      </rPr>
      <t>(</t>
    </r>
    <r>
      <rPr>
        <sz val="12"/>
        <color rgb="FF000000"/>
        <rFont val="Calibri"/>
        <family val="2"/>
        <charset val="136"/>
        <scheme val="minor"/>
      </rPr>
      <t>散熱片版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</si>
  <si>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記憶體</t>
    </r>
    <r>
      <rPr>
        <sz val="12"/>
        <color rgb="FF000000"/>
        <rFont val="Calibri"/>
        <family val="2"/>
        <scheme val="minor"/>
      </rPr>
      <t xml:space="preserve"> A-DATA DDR3-1333 2GB </t>
    </r>
    <r>
      <rPr>
        <sz val="12"/>
        <color rgb="FF000000"/>
        <rFont val="Calibri"/>
        <family val="2"/>
        <charset val="136"/>
        <scheme val="minor"/>
      </rPr>
      <t>記憶體模組</t>
    </r>
  </si>
  <si>
    <r>
      <rPr>
        <sz val="12"/>
        <color rgb="FF000000"/>
        <rFont val="Calibri"/>
        <family val="2"/>
        <charset val="136"/>
        <scheme val="minor"/>
      </rPr>
      <t>記憶體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工業級記憶體模組</t>
    </r>
    <r>
      <rPr>
        <sz val="12"/>
        <color rgb="FF000000"/>
        <rFont val="Calibri"/>
        <family val="2"/>
        <scheme val="minor"/>
      </rPr>
      <t xml:space="preserve"> DDR3L-1600 ECC 8GB</t>
    </r>
  </si>
  <si>
    <r>
      <rPr>
        <sz val="12"/>
        <color rgb="FF000000"/>
        <rFont val="Calibri"/>
        <family val="2"/>
        <charset val="136"/>
        <scheme val="minor"/>
      </rPr>
      <t>主機板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伺服器主機板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雙</t>
    </r>
    <r>
      <rPr>
        <sz val="12"/>
        <color rgb="FF000000"/>
        <rFont val="Calibri"/>
        <family val="2"/>
        <scheme val="minor"/>
      </rPr>
      <t xml:space="preserve"> Xeon LGA2011-3 Server Board</t>
    </r>
  </si>
  <si>
    <r>
      <rPr>
        <sz val="12"/>
        <color rgb="FF000000"/>
        <rFont val="Calibri"/>
        <family val="2"/>
        <charset val="136"/>
        <scheme val="minor"/>
      </rPr>
      <t>記憶體</t>
    </r>
    <r>
      <rPr>
        <sz val="12"/>
        <color rgb="FF000000"/>
        <rFont val="Calibri"/>
        <family val="2"/>
        <scheme val="minor"/>
      </rPr>
      <t xml:space="preserve"> ASUS DDR3 ECC REG 2GB PC3-10600 </t>
    </r>
    <r>
      <rPr>
        <sz val="12"/>
        <color rgb="FF000000"/>
        <rFont val="Calibri"/>
        <family val="2"/>
        <charset val="136"/>
        <scheme val="minor"/>
      </rPr>
      <t>記憶體模組</t>
    </r>
  </si>
  <si>
    <r>
      <rPr>
        <sz val="12"/>
        <color rgb="FF000000"/>
        <rFont val="Calibri"/>
        <family val="2"/>
        <charset val="136"/>
        <scheme val="minor"/>
      </rPr>
      <t>讀卡機</t>
    </r>
    <r>
      <rPr>
        <sz val="12"/>
        <color rgb="FF000000"/>
        <rFont val="Calibri"/>
        <family val="2"/>
        <scheme val="minor"/>
      </rPr>
      <t xml:space="preserve"> USB</t>
    </r>
    <r>
      <rPr>
        <sz val="12"/>
        <color rgb="FF000000"/>
        <rFont val="Calibri"/>
        <family val="2"/>
        <charset val="136"/>
        <scheme val="minor"/>
      </rPr>
      <t>智慧晶片讀卡機</t>
    </r>
    <r>
      <rPr>
        <sz val="12"/>
        <color rgb="FF000000"/>
        <rFont val="Calibri"/>
        <family val="2"/>
        <scheme val="minor"/>
      </rPr>
      <t xml:space="preserve"> CR200 PCSC</t>
    </r>
    <r>
      <rPr>
        <sz val="12"/>
        <color rgb="FF000000"/>
        <rFont val="Calibri"/>
        <family val="2"/>
        <charset val="136"/>
        <scheme val="minor"/>
      </rPr>
      <t>介面</t>
    </r>
  </si>
  <si>
    <r>
      <rPr>
        <sz val="12"/>
        <color rgb="FF000000"/>
        <rFont val="Calibri"/>
        <family val="2"/>
        <charset val="136"/>
        <scheme val="minor"/>
      </rPr>
      <t>逸盛科技</t>
    </r>
  </si>
  <si>
    <r>
      <rPr>
        <sz val="12"/>
        <color rgb="FF000000"/>
        <rFont val="Calibri"/>
        <family val="2"/>
        <charset val="136"/>
        <scheme val="minor"/>
      </rPr>
      <t>保管</t>
    </r>
  </si>
  <si>
    <r>
      <rPr>
        <sz val="12"/>
        <color rgb="FF000000"/>
        <rFont val="Calibri"/>
        <family val="2"/>
        <charset val="136"/>
        <scheme val="minor"/>
      </rPr>
      <t>主機板</t>
    </r>
    <r>
      <rPr>
        <sz val="12"/>
        <color rgb="FF000000"/>
        <rFont val="Calibri"/>
        <family val="2"/>
        <scheme val="minor"/>
      </rPr>
      <t xml:space="preserve"> ASUS/H81M-E LGA1150 DDR3 mATX</t>
    </r>
  </si>
  <si>
    <r>
      <rPr>
        <sz val="12"/>
        <color rgb="FF000000"/>
        <rFont val="Calibri"/>
        <family val="2"/>
        <charset val="136"/>
        <scheme val="minor"/>
      </rPr>
      <t>記憶體</t>
    </r>
    <r>
      <rPr>
        <sz val="12"/>
        <color rgb="FF000000"/>
        <rFont val="Calibri"/>
        <family val="2"/>
        <scheme val="minor"/>
      </rPr>
      <t xml:space="preserve"> KINGMAX DDR400 256MB</t>
    </r>
    <r>
      <rPr>
        <sz val="12"/>
        <color rgb="FF000000"/>
        <rFont val="Calibri"/>
        <family val="2"/>
        <charset val="136"/>
        <scheme val="minor"/>
      </rPr>
      <t>記憶體模組</t>
    </r>
  </si>
  <si>
    <r>
      <rPr>
        <sz val="12"/>
        <color rgb="FF000000"/>
        <rFont val="Calibri"/>
        <family val="2"/>
        <charset val="136"/>
        <scheme val="minor"/>
      </rPr>
      <t>記憶體</t>
    </r>
    <r>
      <rPr>
        <sz val="12"/>
        <color rgb="FF000000"/>
        <rFont val="Calibri"/>
        <family val="2"/>
        <scheme val="minor"/>
      </rPr>
      <t xml:space="preserve"> TwinMOS/DDR400 256MB</t>
    </r>
    <r>
      <rPr>
        <sz val="12"/>
        <color rgb="FF000000"/>
        <rFont val="Calibri"/>
        <family val="2"/>
        <charset val="136"/>
        <scheme val="minor"/>
      </rPr>
      <t>記憶體模組</t>
    </r>
  </si>
  <si>
    <r>
      <rPr>
        <sz val="12"/>
        <color rgb="FF000000"/>
        <rFont val="Calibri"/>
        <family val="2"/>
        <charset val="136"/>
        <scheme val="minor"/>
      </rPr>
      <t>記憶體</t>
    </r>
    <r>
      <rPr>
        <sz val="12"/>
        <color rgb="FF000000"/>
        <rFont val="Calibri"/>
        <family val="2"/>
        <scheme val="minor"/>
      </rPr>
      <t xml:space="preserve"> TwinMOS/DDR400 512MB</t>
    </r>
    <r>
      <rPr>
        <sz val="12"/>
        <color rgb="FF000000"/>
        <rFont val="Calibri"/>
        <family val="2"/>
        <charset val="136"/>
        <scheme val="minor"/>
      </rPr>
      <t>記憶體模組</t>
    </r>
  </si>
  <si>
    <r>
      <rPr>
        <sz val="12"/>
        <color rgb="FF000000"/>
        <rFont val="Calibri"/>
        <family val="2"/>
        <charset val="136"/>
        <scheme val="minor"/>
      </rPr>
      <t>記憶體</t>
    </r>
    <r>
      <rPr>
        <sz val="12"/>
        <color rgb="FF000000"/>
        <rFont val="Calibri"/>
        <family val="2"/>
        <scheme val="minor"/>
      </rPr>
      <t xml:space="preserve"> UMAX DDR2-667 512MB</t>
    </r>
    <r>
      <rPr>
        <sz val="12"/>
        <color rgb="FF000000"/>
        <rFont val="Calibri"/>
        <family val="2"/>
        <charset val="136"/>
        <scheme val="minor"/>
      </rPr>
      <t>記憶體模組</t>
    </r>
  </si>
  <si>
    <r>
      <rPr>
        <sz val="12"/>
        <color rgb="FF000000"/>
        <rFont val="Calibri"/>
        <family val="2"/>
        <charset val="136"/>
        <scheme val="minor"/>
      </rPr>
      <t>通訊擴充卡</t>
    </r>
    <r>
      <rPr>
        <sz val="12"/>
        <color rgb="FF000000"/>
        <rFont val="Calibri"/>
        <family val="2"/>
        <scheme val="minor"/>
      </rPr>
      <t xml:space="preserve"> Uptech/PCI</t>
    </r>
    <r>
      <rPr>
        <sz val="12"/>
        <color rgb="FF000000"/>
        <rFont val="Calibri"/>
        <family val="2"/>
        <charset val="136"/>
        <scheme val="minor"/>
      </rPr>
      <t>雙埠</t>
    </r>
    <r>
      <rPr>
        <sz val="12"/>
        <color rgb="FF000000"/>
        <rFont val="Calibri"/>
        <family val="2"/>
        <scheme val="minor"/>
      </rPr>
      <t>RS232</t>
    </r>
    <r>
      <rPr>
        <sz val="12"/>
        <color rgb="FF000000"/>
        <rFont val="Calibri"/>
        <family val="2"/>
        <charset val="136"/>
        <scheme val="minor"/>
      </rPr>
      <t>通訊擴充卡</t>
    </r>
  </si>
  <si>
    <r>
      <rPr>
        <sz val="12"/>
        <color rgb="FF000000"/>
        <rFont val="Calibri"/>
        <family val="2"/>
        <charset val="136"/>
        <scheme val="minor"/>
      </rPr>
      <t>軟體</t>
    </r>
    <r>
      <rPr>
        <sz val="12"/>
        <color rgb="FF000000"/>
        <rFont val="Calibri"/>
        <family val="2"/>
        <scheme val="minor"/>
      </rPr>
      <t xml:space="preserve"> Microsoft/Windows 10 Pro 64Bit OEM </t>
    </r>
    <r>
      <rPr>
        <sz val="12"/>
        <color rgb="FF000000"/>
        <rFont val="Calibri"/>
        <family val="2"/>
        <charset val="136"/>
        <scheme val="minor"/>
      </rPr>
      <t>繁體中文版授權</t>
    </r>
  </si>
  <si>
    <r>
      <rPr>
        <sz val="12"/>
        <color rgb="FF000000"/>
        <rFont val="Calibri"/>
        <family val="2"/>
        <charset val="136"/>
        <scheme val="minor"/>
      </rPr>
      <t>軟體</t>
    </r>
    <r>
      <rPr>
        <sz val="12"/>
        <color rgb="FF000000"/>
        <rFont val="Calibri"/>
        <family val="2"/>
        <scheme val="minor"/>
      </rPr>
      <t xml:space="preserve"> Microsoft/Windows 11 Pro 64Bit OEM </t>
    </r>
    <r>
      <rPr>
        <sz val="12"/>
        <color rgb="FF000000"/>
        <rFont val="Calibri"/>
        <family val="2"/>
        <charset val="136"/>
        <scheme val="minor"/>
      </rPr>
      <t>繁體中文版授權</t>
    </r>
  </si>
  <si>
    <r>
      <rPr>
        <sz val="12"/>
        <color rgb="FF000000"/>
        <rFont val="Calibri"/>
        <family val="2"/>
        <scheme val="minor"/>
      </rPr>
      <t>ADVANTECH/WebAccess 8.3 Pro 600 Tags SCADA</t>
    </r>
    <r>
      <rPr>
        <sz val="12"/>
        <color rgb="FF000000"/>
        <rFont val="Calibri"/>
        <family val="2"/>
        <charset val="136"/>
        <scheme val="minor"/>
      </rPr>
      <t>軟體授權</t>
    </r>
    <r>
      <rPr>
        <sz val="12"/>
        <color rgb="FF000000"/>
        <rFont val="Calibri"/>
        <family val="2"/>
        <scheme val="minor"/>
      </rPr>
      <t xml:space="preserve"> USB Key</t>
    </r>
  </si>
  <si>
    <r>
      <rPr>
        <sz val="12"/>
        <color rgb="FF000000"/>
        <rFont val="Calibri"/>
        <family val="2"/>
        <scheme val="minor"/>
      </rPr>
      <t>ADVANTECH/WebAccess 8.4 Pro 150 Tags SCADA</t>
    </r>
    <r>
      <rPr>
        <sz val="12"/>
        <color rgb="FF000000"/>
        <rFont val="Calibri"/>
        <family val="2"/>
        <charset val="136"/>
        <scheme val="minor"/>
      </rPr>
      <t>軟體授權</t>
    </r>
    <r>
      <rPr>
        <sz val="12"/>
        <color rgb="FF000000"/>
        <rFont val="Calibri"/>
        <family val="2"/>
        <scheme val="minor"/>
      </rPr>
      <t xml:space="preserve"> USB Key</t>
    </r>
  </si>
  <si>
    <r>
      <rPr>
        <sz val="12"/>
        <color rgb="FF000000"/>
        <rFont val="Calibri"/>
        <family val="2"/>
        <scheme val="minor"/>
      </rPr>
      <t>ADVANTECH/WebAccess 8.4 Pro 600 Tags SCADA</t>
    </r>
    <r>
      <rPr>
        <sz val="12"/>
        <color rgb="FF000000"/>
        <rFont val="Calibri"/>
        <family val="2"/>
        <charset val="136"/>
        <scheme val="minor"/>
      </rPr>
      <t>軟體授權</t>
    </r>
    <r>
      <rPr>
        <sz val="12"/>
        <color rgb="FF000000"/>
        <rFont val="Calibri"/>
        <family val="2"/>
        <scheme val="minor"/>
      </rPr>
      <t xml:space="preserve"> USB Key</t>
    </r>
  </si>
  <si>
    <r>
      <rPr>
        <sz val="12"/>
        <color rgb="FF000000"/>
        <rFont val="Calibri"/>
        <family val="2"/>
        <charset val="136"/>
        <scheme val="minor"/>
      </rPr>
      <t>支架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溫濕度百葉罩固定支架</t>
    </r>
    <r>
      <rPr>
        <sz val="12"/>
        <color rgb="FF000000"/>
        <rFont val="Calibri"/>
        <family val="2"/>
        <scheme val="minor"/>
      </rPr>
      <t xml:space="preserve"> 8</t>
    </r>
    <r>
      <rPr>
        <sz val="12"/>
        <color rgb="FF000000"/>
        <rFont val="Calibri"/>
        <family val="2"/>
        <charset val="136"/>
        <scheme val="minor"/>
      </rPr>
      <t>孔螺絲固定</t>
    </r>
    <r>
      <rPr>
        <sz val="12"/>
        <color rgb="FF000000"/>
        <rFont val="Calibri"/>
        <family val="2"/>
        <scheme val="minor"/>
      </rPr>
      <t xml:space="preserve"> 11.4x10.6cm</t>
    </r>
  </si>
  <si>
    <r>
      <rPr>
        <sz val="12"/>
        <color rgb="FF000000"/>
        <rFont val="Calibri"/>
        <family val="2"/>
        <charset val="136"/>
        <scheme val="minor"/>
      </rPr>
      <t>支架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溫濕度百葉罩固定支架</t>
    </r>
    <r>
      <rPr>
        <sz val="12"/>
        <color rgb="FF000000"/>
        <rFont val="Calibri"/>
        <family val="2"/>
        <scheme val="minor"/>
      </rPr>
      <t xml:space="preserve"> 9</t>
    </r>
    <r>
      <rPr>
        <sz val="12"/>
        <color rgb="FF000000"/>
        <rFont val="Calibri"/>
        <family val="2"/>
        <charset val="136"/>
        <scheme val="minor"/>
      </rPr>
      <t>孔螺絲固定</t>
    </r>
  </si>
  <si>
    <r>
      <rPr>
        <sz val="12"/>
        <color rgb="FF000000"/>
        <rFont val="Calibri"/>
        <family val="2"/>
        <charset val="136"/>
        <scheme val="minor"/>
      </rPr>
      <t>變送器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溫濕度變送器</t>
    </r>
  </si>
  <si>
    <r>
      <rPr>
        <sz val="12"/>
        <color rgb="FF000000"/>
        <rFont val="Calibri"/>
        <family val="2"/>
        <charset val="136"/>
        <scheme val="minor"/>
      </rPr>
      <t>變送器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溫濕度變送器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華控興業</t>
    </r>
    <r>
      <rPr>
        <sz val="12"/>
        <color rgb="FF000000"/>
        <rFont val="Calibri"/>
        <family val="2"/>
        <scheme val="minor"/>
      </rPr>
      <t xml:space="preserve">/RS485 </t>
    </r>
    <r>
      <rPr>
        <sz val="12"/>
        <color rgb="FF000000"/>
        <rFont val="Calibri"/>
        <family val="2"/>
        <charset val="136"/>
        <scheme val="minor"/>
      </rPr>
      <t>壁掛式</t>
    </r>
    <r>
      <rPr>
        <sz val="12"/>
        <color rgb="FF000000"/>
        <rFont val="Calibri"/>
        <family val="2"/>
        <scheme val="minor"/>
      </rPr>
      <t xml:space="preserve"> 12~24VDC 0~50</t>
    </r>
    <r>
      <rPr>
        <sz val="12"/>
        <color rgb="FF000000"/>
        <rFont val="Calibri"/>
        <family val="2"/>
        <charset val="136"/>
        <scheme val="minor"/>
      </rPr>
      <t>℃</t>
    </r>
  </si>
  <si>
    <r>
      <rPr>
        <sz val="12"/>
        <color rgb="FF000000"/>
        <rFont val="Calibri"/>
        <family val="2"/>
        <charset val="136"/>
        <scheme val="minor"/>
      </rPr>
      <t>華控興業</t>
    </r>
  </si>
  <si>
    <r>
      <rPr>
        <sz val="12"/>
        <color rgb="FF000000"/>
        <rFont val="Calibri"/>
        <family val="2"/>
        <charset val="136"/>
        <scheme val="minor"/>
      </rPr>
      <t>防護罩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溫濕度感測器防輻射罩</t>
    </r>
    <r>
      <rPr>
        <sz val="12"/>
        <color rgb="FF000000"/>
        <rFont val="Calibri"/>
        <family val="2"/>
        <scheme val="minor"/>
      </rPr>
      <t xml:space="preserve"> 85mm 10</t>
    </r>
    <r>
      <rPr>
        <sz val="12"/>
        <color rgb="FF000000"/>
        <rFont val="Calibri"/>
        <family val="2"/>
        <charset val="136"/>
        <scheme val="minor"/>
      </rPr>
      <t>葉型</t>
    </r>
  </si>
  <si>
    <r>
      <rPr>
        <sz val="12"/>
        <color rgb="FF000000"/>
        <rFont val="Calibri"/>
        <family val="2"/>
        <charset val="136"/>
        <scheme val="minor"/>
      </rPr>
      <t>變送器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竟速電子</t>
    </r>
    <r>
      <rPr>
        <sz val="12"/>
        <color rgb="FF000000"/>
        <rFont val="Calibri"/>
        <family val="2"/>
        <scheme val="minor"/>
      </rPr>
      <t>/RS485</t>
    </r>
    <r>
      <rPr>
        <sz val="12"/>
        <color rgb="FF000000"/>
        <rFont val="Calibri"/>
        <family val="2"/>
        <charset val="136"/>
        <scheme val="minor"/>
      </rPr>
      <t>溫濕度變送器</t>
    </r>
  </si>
  <si>
    <r>
      <rPr>
        <sz val="12"/>
        <color rgb="FF000000"/>
        <rFont val="Calibri"/>
        <family val="2"/>
        <charset val="136"/>
        <scheme val="minor"/>
      </rPr>
      <t>竟速電子</t>
    </r>
  </si>
  <si>
    <r>
      <rPr>
        <sz val="12"/>
        <color rgb="FF000000"/>
        <rFont val="Calibri"/>
        <family val="2"/>
        <charset val="136"/>
        <scheme val="minor"/>
      </rPr>
      <t>溫度監測模組</t>
    </r>
  </si>
  <si>
    <r>
      <rPr>
        <sz val="12"/>
        <color rgb="FF000000"/>
        <rFont val="Calibri"/>
        <family val="2"/>
        <charset val="136"/>
        <scheme val="minor"/>
      </rPr>
      <t>感測器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土壤水分溫度電導率感測器</t>
    </r>
    <r>
      <rPr>
        <sz val="12"/>
        <color rgb="FF000000"/>
        <rFont val="Calibri"/>
        <family val="2"/>
        <scheme val="minor"/>
      </rPr>
      <t xml:space="preserve"> RS485 </t>
    </r>
    <r>
      <rPr>
        <sz val="12"/>
        <color rgb="FF000000"/>
        <rFont val="Calibri"/>
        <family val="2"/>
        <charset val="136"/>
        <scheme val="minor"/>
      </rPr>
      <t>三探針</t>
    </r>
  </si>
  <si>
    <r>
      <rPr>
        <sz val="12"/>
        <color rgb="FF000000"/>
        <rFont val="Calibri"/>
        <family val="2"/>
        <charset val="136"/>
        <scheme val="minor"/>
      </rPr>
      <t>感測器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北京華控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Calibri"/>
        <family val="2"/>
        <charset val="136"/>
        <scheme val="minor"/>
      </rPr>
      <t>土壤溫濕度電導率感測器</t>
    </r>
    <r>
      <rPr>
        <sz val="12"/>
        <color rgb="FF000000"/>
        <rFont val="Calibri"/>
        <family val="2"/>
        <scheme val="minor"/>
      </rPr>
      <t xml:space="preserve"> RS485 </t>
    </r>
    <r>
      <rPr>
        <sz val="12"/>
        <color rgb="FF000000"/>
        <rFont val="Calibri"/>
        <family val="2"/>
        <charset val="136"/>
        <scheme val="minor"/>
      </rPr>
      <t>三探針</t>
    </r>
  </si>
  <si>
    <r>
      <rPr>
        <sz val="12"/>
        <color rgb="FF000000"/>
        <rFont val="Calibri"/>
        <family val="2"/>
        <charset val="136"/>
        <scheme val="minor"/>
      </rPr>
      <t>北京華控</t>
    </r>
  </si>
  <si>
    <r>
      <rPr>
        <sz val="12"/>
        <color rgb="FF000000"/>
        <rFont val="Calibri"/>
        <family val="2"/>
        <charset val="136"/>
        <scheme val="minor"/>
      </rPr>
      <t>傳送器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妙觀科技</t>
    </r>
    <r>
      <rPr>
        <sz val="12"/>
        <color rgb="FF000000"/>
        <rFont val="Calibri"/>
        <family val="2"/>
        <scheme val="minor"/>
      </rPr>
      <t>/RS485</t>
    </r>
    <r>
      <rPr>
        <sz val="12"/>
        <color rgb="FF000000"/>
        <rFont val="Calibri"/>
        <family val="2"/>
        <charset val="136"/>
        <scheme val="minor"/>
      </rPr>
      <t>溫濕度變送器</t>
    </r>
  </si>
  <si>
    <r>
      <rPr>
        <sz val="12"/>
        <color rgb="FF000000"/>
        <rFont val="Calibri"/>
        <family val="2"/>
        <charset val="136"/>
        <scheme val="minor"/>
      </rPr>
      <t>妙觀科技</t>
    </r>
  </si>
  <si>
    <r>
      <rPr>
        <sz val="12"/>
        <color rgb="FF000000"/>
        <rFont val="Calibri"/>
        <family val="2"/>
        <charset val="136"/>
        <scheme val="minor"/>
      </rPr>
      <t>底座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溫濕度傳送器安裝底座組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配件包</t>
    </r>
  </si>
  <si>
    <r>
      <rPr>
        <sz val="12"/>
        <color rgb="FF000000"/>
        <rFont val="Calibri"/>
        <family val="2"/>
        <charset val="136"/>
        <scheme val="minor"/>
      </rPr>
      <t>感測器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戶外型溫濕度感測器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含支架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附百葉罩</t>
    </r>
    <r>
      <rPr>
        <sz val="12"/>
        <color rgb="FF000000"/>
        <rFont val="Calibri"/>
        <family val="2"/>
        <scheme val="minor"/>
      </rPr>
      <t xml:space="preserve"> 140mm 6</t>
    </r>
    <r>
      <rPr>
        <sz val="12"/>
        <color rgb="FF000000"/>
        <rFont val="Calibri"/>
        <family val="2"/>
        <charset val="136"/>
        <scheme val="minor"/>
      </rPr>
      <t>葉型</t>
    </r>
  </si>
  <si>
    <r>
      <rPr>
        <sz val="12"/>
        <color rgb="FF000000"/>
        <rFont val="Calibri"/>
        <family val="2"/>
        <charset val="136"/>
        <scheme val="minor"/>
      </rPr>
      <t>傳送器</t>
    </r>
    <r>
      <rPr>
        <sz val="12"/>
        <color rgb="FF000000"/>
        <rFont val="Calibri"/>
        <family val="2"/>
        <scheme val="minor"/>
      </rPr>
      <t xml:space="preserve"> RIXEN/</t>
    </r>
    <r>
      <rPr>
        <sz val="12"/>
        <color rgb="FF000000"/>
        <rFont val="Calibri"/>
        <family val="2"/>
        <charset val="136"/>
        <scheme val="minor"/>
      </rPr>
      <t>溫濕度傳送器</t>
    </r>
  </si>
  <si>
    <r>
      <rPr>
        <sz val="12"/>
        <color rgb="FF000000"/>
        <rFont val="Calibri"/>
        <family val="2"/>
        <charset val="136"/>
        <scheme val="minor"/>
      </rPr>
      <t>百葉罩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戶外溫濕度感測器百葉罩</t>
    </r>
    <r>
      <rPr>
        <sz val="12"/>
        <color rgb="FF000000"/>
        <rFont val="Calibri"/>
        <family val="2"/>
        <scheme val="minor"/>
      </rPr>
      <t xml:space="preserve"> 140mm 6</t>
    </r>
    <r>
      <rPr>
        <sz val="12"/>
        <color rgb="FF000000"/>
        <rFont val="Calibri"/>
        <family val="2"/>
        <charset val="136"/>
        <scheme val="minor"/>
      </rPr>
      <t>葉型</t>
    </r>
  </si>
  <si>
    <r>
      <rPr>
        <sz val="12"/>
        <color rgb="FF000000"/>
        <rFont val="Calibri"/>
        <family val="2"/>
        <charset val="136"/>
        <scheme val="minor"/>
      </rPr>
      <t>感測器</t>
    </r>
    <r>
      <rPr>
        <sz val="12"/>
        <color rgb="FF000000"/>
        <rFont val="Calibri"/>
        <family val="2"/>
        <scheme val="minor"/>
      </rPr>
      <t xml:space="preserve"> 3M/</t>
    </r>
    <r>
      <rPr>
        <sz val="12"/>
        <color rgb="FF000000"/>
        <rFont val="Calibri"/>
        <family val="2"/>
        <charset val="136"/>
        <scheme val="minor"/>
      </rPr>
      <t>漏水檢知帶</t>
    </r>
    <r>
      <rPr>
        <sz val="12"/>
        <color rgb="FF000000"/>
        <rFont val="Calibri"/>
        <family val="2"/>
        <scheme val="minor"/>
      </rPr>
      <t xml:space="preserve"> S-1F 100M(1</t>
    </r>
    <r>
      <rPr>
        <sz val="12"/>
        <color rgb="FF000000"/>
        <rFont val="Calibri"/>
        <family val="2"/>
        <charset val="136"/>
        <scheme val="minor"/>
      </rPr>
      <t>捆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</si>
  <si>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警報器</t>
    </r>
    <r>
      <rPr>
        <sz val="12"/>
        <color rgb="FF000000"/>
        <rFont val="Calibri"/>
        <family val="2"/>
        <scheme val="minor"/>
      </rPr>
      <t xml:space="preserve"> 110V </t>
    </r>
    <r>
      <rPr>
        <sz val="12"/>
        <color rgb="FF000000"/>
        <rFont val="Calibri"/>
        <family val="2"/>
        <charset val="136"/>
        <scheme val="minor"/>
      </rPr>
      <t>火警警報器</t>
    </r>
    <r>
      <rPr>
        <sz val="12"/>
        <color rgb="FF000000"/>
        <rFont val="Calibri"/>
        <family val="2"/>
        <scheme val="minor"/>
      </rPr>
      <t>(</t>
    </r>
    <r>
      <rPr>
        <sz val="12"/>
        <color rgb="FF000000"/>
        <rFont val="Calibri"/>
        <family val="2"/>
        <charset val="136"/>
        <scheme val="minor"/>
      </rPr>
      <t>蜂鳴器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</si>
  <si>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感知器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龍光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Calibri"/>
        <family val="2"/>
        <charset val="136"/>
        <scheme val="minor"/>
      </rPr>
      <t>火警熱感知器</t>
    </r>
    <r>
      <rPr>
        <sz val="12"/>
        <color rgb="FF000000"/>
        <rFont val="Calibri"/>
        <family val="2"/>
        <scheme val="minor"/>
      </rPr>
      <t>(</t>
    </r>
    <r>
      <rPr>
        <sz val="12"/>
        <color rgb="FF000000"/>
        <rFont val="Calibri"/>
        <family val="2"/>
        <charset val="136"/>
        <scheme val="minor"/>
      </rPr>
      <t>消防偵煙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</si>
  <si>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探測器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元和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Calibri"/>
        <family val="2"/>
        <charset val="136"/>
        <scheme val="minor"/>
      </rPr>
      <t>光電式火警探測器</t>
    </r>
  </si>
  <si>
    <r>
      <rPr>
        <sz val="12"/>
        <color rgb="FF000000"/>
        <rFont val="Calibri"/>
        <family val="2"/>
        <charset val="136"/>
        <scheme val="minor"/>
      </rPr>
      <t>元和</t>
    </r>
  </si>
  <si>
    <r>
      <rPr>
        <sz val="12"/>
        <color theme="1"/>
        <rFont val="Calibri"/>
        <family val="2"/>
        <charset val="136"/>
        <scheme val="minor"/>
      </rPr>
      <t>磁簧開關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charset val="136"/>
        <scheme val="minor"/>
      </rPr>
      <t>龍光</t>
    </r>
    <r>
      <rPr>
        <sz val="12"/>
        <color theme="1"/>
        <rFont val="Calibri"/>
        <family val="2"/>
        <scheme val="minor"/>
      </rPr>
      <t>/Garrison LK-152N(</t>
    </r>
    <r>
      <rPr>
        <sz val="12"/>
        <color theme="1"/>
        <rFont val="Calibri"/>
        <family val="2"/>
        <charset val="136"/>
        <scheme val="minor"/>
      </rPr>
      <t>乳白色</t>
    </r>
    <r>
      <rPr>
        <sz val="12"/>
        <color theme="1"/>
        <rFont val="Calibri"/>
        <family val="2"/>
        <scheme val="minor"/>
      </rPr>
      <t>)</t>
    </r>
    <phoneticPr fontId="3" type="noConversion"/>
  </si>
  <si>
    <r>
      <rPr>
        <sz val="12"/>
        <color rgb="FF000000"/>
        <rFont val="Calibri"/>
        <family val="2"/>
        <charset val="136"/>
        <scheme val="minor"/>
      </rPr>
      <t>龍光</t>
    </r>
    <phoneticPr fontId="3" type="noConversion"/>
  </si>
  <si>
    <r>
      <rPr>
        <sz val="12"/>
        <color rgb="FF000000"/>
        <rFont val="Calibri"/>
        <family val="2"/>
        <charset val="136"/>
        <scheme val="minor"/>
      </rPr>
      <t>磁磺開關</t>
    </r>
    <r>
      <rPr>
        <sz val="12"/>
        <color rgb="FF000000"/>
        <rFont val="Calibri"/>
        <family val="2"/>
        <scheme val="minor"/>
      </rPr>
      <t xml:space="preserve"> 0.1A/100 VDC (</t>
    </r>
    <r>
      <rPr>
        <sz val="12"/>
        <color rgb="FF000000"/>
        <rFont val="Calibri"/>
        <family val="2"/>
        <charset val="136"/>
        <scheme val="minor"/>
      </rPr>
      <t>電阻性負載）</t>
    </r>
    <r>
      <rPr>
        <sz val="12"/>
        <color rgb="FF000000"/>
        <rFont val="Calibri"/>
        <family val="2"/>
        <scheme val="minor"/>
      </rPr>
      <t>5 watt (</t>
    </r>
    <r>
      <rPr>
        <sz val="12"/>
        <color rgb="FF000000"/>
        <rFont val="Calibri"/>
        <family val="2"/>
        <charset val="136"/>
        <scheme val="minor"/>
      </rPr>
      <t>電阻性負載</t>
    </r>
    <r>
      <rPr>
        <sz val="12"/>
        <color rgb="FF000000"/>
        <rFont val="Calibri"/>
        <family val="2"/>
        <scheme val="minor"/>
      </rPr>
      <t>) 1.5</t>
    </r>
    <r>
      <rPr>
        <sz val="12"/>
        <color rgb="FF000000"/>
        <rFont val="Calibri"/>
        <family val="2"/>
        <charset val="136"/>
        <scheme val="minor"/>
      </rPr>
      <t>公分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導線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（</t>
    </r>
    <r>
      <rPr>
        <sz val="12"/>
        <color rgb="FF000000"/>
        <rFont val="Calibri"/>
        <family val="2"/>
        <scheme val="minor"/>
      </rPr>
      <t>22AWG) 30</t>
    </r>
    <r>
      <rPr>
        <sz val="12"/>
        <color rgb="FF000000"/>
        <rFont val="Calibri"/>
        <family val="2"/>
        <charset val="136"/>
        <scheme val="minor"/>
      </rPr>
      <t>公分</t>
    </r>
  </si>
  <si>
    <r>
      <rPr>
        <sz val="12"/>
        <color rgb="FF000000"/>
        <rFont val="Calibri"/>
        <family val="2"/>
        <charset val="136"/>
        <scheme val="minor"/>
      </rPr>
      <t>偵測器</t>
    </r>
    <r>
      <rPr>
        <sz val="12"/>
        <color rgb="FF000000"/>
        <rFont val="Calibri"/>
        <family val="2"/>
        <scheme val="minor"/>
      </rPr>
      <t xml:space="preserve"> Garrison/</t>
    </r>
    <r>
      <rPr>
        <sz val="12"/>
        <color rgb="FF000000"/>
        <rFont val="Calibri"/>
        <family val="2"/>
        <charset val="136"/>
        <scheme val="minor"/>
      </rPr>
      <t>電子式玻璃破碎偵測器</t>
    </r>
  </si>
  <si>
    <r>
      <rPr>
        <sz val="12"/>
        <color rgb="FF000000"/>
        <rFont val="Calibri"/>
        <family val="2"/>
        <charset val="136"/>
        <scheme val="minor"/>
      </rPr>
      <t>比流器</t>
    </r>
    <r>
      <rPr>
        <sz val="12"/>
        <color rgb="FF000000"/>
        <rFont val="Calibri"/>
        <family val="2"/>
        <scheme val="minor"/>
      </rPr>
      <t xml:space="preserve"> BCTECHNIC/250A 5A </t>
    </r>
    <r>
      <rPr>
        <sz val="12"/>
        <color rgb="FF000000"/>
        <rFont val="Calibri"/>
        <family val="2"/>
        <charset val="136"/>
        <scheme val="minor"/>
      </rPr>
      <t>分離式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Calibri"/>
        <family val="2"/>
        <charset val="136"/>
        <scheme val="minor"/>
      </rPr>
      <t>夾式</t>
    </r>
  </si>
  <si>
    <r>
      <rPr>
        <sz val="12"/>
        <color rgb="FF000000"/>
        <rFont val="Calibri"/>
        <family val="2"/>
        <charset val="136"/>
        <scheme val="minor"/>
      </rPr>
      <t>比流器</t>
    </r>
    <r>
      <rPr>
        <sz val="12"/>
        <color rgb="FF000000"/>
        <rFont val="Calibri"/>
        <family val="2"/>
        <scheme val="minor"/>
      </rPr>
      <t xml:space="preserve"> BCTECHNIC/50A 5A </t>
    </r>
    <r>
      <rPr>
        <sz val="12"/>
        <color rgb="FF000000"/>
        <rFont val="Calibri"/>
        <family val="2"/>
        <charset val="136"/>
        <scheme val="minor"/>
      </rPr>
      <t>分離式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Calibri"/>
        <family val="2"/>
        <charset val="136"/>
        <scheme val="minor"/>
      </rPr>
      <t>夾式</t>
    </r>
  </si>
  <si>
    <r>
      <rPr>
        <sz val="12"/>
        <color rgb="FF000000"/>
        <rFont val="Calibri"/>
        <family val="2"/>
        <charset val="136"/>
        <scheme val="minor"/>
      </rPr>
      <t>比流器</t>
    </r>
    <r>
      <rPr>
        <sz val="12"/>
        <color rgb="FF000000"/>
        <rFont val="Calibri"/>
        <family val="2"/>
        <scheme val="minor"/>
      </rPr>
      <t xml:space="preserve"> BCTechnic/100A 5A </t>
    </r>
    <r>
      <rPr>
        <sz val="12"/>
        <color rgb="FF000000"/>
        <rFont val="Calibri"/>
        <family val="2"/>
        <charset val="136"/>
        <scheme val="minor"/>
      </rPr>
      <t>分離式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Calibri"/>
        <family val="2"/>
        <charset val="136"/>
        <scheme val="minor"/>
      </rPr>
      <t>夾式</t>
    </r>
  </si>
  <si>
    <r>
      <rPr>
        <sz val="12"/>
        <color rgb="FF000000"/>
        <rFont val="Calibri"/>
        <family val="2"/>
        <charset val="136"/>
        <scheme val="minor"/>
      </rPr>
      <t>三相電力分析儀</t>
    </r>
    <r>
      <rPr>
        <sz val="12"/>
        <color rgb="FF000000"/>
        <rFont val="Calibri"/>
        <family val="2"/>
        <scheme val="minor"/>
      </rPr>
      <t xml:space="preserve"> ADTEK/RS485 Modbus </t>
    </r>
  </si>
  <si>
    <r>
      <rPr>
        <sz val="12"/>
        <color rgb="FF000000"/>
        <rFont val="Calibri"/>
        <family val="2"/>
        <charset val="136"/>
        <scheme val="minor"/>
      </rPr>
      <t>電力分析表</t>
    </r>
    <r>
      <rPr>
        <sz val="12"/>
        <color rgb="FF000000"/>
        <rFont val="Calibri"/>
        <family val="2"/>
        <scheme val="minor"/>
      </rPr>
      <t xml:space="preserve"> ADTEK </t>
    </r>
    <r>
      <rPr>
        <sz val="12"/>
        <color rgb="FF000000"/>
        <rFont val="Calibri"/>
        <family val="2"/>
        <charset val="136"/>
        <scheme val="minor"/>
      </rPr>
      <t>多功能電力分析表</t>
    </r>
  </si>
  <si>
    <r>
      <rPr>
        <sz val="12"/>
        <color rgb="FF000000"/>
        <rFont val="Calibri"/>
        <family val="2"/>
        <charset val="136"/>
        <scheme val="minor"/>
      </rPr>
      <t>電流感測器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穿心式電流感測器</t>
    </r>
  </si>
  <si>
    <r>
      <rPr>
        <sz val="12"/>
        <color rgb="FF000000"/>
        <rFont val="Calibri"/>
        <family val="2"/>
        <charset val="136"/>
        <scheme val="minor"/>
      </rPr>
      <t>比流器</t>
    </r>
    <r>
      <rPr>
        <sz val="12"/>
        <color rgb="FF000000"/>
        <rFont val="Calibri"/>
        <family val="2"/>
        <scheme val="minor"/>
      </rPr>
      <t xml:space="preserve"> ARLIH/</t>
    </r>
    <r>
      <rPr>
        <sz val="12"/>
        <color rgb="FF000000"/>
        <rFont val="Calibri"/>
        <family val="2"/>
        <charset val="136"/>
        <scheme val="minor"/>
      </rPr>
      <t>穿孔式比流器</t>
    </r>
    <r>
      <rPr>
        <sz val="12"/>
        <color rgb="FF000000"/>
        <rFont val="Calibri"/>
        <family val="2"/>
        <scheme val="minor"/>
      </rPr>
      <t xml:space="preserve"> CT 150A/5A </t>
    </r>
  </si>
  <si>
    <r>
      <rPr>
        <sz val="12"/>
        <color rgb="FF000000"/>
        <rFont val="Calibri"/>
        <family val="2"/>
        <charset val="136"/>
        <scheme val="minor"/>
      </rPr>
      <t>比流器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穿孔式比流器</t>
    </r>
    <r>
      <rPr>
        <sz val="12"/>
        <color rgb="FF000000"/>
        <rFont val="Calibri"/>
        <family val="2"/>
        <scheme val="minor"/>
      </rPr>
      <t xml:space="preserve"> CT 200A/5A </t>
    </r>
  </si>
  <si>
    <r>
      <rPr>
        <sz val="12"/>
        <color rgb="FF000000"/>
        <rFont val="Calibri"/>
        <family val="2"/>
        <charset val="136"/>
        <scheme val="minor"/>
      </rPr>
      <t>比流器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穿孔式比流器</t>
    </r>
    <r>
      <rPr>
        <sz val="12"/>
        <color rgb="FF000000"/>
        <rFont val="Calibri"/>
        <family val="2"/>
        <scheme val="minor"/>
      </rPr>
      <t xml:space="preserve"> CT 800A/5A</t>
    </r>
  </si>
  <si>
    <r>
      <rPr>
        <sz val="12"/>
        <color rgb="FF000000"/>
        <rFont val="Calibri"/>
        <family val="2"/>
        <charset val="136"/>
        <scheme val="minor"/>
      </rPr>
      <t>比流器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奕龍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Calibri"/>
        <family val="2"/>
        <charset val="136"/>
        <scheme val="minor"/>
      </rPr>
      <t>貫通式比流器</t>
    </r>
    <r>
      <rPr>
        <sz val="12"/>
        <color rgb="FF000000"/>
        <rFont val="Calibri"/>
        <family val="2"/>
        <scheme val="minor"/>
      </rPr>
      <t xml:space="preserve"> 250/5A 0.6kV</t>
    </r>
  </si>
  <si>
    <r>
      <rPr>
        <sz val="12"/>
        <color rgb="FF000000"/>
        <rFont val="Calibri"/>
        <family val="2"/>
        <charset val="136"/>
        <scheme val="minor"/>
      </rPr>
      <t>奕龍</t>
    </r>
  </si>
  <si>
    <r>
      <rPr>
        <sz val="12"/>
        <color rgb="FF000000"/>
        <rFont val="Calibri"/>
        <family val="2"/>
        <charset val="136"/>
        <scheme val="minor"/>
      </rPr>
      <t>比流器</t>
    </r>
    <r>
      <rPr>
        <sz val="12"/>
        <color rgb="FF000000"/>
        <rFont val="Calibri"/>
        <family val="2"/>
        <scheme val="minor"/>
      </rPr>
      <t xml:space="preserve"> ARLIH/</t>
    </r>
    <r>
      <rPr>
        <sz val="12"/>
        <color rgb="FF000000"/>
        <rFont val="Calibri"/>
        <family val="2"/>
        <charset val="136"/>
        <scheme val="minor"/>
      </rPr>
      <t>分離式</t>
    </r>
    <r>
      <rPr>
        <sz val="12"/>
        <color rgb="FF000000"/>
        <rFont val="Calibri"/>
        <family val="2"/>
        <scheme val="minor"/>
      </rPr>
      <t xml:space="preserve"> 600/5A </t>
    </r>
    <r>
      <rPr>
        <sz val="12"/>
        <color rgb="FF000000"/>
        <rFont val="Calibri"/>
        <family val="2"/>
        <charset val="136"/>
        <scheme val="minor"/>
      </rPr>
      <t>開口式</t>
    </r>
    <r>
      <rPr>
        <sz val="12"/>
        <color rgb="FF000000"/>
        <rFont val="Calibri"/>
        <family val="2"/>
        <scheme val="minor"/>
      </rPr>
      <t>CT</t>
    </r>
  </si>
  <si>
    <r>
      <rPr>
        <sz val="12"/>
        <color rgb="FF000000"/>
        <rFont val="Calibri"/>
        <family val="2"/>
        <charset val="136"/>
        <scheme val="minor"/>
      </rPr>
      <t>比流器</t>
    </r>
    <r>
      <rPr>
        <sz val="12"/>
        <color rgb="FF000000"/>
        <rFont val="Calibri"/>
        <family val="2"/>
        <scheme val="minor"/>
      </rPr>
      <t xml:space="preserve"> ADTEK/</t>
    </r>
    <r>
      <rPr>
        <sz val="12"/>
        <color rgb="FF000000"/>
        <rFont val="Calibri"/>
        <family val="2"/>
        <charset val="136"/>
        <scheme val="minor"/>
      </rPr>
      <t>分離式比流器</t>
    </r>
    <r>
      <rPr>
        <sz val="12"/>
        <color rgb="FF000000"/>
        <rFont val="Calibri"/>
        <family val="2"/>
        <scheme val="minor"/>
      </rPr>
      <t xml:space="preserve"> 5A 333mV </t>
    </r>
    <r>
      <rPr>
        <sz val="12"/>
        <color rgb="FF000000"/>
        <rFont val="Calibri"/>
        <family val="2"/>
        <charset val="136"/>
        <scheme val="minor"/>
      </rPr>
      <t>夾式</t>
    </r>
  </si>
  <si>
    <r>
      <rPr>
        <sz val="12"/>
        <color rgb="FF000000"/>
        <rFont val="Calibri"/>
        <family val="2"/>
        <charset val="136"/>
        <scheme val="minor"/>
      </rPr>
      <t>比流器</t>
    </r>
    <r>
      <rPr>
        <sz val="12"/>
        <color rgb="FF000000"/>
        <rFont val="Calibri"/>
        <family val="2"/>
        <scheme val="minor"/>
      </rPr>
      <t xml:space="preserve"> ADTEK/</t>
    </r>
    <r>
      <rPr>
        <sz val="12"/>
        <color rgb="FF000000"/>
        <rFont val="Calibri"/>
        <family val="2"/>
        <charset val="136"/>
        <scheme val="minor"/>
      </rPr>
      <t>分離式比流器</t>
    </r>
    <r>
      <rPr>
        <sz val="12"/>
        <color rgb="FF000000"/>
        <rFont val="Calibri"/>
        <family val="2"/>
        <scheme val="minor"/>
      </rPr>
      <t xml:space="preserve"> 60A 333mV </t>
    </r>
    <r>
      <rPr>
        <sz val="12"/>
        <color rgb="FF000000"/>
        <rFont val="Calibri"/>
        <family val="2"/>
        <charset val="136"/>
        <scheme val="minor"/>
      </rPr>
      <t>夾式</t>
    </r>
  </si>
  <si>
    <r>
      <rPr>
        <sz val="12"/>
        <color rgb="FF000000"/>
        <rFont val="Calibri"/>
        <family val="2"/>
        <charset val="136"/>
        <scheme val="minor"/>
      </rPr>
      <t>比流器</t>
    </r>
    <r>
      <rPr>
        <sz val="12"/>
        <color rgb="FF000000"/>
        <rFont val="Calibri"/>
        <family val="2"/>
        <scheme val="minor"/>
      </rPr>
      <t xml:space="preserve"> ADTEK/</t>
    </r>
    <r>
      <rPr>
        <sz val="12"/>
        <color rgb="FF000000"/>
        <rFont val="Calibri"/>
        <family val="2"/>
        <charset val="136"/>
        <scheme val="minor"/>
      </rPr>
      <t>分離式比流器</t>
    </r>
    <r>
      <rPr>
        <sz val="12"/>
        <color rgb="FF000000"/>
        <rFont val="Calibri"/>
        <family val="2"/>
        <scheme val="minor"/>
      </rPr>
      <t xml:space="preserve"> 100A 333mV </t>
    </r>
    <r>
      <rPr>
        <sz val="12"/>
        <color rgb="FF000000"/>
        <rFont val="Calibri"/>
        <family val="2"/>
        <charset val="136"/>
        <scheme val="minor"/>
      </rPr>
      <t>夾式</t>
    </r>
  </si>
  <si>
    <r>
      <rPr>
        <sz val="12"/>
        <color rgb="FF000000"/>
        <rFont val="Calibri"/>
        <family val="2"/>
        <charset val="136"/>
        <scheme val="minor"/>
      </rPr>
      <t>感測器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光電式簡易總輻射傳感器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太陽輻射感測器</t>
    </r>
    <r>
      <rPr>
        <sz val="12"/>
        <color rgb="FF000000"/>
        <rFont val="Calibri"/>
        <family val="2"/>
        <scheme val="minor"/>
      </rPr>
      <t xml:space="preserve"> 0~1500W/m² RS485</t>
    </r>
  </si>
  <si>
    <r>
      <rPr>
        <sz val="12"/>
        <color rgb="FF000000"/>
        <rFont val="Calibri"/>
        <family val="2"/>
        <charset val="136"/>
        <scheme val="minor"/>
      </rPr>
      <t>電力表</t>
    </r>
    <r>
      <rPr>
        <sz val="12"/>
        <color rgb="FF000000"/>
        <rFont val="Calibri"/>
        <family val="2"/>
        <scheme val="minor"/>
      </rPr>
      <t xml:space="preserve"> ADTEK/</t>
    </r>
    <r>
      <rPr>
        <sz val="12"/>
        <color rgb="FF000000"/>
        <rFont val="Calibri"/>
        <family val="2"/>
        <charset val="136"/>
        <scheme val="minor"/>
      </rPr>
      <t>多功能電力表</t>
    </r>
    <r>
      <rPr>
        <sz val="12"/>
        <color rgb="FF000000"/>
        <rFont val="Calibri"/>
        <family val="2"/>
        <scheme val="minor"/>
      </rPr>
      <t xml:space="preserve"> CPM-12D </t>
    </r>
    <r>
      <rPr>
        <sz val="12"/>
        <color rgb="FF000000"/>
        <rFont val="Calibri"/>
        <family val="2"/>
        <charset val="136"/>
        <scheme val="minor"/>
      </rPr>
      <t>三相</t>
    </r>
    <r>
      <rPr>
        <sz val="12"/>
        <color rgb="FF000000"/>
        <rFont val="Calibri"/>
        <family val="2"/>
        <scheme val="minor"/>
      </rPr>
      <t xml:space="preserve"> RS-485 Modbus</t>
    </r>
  </si>
  <si>
    <r>
      <rPr>
        <sz val="12"/>
        <color rgb="FF000000"/>
        <rFont val="Calibri"/>
        <family val="2"/>
        <charset val="136"/>
        <scheme val="minor"/>
      </rPr>
      <t>訊號轉換模組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隔離式類比訊號轉換模組</t>
    </r>
  </si>
  <si>
    <r>
      <rPr>
        <sz val="12"/>
        <color rgb="FF000000"/>
        <rFont val="Calibri"/>
        <family val="2"/>
        <charset val="136"/>
        <scheme val="minor"/>
      </rPr>
      <t>通訊轉換模組</t>
    </r>
    <r>
      <rPr>
        <sz val="12"/>
        <color rgb="FF000000"/>
        <rFont val="Calibri"/>
        <family val="2"/>
        <scheme val="minor"/>
      </rPr>
      <t xml:space="preserve"> ADVANTECH/RS232/RS422/RS485 </t>
    </r>
    <r>
      <rPr>
        <sz val="12"/>
        <color rgb="FF000000"/>
        <rFont val="Calibri"/>
        <family val="2"/>
        <charset val="136"/>
        <scheme val="minor"/>
      </rPr>
      <t>光隔離轉換器</t>
    </r>
  </si>
  <si>
    <r>
      <rPr>
        <sz val="12"/>
        <color rgb="FF000000"/>
        <rFont val="Calibri"/>
        <family val="2"/>
        <charset val="136"/>
        <scheme val="minor"/>
      </rPr>
      <t>通訊轉換模組</t>
    </r>
    <r>
      <rPr>
        <sz val="12"/>
        <color rgb="FF000000"/>
        <rFont val="Calibri"/>
        <family val="2"/>
        <scheme val="minor"/>
      </rPr>
      <t xml:space="preserve"> ADVANTECH/USB</t>
    </r>
    <r>
      <rPr>
        <sz val="12"/>
        <color rgb="FF000000"/>
        <rFont val="Calibri"/>
        <family val="2"/>
        <charset val="136"/>
        <scheme val="minor"/>
      </rPr>
      <t>轉</t>
    </r>
    <r>
      <rPr>
        <sz val="12"/>
        <color rgb="FF000000"/>
        <rFont val="Calibri"/>
        <family val="2"/>
        <scheme val="minor"/>
      </rPr>
      <t>RS232/422/485</t>
    </r>
    <r>
      <rPr>
        <sz val="12"/>
        <color rgb="FF000000"/>
        <rFont val="Calibri"/>
        <family val="2"/>
        <charset val="136"/>
        <scheme val="minor"/>
      </rPr>
      <t>隔離通訊轉換器</t>
    </r>
  </si>
  <si>
    <r>
      <rPr>
        <sz val="12"/>
        <color rgb="FF000000"/>
        <rFont val="Calibri"/>
        <family val="2"/>
        <charset val="136"/>
        <scheme val="minor"/>
      </rPr>
      <t>通訊轉換模組</t>
    </r>
    <r>
      <rPr>
        <sz val="12"/>
        <color rgb="FF000000"/>
        <rFont val="Calibri"/>
        <family val="2"/>
        <scheme val="minor"/>
      </rPr>
      <t xml:space="preserve"> ADVANTECH/USB</t>
    </r>
    <r>
      <rPr>
        <sz val="12"/>
        <color rgb="FF000000"/>
        <rFont val="Calibri"/>
        <family val="2"/>
        <charset val="136"/>
        <scheme val="minor"/>
      </rPr>
      <t>轉</t>
    </r>
    <r>
      <rPr>
        <sz val="12"/>
        <color rgb="FF000000"/>
        <rFont val="Calibri"/>
        <family val="2"/>
        <scheme val="minor"/>
      </rPr>
      <t>RS232/422/485</t>
    </r>
    <r>
      <rPr>
        <sz val="12"/>
        <color rgb="FF000000"/>
        <rFont val="Calibri"/>
        <family val="2"/>
        <charset val="136"/>
        <scheme val="minor"/>
      </rPr>
      <t>隔離通訊轉換器</t>
    </r>
    <r>
      <rPr>
        <sz val="12"/>
        <color rgb="FF000000"/>
        <rFont val="Calibri"/>
        <family val="2"/>
        <scheme val="minor"/>
      </rPr>
      <t xml:space="preserve"> (</t>
    </r>
    <r>
      <rPr>
        <sz val="12"/>
        <color rgb="FF000000"/>
        <rFont val="Calibri"/>
        <family val="2"/>
        <charset val="136"/>
        <scheme val="minor"/>
      </rPr>
      <t>缺背蓋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</si>
  <si>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光纖影像接收器</t>
    </r>
  </si>
  <si>
    <r>
      <rPr>
        <sz val="12"/>
        <color rgb="FF000000"/>
        <rFont val="Calibri"/>
        <family val="2"/>
        <charset val="136"/>
        <scheme val="minor"/>
      </rPr>
      <t>閘道器</t>
    </r>
    <r>
      <rPr>
        <sz val="12"/>
        <color rgb="FF000000"/>
        <rFont val="Calibri"/>
        <family val="2"/>
        <scheme val="minor"/>
      </rPr>
      <t xml:space="preserve"> Conel/4G LTE</t>
    </r>
    <r>
      <rPr>
        <sz val="12"/>
        <color rgb="FF000000"/>
        <rFont val="Calibri"/>
        <family val="2"/>
        <charset val="136"/>
        <scheme val="minor"/>
      </rPr>
      <t>工業級行動通訊閘道器</t>
    </r>
  </si>
  <si>
    <r>
      <rPr>
        <sz val="12"/>
        <color rgb="FF000000"/>
        <rFont val="Calibri"/>
        <family val="2"/>
        <charset val="136"/>
        <scheme val="minor"/>
      </rPr>
      <t>轉換器</t>
    </r>
    <r>
      <rPr>
        <sz val="12"/>
        <color rgb="FF000000"/>
        <rFont val="Calibri"/>
        <family val="2"/>
        <scheme val="minor"/>
      </rPr>
      <t xml:space="preserve"> TCS/</t>
    </r>
    <r>
      <rPr>
        <sz val="12"/>
        <color rgb="FF000000"/>
        <rFont val="Calibri"/>
        <family val="2"/>
        <charset val="136"/>
        <scheme val="minor"/>
      </rPr>
      <t>乙太網路轉</t>
    </r>
    <r>
      <rPr>
        <sz val="12"/>
        <color rgb="FF000000"/>
        <rFont val="Calibri"/>
        <family val="2"/>
        <scheme val="minor"/>
      </rPr>
      <t>RS485/RS422</t>
    </r>
    <r>
      <rPr>
        <sz val="12"/>
        <color rgb="FF000000"/>
        <rFont val="Calibri"/>
        <family val="2"/>
        <charset val="136"/>
        <scheme val="minor"/>
      </rPr>
      <t>轉換器</t>
    </r>
  </si>
  <si>
    <r>
      <rPr>
        <sz val="12"/>
        <color rgb="FF000000"/>
        <rFont val="Calibri"/>
        <family val="2"/>
        <charset val="136"/>
        <scheme val="minor"/>
      </rPr>
      <t>通訊模組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數位</t>
    </r>
    <r>
      <rPr>
        <sz val="12"/>
        <color rgb="FF000000"/>
        <rFont val="Calibri"/>
        <family val="2"/>
        <scheme val="minor"/>
      </rPr>
      <t>I/O</t>
    </r>
    <r>
      <rPr>
        <sz val="12"/>
        <color rgb="FF000000"/>
        <rFont val="Calibri"/>
        <family val="2"/>
        <charset val="136"/>
        <scheme val="minor"/>
      </rPr>
      <t>通訊模組</t>
    </r>
  </si>
  <si>
    <r>
      <rPr>
        <sz val="12"/>
        <color rgb="FF000000"/>
        <rFont val="Calibri"/>
        <family val="2"/>
        <charset val="136"/>
        <scheme val="minor"/>
      </rPr>
      <t>通訊模組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通訊轉換模組</t>
    </r>
  </si>
  <si>
    <r>
      <rPr>
        <sz val="12"/>
        <color rgb="FF000000"/>
        <rFont val="Calibri"/>
        <family val="2"/>
        <charset val="136"/>
        <scheme val="minor"/>
      </rPr>
      <t>輸入模組</t>
    </r>
    <r>
      <rPr>
        <sz val="12"/>
        <color rgb="FF000000"/>
        <rFont val="Calibri"/>
        <family val="2"/>
        <scheme val="minor"/>
      </rPr>
      <t xml:space="preserve"> ADVANTECH/8</t>
    </r>
    <r>
      <rPr>
        <sz val="12"/>
        <color rgb="FF000000"/>
        <rFont val="Calibri"/>
        <family val="2"/>
        <charset val="136"/>
        <scheme val="minor"/>
      </rPr>
      <t>路類比輸入模組</t>
    </r>
  </si>
  <si>
    <r>
      <rPr>
        <sz val="12"/>
        <color rgb="FF000000"/>
        <rFont val="Calibri"/>
        <family val="2"/>
        <charset val="136"/>
        <scheme val="minor"/>
      </rPr>
      <t>輸入模組</t>
    </r>
    <r>
      <rPr>
        <sz val="12"/>
        <color rgb="FF000000"/>
        <rFont val="Calibri"/>
        <family val="2"/>
        <scheme val="minor"/>
      </rPr>
      <t xml:space="preserve"> ADVANTECH/8</t>
    </r>
    <r>
      <rPr>
        <sz val="12"/>
        <color rgb="FF000000"/>
        <rFont val="Calibri"/>
        <family val="2"/>
        <charset val="136"/>
        <scheme val="minor"/>
      </rPr>
      <t>路類比輸入模組</t>
    </r>
    <r>
      <rPr>
        <sz val="12"/>
        <color rgb="FF000000"/>
        <rFont val="Calibri"/>
        <family val="2"/>
        <scheme val="minor"/>
      </rPr>
      <t xml:space="preserve"> Modbus RTU</t>
    </r>
  </si>
  <si>
    <r>
      <rPr>
        <sz val="12"/>
        <color rgb="FF000000"/>
        <rFont val="Calibri"/>
        <family val="2"/>
        <scheme val="minor"/>
      </rPr>
      <t>ADVANTECH/</t>
    </r>
    <r>
      <rPr>
        <sz val="12"/>
        <color rgb="FF000000"/>
        <rFont val="Calibri"/>
        <family val="2"/>
        <charset val="136"/>
        <scheme val="minor"/>
      </rPr>
      <t>類比輸入訊號隔離模組</t>
    </r>
  </si>
  <si>
    <r>
      <rPr>
        <sz val="12"/>
        <color rgb="FF000000"/>
        <rFont val="Calibri"/>
        <family val="2"/>
        <charset val="136"/>
        <scheme val="minor"/>
      </rPr>
      <t>控制模組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數位</t>
    </r>
    <r>
      <rPr>
        <sz val="12"/>
        <color rgb="FF000000"/>
        <rFont val="Calibri"/>
        <family val="2"/>
        <scheme val="minor"/>
      </rPr>
      <t>I/O</t>
    </r>
    <r>
      <rPr>
        <sz val="12"/>
        <color rgb="FF000000"/>
        <rFont val="Calibri"/>
        <family val="2"/>
        <charset val="136"/>
        <scheme val="minor"/>
      </rPr>
      <t>控制模組</t>
    </r>
    <r>
      <rPr>
        <sz val="12"/>
        <color rgb="FF000000"/>
        <rFont val="Calibri"/>
        <family val="2"/>
        <scheme val="minor"/>
      </rPr>
      <t xml:space="preserve"> 7DI/8DO RS485 Modbus RTU</t>
    </r>
  </si>
  <si>
    <r>
      <rPr>
        <sz val="12"/>
        <color rgb="FF000000"/>
        <rFont val="Calibri"/>
        <family val="2"/>
        <charset val="136"/>
        <scheme val="minor"/>
      </rPr>
      <t>輸出模組</t>
    </r>
    <r>
      <rPr>
        <sz val="12"/>
        <color rgb="FF000000"/>
        <rFont val="Calibri"/>
        <family val="2"/>
        <scheme val="minor"/>
      </rPr>
      <t xml:space="preserve"> ADVANTECH/8</t>
    </r>
    <r>
      <rPr>
        <sz val="12"/>
        <color rgb="FF000000"/>
        <rFont val="Calibri"/>
        <family val="2"/>
        <charset val="136"/>
        <scheme val="minor"/>
      </rPr>
      <t>路繼電器輸出模組</t>
    </r>
    <r>
      <rPr>
        <sz val="12"/>
        <color rgb="FF000000"/>
        <rFont val="Calibri"/>
        <family val="2"/>
        <scheme val="minor"/>
      </rPr>
      <t xml:space="preserve"> Modbus RTU</t>
    </r>
  </si>
  <si>
    <r>
      <rPr>
        <sz val="12"/>
        <color rgb="FF000000"/>
        <rFont val="Calibri"/>
        <family val="2"/>
        <charset val="136"/>
        <scheme val="minor"/>
      </rPr>
      <t>轉換模組</t>
    </r>
    <r>
      <rPr>
        <sz val="12"/>
        <color rgb="FF000000"/>
        <rFont val="Calibri"/>
        <family val="2"/>
        <scheme val="minor"/>
      </rPr>
      <t xml:space="preserve"> ADVANTECH/RS-232/422/485 </t>
    </r>
    <r>
      <rPr>
        <sz val="12"/>
        <color rgb="FF000000"/>
        <rFont val="Calibri"/>
        <family val="2"/>
        <charset val="136"/>
        <scheme val="minor"/>
      </rPr>
      <t>光纖轉換模組</t>
    </r>
  </si>
  <si>
    <r>
      <rPr>
        <sz val="12"/>
        <color rgb="FF000000"/>
        <rFont val="Calibri"/>
        <family val="2"/>
        <charset val="136"/>
        <scheme val="minor"/>
      </rPr>
      <t>控制模組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數位</t>
    </r>
    <r>
      <rPr>
        <sz val="12"/>
        <color rgb="FF000000"/>
        <rFont val="Calibri"/>
        <family val="2"/>
        <scheme val="minor"/>
      </rPr>
      <t>I/O</t>
    </r>
    <r>
      <rPr>
        <sz val="12"/>
        <color rgb="FF000000"/>
        <rFont val="Calibri"/>
        <family val="2"/>
        <charset val="136"/>
        <scheme val="minor"/>
      </rPr>
      <t>控制模組</t>
    </r>
    <r>
      <rPr>
        <sz val="12"/>
        <color rgb="FF000000"/>
        <rFont val="Calibri"/>
        <family val="2"/>
        <scheme val="minor"/>
      </rPr>
      <t xml:space="preserve"> 16DI</t>
    </r>
  </si>
  <si>
    <r>
      <rPr>
        <sz val="12"/>
        <color rgb="FF000000"/>
        <rFont val="Calibri"/>
        <family val="2"/>
        <charset val="136"/>
        <scheme val="minor"/>
      </rPr>
      <t>控制模組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數位</t>
    </r>
    <r>
      <rPr>
        <sz val="12"/>
        <color rgb="FF000000"/>
        <rFont val="Calibri"/>
        <family val="2"/>
        <scheme val="minor"/>
      </rPr>
      <t>I/O</t>
    </r>
    <r>
      <rPr>
        <sz val="12"/>
        <color rgb="FF000000"/>
        <rFont val="Calibri"/>
        <family val="2"/>
        <charset val="136"/>
        <scheme val="minor"/>
      </rPr>
      <t>控制模組</t>
    </r>
    <r>
      <rPr>
        <sz val="12"/>
        <color rgb="FF000000"/>
        <rFont val="Calibri"/>
        <family val="2"/>
        <scheme val="minor"/>
      </rPr>
      <t xml:space="preserve"> 16DI </t>
    </r>
    <r>
      <rPr>
        <sz val="12"/>
        <color rgb="FF000000"/>
        <rFont val="Calibri"/>
        <family val="2"/>
        <charset val="136"/>
        <scheme val="minor"/>
      </rPr>
      <t>光隔離保護</t>
    </r>
    <r>
      <rPr>
        <sz val="12"/>
        <color rgb="FF000000"/>
        <rFont val="Calibri"/>
        <family val="2"/>
        <scheme val="minor"/>
      </rPr>
      <t xml:space="preserve"> RS485 Modbus RTU LED</t>
    </r>
    <r>
      <rPr>
        <sz val="12"/>
        <color rgb="FF000000"/>
        <rFont val="Calibri"/>
        <family val="2"/>
        <charset val="136"/>
        <scheme val="minor"/>
      </rPr>
      <t>顯示</t>
    </r>
  </si>
  <si>
    <r>
      <rPr>
        <sz val="12"/>
        <color rgb="FF000000"/>
        <rFont val="Calibri"/>
        <family val="2"/>
        <charset val="136"/>
        <scheme val="minor"/>
      </rPr>
      <t>數位輸入模組</t>
    </r>
    <r>
      <rPr>
        <sz val="12"/>
        <color rgb="FF000000"/>
        <rFont val="Calibri"/>
        <family val="2"/>
        <scheme val="minor"/>
      </rPr>
      <t xml:space="preserve"> ADVANTECH/16DI </t>
    </r>
    <r>
      <rPr>
        <sz val="12"/>
        <color rgb="FF000000"/>
        <rFont val="Calibri"/>
        <family val="2"/>
        <charset val="136"/>
        <scheme val="minor"/>
      </rPr>
      <t>隔離數位輸入模組</t>
    </r>
  </si>
  <si>
    <r>
      <rPr>
        <sz val="12"/>
        <color rgb="FF000000"/>
        <rFont val="Calibri"/>
        <family val="2"/>
        <charset val="136"/>
        <scheme val="minor"/>
      </rPr>
      <t>控制器</t>
    </r>
    <r>
      <rPr>
        <sz val="12"/>
        <color rgb="FF000000"/>
        <rFont val="Calibri"/>
        <family val="2"/>
        <scheme val="minor"/>
      </rPr>
      <t xml:space="preserve"> ADVANTECH/Ethernet PAC</t>
    </r>
    <r>
      <rPr>
        <sz val="12"/>
        <color rgb="FF000000"/>
        <rFont val="Calibri"/>
        <family val="2"/>
        <charset val="136"/>
        <scheme val="minor"/>
      </rPr>
      <t>可程式控制器</t>
    </r>
    <r>
      <rPr>
        <sz val="12"/>
        <color rgb="FF000000"/>
        <rFont val="Calibri"/>
        <family val="2"/>
        <scheme val="minor"/>
      </rPr>
      <t xml:space="preserve"> (</t>
    </r>
    <r>
      <rPr>
        <sz val="12"/>
        <color rgb="FF000000"/>
        <rFont val="Calibri"/>
        <family val="2"/>
        <charset val="136"/>
        <scheme val="minor"/>
      </rPr>
      <t>部分殘缺不全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</si>
  <si>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scheme val="minor"/>
      </rPr>
      <t>PAC</t>
    </r>
    <r>
      <rPr>
        <sz val="12"/>
        <color rgb="FF000000"/>
        <rFont val="Calibri"/>
        <family val="2"/>
        <charset val="136"/>
        <scheme val="minor"/>
      </rPr>
      <t>可程式自動化控制器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資料收集與</t>
    </r>
    <r>
      <rPr>
        <sz val="12"/>
        <color rgb="FF000000"/>
        <rFont val="Calibri"/>
        <family val="2"/>
        <scheme val="minor"/>
      </rPr>
      <t>I/O</t>
    </r>
    <r>
      <rPr>
        <sz val="12"/>
        <color rgb="FF000000"/>
        <rFont val="Calibri"/>
        <family val="2"/>
        <charset val="136"/>
        <scheme val="minor"/>
      </rPr>
      <t>控制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資料收集</t>
    </r>
    <r>
      <rPr>
        <sz val="12"/>
        <color rgb="FF000000"/>
        <rFont val="Calibri"/>
        <family val="2"/>
        <scheme val="minor"/>
      </rPr>
      <t xml:space="preserve"> </t>
    </r>
  </si>
  <si>
    <r>
      <rPr>
        <sz val="12"/>
        <color rgb="FF000000"/>
        <rFont val="Calibri"/>
        <family val="2"/>
        <charset val="136"/>
        <scheme val="minor"/>
      </rPr>
      <t>控制器</t>
    </r>
    <r>
      <rPr>
        <sz val="12"/>
        <color rgb="FF000000"/>
        <rFont val="Calibri"/>
        <family val="2"/>
        <scheme val="minor"/>
      </rPr>
      <t xml:space="preserve"> ADVANTECH/SoftLogic PAC</t>
    </r>
    <r>
      <rPr>
        <sz val="12"/>
        <color rgb="FF000000"/>
        <rFont val="Calibri"/>
        <family val="2"/>
        <charset val="136"/>
        <scheme val="minor"/>
      </rPr>
      <t>控制器</t>
    </r>
  </si>
  <si>
    <r>
      <rPr>
        <sz val="12"/>
        <color rgb="FF000000"/>
        <rFont val="Calibri"/>
        <family val="2"/>
        <charset val="136"/>
        <scheme val="minor"/>
      </rPr>
      <t>控制模組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數位</t>
    </r>
    <r>
      <rPr>
        <sz val="12"/>
        <color rgb="FF000000"/>
        <rFont val="Calibri"/>
        <family val="2"/>
        <scheme val="minor"/>
      </rPr>
      <t>I/O</t>
    </r>
    <r>
      <rPr>
        <sz val="12"/>
        <color rgb="FF000000"/>
        <rFont val="Calibri"/>
        <family val="2"/>
        <charset val="136"/>
        <scheme val="minor"/>
      </rPr>
      <t>控制模組</t>
    </r>
    <r>
      <rPr>
        <sz val="12"/>
        <color rgb="FF000000"/>
        <rFont val="Calibri"/>
        <family val="2"/>
        <scheme val="minor"/>
      </rPr>
      <t xml:space="preserve"> 12DI / 6DO RJ45 Ethernet</t>
    </r>
  </si>
  <si>
    <r>
      <rPr>
        <sz val="12"/>
        <color rgb="FF000000"/>
        <rFont val="Calibri"/>
        <family val="2"/>
        <charset val="136"/>
        <scheme val="minor"/>
      </rPr>
      <t>通訊轉換模組</t>
    </r>
    <r>
      <rPr>
        <sz val="12"/>
        <color rgb="FF000000"/>
        <rFont val="Calibri"/>
        <family val="2"/>
        <scheme val="minor"/>
      </rPr>
      <t xml:space="preserve"> CMC RS232/RS485 </t>
    </r>
    <r>
      <rPr>
        <sz val="12"/>
        <color rgb="FF000000"/>
        <rFont val="Calibri"/>
        <family val="2"/>
        <charset val="136"/>
        <scheme val="minor"/>
      </rPr>
      <t>通訊轉換模組</t>
    </r>
  </si>
  <si>
    <r>
      <rPr>
        <sz val="12"/>
        <color rgb="FF000000"/>
        <rFont val="Calibri"/>
        <family val="2"/>
        <charset val="136"/>
        <scheme val="minor"/>
      </rPr>
      <t>控制器</t>
    </r>
    <r>
      <rPr>
        <sz val="12"/>
        <color rgb="FF000000"/>
        <rFont val="Calibri"/>
        <family val="2"/>
        <scheme val="minor"/>
      </rPr>
      <t xml:space="preserve"> Delta/PLC</t>
    </r>
    <r>
      <rPr>
        <sz val="12"/>
        <color rgb="FF000000"/>
        <rFont val="Calibri"/>
        <family val="2"/>
        <charset val="136"/>
        <scheme val="minor"/>
      </rPr>
      <t>可程式控制器</t>
    </r>
  </si>
  <si>
    <r>
      <rPr>
        <sz val="12"/>
        <color rgb="FF000000"/>
        <rFont val="Calibri"/>
        <family val="2"/>
        <scheme val="minor"/>
      </rPr>
      <t>Adtek/8</t>
    </r>
    <r>
      <rPr>
        <sz val="12"/>
        <color rgb="FF000000"/>
        <rFont val="Calibri"/>
        <family val="2"/>
        <charset val="136"/>
        <scheme val="minor"/>
      </rPr>
      <t>點數位輸出模組</t>
    </r>
  </si>
  <si>
    <r>
      <rPr>
        <sz val="12"/>
        <color rgb="FF000000"/>
        <rFont val="Calibri"/>
        <family val="2"/>
        <charset val="136"/>
        <scheme val="minor"/>
      </rPr>
      <t>控制器</t>
    </r>
    <r>
      <rPr>
        <sz val="12"/>
        <color rgb="FF000000"/>
        <rFont val="Calibri"/>
        <family val="2"/>
        <scheme val="minor"/>
      </rPr>
      <t xml:space="preserve"> ICP DAS/</t>
    </r>
    <r>
      <rPr>
        <sz val="12"/>
        <color rgb="FF000000"/>
        <rFont val="Calibri"/>
        <family val="2"/>
        <charset val="136"/>
        <scheme val="minor"/>
      </rPr>
      <t>智慧型控制器</t>
    </r>
    <r>
      <rPr>
        <sz val="12"/>
        <color rgb="FF000000"/>
        <rFont val="Calibri"/>
        <family val="2"/>
        <scheme val="minor"/>
      </rPr>
      <t xml:space="preserve"> RS232 RS485 Ethernet μPAC</t>
    </r>
  </si>
  <si>
    <r>
      <rPr>
        <sz val="12"/>
        <color rgb="FF000000"/>
        <rFont val="Calibri"/>
        <family val="2"/>
        <charset val="136"/>
        <scheme val="minor"/>
      </rPr>
      <t>資料擷取模組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多迴路電力</t>
    </r>
  </si>
  <si>
    <r>
      <rPr>
        <sz val="12"/>
        <color rgb="FF000000"/>
        <rFont val="Calibri"/>
        <family val="2"/>
        <charset val="136"/>
        <scheme val="minor"/>
      </rPr>
      <t>資料擷取模組</t>
    </r>
    <r>
      <rPr>
        <sz val="12"/>
        <color rgb="FF000000"/>
        <rFont val="Calibri"/>
        <family val="2"/>
        <scheme val="minor"/>
      </rPr>
      <t xml:space="preserve"> ADVANTECH/8</t>
    </r>
    <r>
      <rPr>
        <sz val="12"/>
        <color rgb="FF000000"/>
        <rFont val="Calibri"/>
        <family val="2"/>
        <charset val="136"/>
        <scheme val="minor"/>
      </rPr>
      <t>通道熱電偶</t>
    </r>
  </si>
  <si>
    <r>
      <rPr>
        <sz val="12"/>
        <color rgb="FF000000"/>
        <rFont val="Calibri"/>
        <family val="2"/>
        <charset val="136"/>
        <scheme val="minor"/>
      </rPr>
      <t>控制模組</t>
    </r>
    <r>
      <rPr>
        <sz val="12"/>
        <color rgb="FF000000"/>
        <rFont val="Calibri"/>
        <family val="2"/>
        <scheme val="minor"/>
      </rPr>
      <t xml:space="preserve"> ADVANTECH4AI/4DI</t>
    </r>
    <r>
      <rPr>
        <sz val="12"/>
        <color rgb="FF000000"/>
        <rFont val="Calibri"/>
        <family val="2"/>
        <charset val="136"/>
        <scheme val="minor"/>
      </rPr>
      <t>遠端類比</t>
    </r>
  </si>
  <si>
    <r>
      <rPr>
        <sz val="12"/>
        <color rgb="FF000000"/>
        <rFont val="Calibri"/>
        <family val="2"/>
        <charset val="136"/>
        <scheme val="minor"/>
      </rPr>
      <t>資料擷取模組</t>
    </r>
    <r>
      <rPr>
        <sz val="12"/>
        <color rgb="FF000000"/>
        <rFont val="Calibri"/>
        <family val="2"/>
        <scheme val="minor"/>
      </rPr>
      <t xml:space="preserve"> ADVANTECH/8</t>
    </r>
    <r>
      <rPr>
        <sz val="12"/>
        <color rgb="FF000000"/>
        <rFont val="Calibri"/>
        <family val="2"/>
        <charset val="136"/>
        <scheme val="minor"/>
      </rPr>
      <t>通道類比</t>
    </r>
  </si>
  <si>
    <r>
      <rPr>
        <sz val="12"/>
        <color rgb="FF000000"/>
        <rFont val="Calibri"/>
        <family val="2"/>
        <charset val="136"/>
        <scheme val="minor"/>
      </rPr>
      <t>資料擷取模組</t>
    </r>
    <r>
      <rPr>
        <sz val="12"/>
        <color rgb="FF000000"/>
        <rFont val="Calibri"/>
        <family val="2"/>
        <scheme val="minor"/>
      </rPr>
      <t xml:space="preserve"> ADVANTECH/PAC</t>
    </r>
    <r>
      <rPr>
        <sz val="12"/>
        <color rgb="FF000000"/>
        <rFont val="Calibri"/>
        <family val="2"/>
        <charset val="136"/>
        <scheme val="minor"/>
      </rPr>
      <t>資料擷取控制器</t>
    </r>
  </si>
  <si>
    <r>
      <rPr>
        <sz val="12"/>
        <color rgb="FF000000"/>
        <rFont val="Calibri"/>
        <family val="2"/>
        <charset val="136"/>
        <scheme val="minor"/>
      </rPr>
      <t>資料擷取模組</t>
    </r>
    <r>
      <rPr>
        <sz val="12"/>
        <color rgb="FF000000"/>
        <rFont val="Calibri"/>
        <family val="2"/>
        <scheme val="minor"/>
      </rPr>
      <t xml:space="preserve"> ADVANTECH/</t>
    </r>
    <r>
      <rPr>
        <sz val="12"/>
        <color rgb="FF000000"/>
        <rFont val="Calibri"/>
        <family val="2"/>
        <charset val="136"/>
        <scheme val="minor"/>
      </rPr>
      <t>能源資料擷取模組</t>
    </r>
    <r>
      <rPr>
        <sz val="12"/>
        <color rgb="FF000000"/>
        <rFont val="Calibri"/>
        <family val="2"/>
        <scheme val="minor"/>
      </rPr>
      <t xml:space="preserve"> 4×RS-232/422/485 1×LAN Energy Data Concentrator</t>
    </r>
  </si>
  <si>
    <r>
      <rPr>
        <sz val="12"/>
        <color rgb="FF000000"/>
        <rFont val="Calibri"/>
        <family val="2"/>
        <charset val="136"/>
        <scheme val="minor"/>
      </rPr>
      <t>工業資料收集器</t>
    </r>
    <r>
      <rPr>
        <sz val="12"/>
        <color rgb="FF000000"/>
        <rFont val="Calibri"/>
        <family val="2"/>
        <scheme val="minor"/>
      </rPr>
      <t xml:space="preserve"> ADVANTECH/ECU-1251</t>
    </r>
  </si>
  <si>
    <r>
      <rPr>
        <sz val="12"/>
        <color rgb="FF000000"/>
        <rFont val="Calibri"/>
        <family val="2"/>
        <charset val="136"/>
        <scheme val="minor"/>
      </rPr>
      <t>控制器</t>
    </r>
    <r>
      <rPr>
        <sz val="12"/>
        <color rgb="FF000000"/>
        <rFont val="Calibri"/>
        <family val="2"/>
        <scheme val="minor"/>
      </rPr>
      <t xml:space="preserve"> BCT/PID</t>
    </r>
    <r>
      <rPr>
        <sz val="12"/>
        <color rgb="FF000000"/>
        <rFont val="Calibri"/>
        <family val="2"/>
        <charset val="136"/>
        <scheme val="minor"/>
      </rPr>
      <t>控制器</t>
    </r>
    <r>
      <rPr>
        <sz val="12"/>
        <color rgb="FF000000"/>
        <rFont val="Calibri"/>
        <family val="2"/>
        <scheme val="minor"/>
      </rPr>
      <t xml:space="preserve"> PT100/TC RS485 Modbus RTU</t>
    </r>
  </si>
  <si>
    <r>
      <rPr>
        <sz val="12"/>
        <color rgb="FF000000"/>
        <rFont val="Calibri"/>
        <family val="2"/>
        <charset val="136"/>
        <scheme val="minor"/>
      </rPr>
      <t>散熱風扇</t>
    </r>
    <r>
      <rPr>
        <sz val="12"/>
        <color rgb="FF000000"/>
        <rFont val="Calibri"/>
        <family val="2"/>
        <scheme val="minor"/>
      </rPr>
      <t xml:space="preserve"> COMMONWEALTH/AC</t>
    </r>
    <r>
      <rPr>
        <sz val="12"/>
        <color rgb="FF000000"/>
        <rFont val="Calibri"/>
        <family val="2"/>
        <charset val="136"/>
        <scheme val="minor"/>
      </rPr>
      <t>軸流散熱風扇</t>
    </r>
    <r>
      <rPr>
        <sz val="12"/>
        <color rgb="FF000000"/>
        <rFont val="Calibri"/>
        <family val="2"/>
        <scheme val="minor"/>
      </rPr>
      <t xml:space="preserve"> 110~120VAC 80×80×38mm</t>
    </r>
  </si>
  <si>
    <r>
      <rPr>
        <sz val="12"/>
        <color rgb="FF000000"/>
        <rFont val="Calibri"/>
        <family val="2"/>
        <charset val="136"/>
        <scheme val="minor"/>
      </rPr>
      <t>超音波水霧化器</t>
    </r>
    <r>
      <rPr>
        <sz val="12"/>
        <color rgb="FF000000"/>
        <rFont val="Calibri"/>
        <family val="2"/>
        <scheme val="minor"/>
      </rPr>
      <t xml:space="preserve"> Gzer/24VDC</t>
    </r>
  </si>
  <si>
    <r>
      <rPr>
        <sz val="12"/>
        <color rgb="FF000000"/>
        <rFont val="Calibri"/>
        <family val="2"/>
        <charset val="136"/>
        <scheme val="minor"/>
      </rPr>
      <t>環境監控主機</t>
    </r>
    <r>
      <rPr>
        <sz val="12"/>
        <color rgb="FF000000"/>
        <rFont val="Calibri"/>
        <family val="2"/>
        <scheme val="minor"/>
      </rPr>
      <t xml:space="preserve"> RS485</t>
    </r>
    <r>
      <rPr>
        <sz val="12"/>
        <color rgb="FF000000"/>
        <rFont val="Calibri"/>
        <family val="2"/>
        <charset val="136"/>
        <scheme val="minor"/>
      </rPr>
      <t>環境監控資料收集器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可接溫濕度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漏水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煙霧等感測器</t>
    </r>
  </si>
  <si>
    <r>
      <rPr>
        <sz val="12"/>
        <color rgb="FF000000"/>
        <rFont val="Calibri"/>
        <family val="2"/>
        <charset val="136"/>
        <scheme val="minor"/>
      </rPr>
      <t>無線感測節點</t>
    </r>
    <r>
      <rPr>
        <sz val="12"/>
        <color rgb="FF000000"/>
        <rFont val="Calibri"/>
        <family val="2"/>
        <scheme val="minor"/>
      </rPr>
      <t xml:space="preserve"> ADVANTECH/B+B SmartWorx Wireless Mesh</t>
    </r>
  </si>
  <si>
    <r>
      <rPr>
        <sz val="12"/>
        <color rgb="FF000000"/>
        <rFont val="Calibri"/>
        <family val="2"/>
        <charset val="136"/>
        <scheme val="minor"/>
      </rPr>
      <t>控制器</t>
    </r>
    <r>
      <rPr>
        <sz val="12"/>
        <color rgb="FF000000"/>
        <rFont val="Calibri"/>
        <family val="2"/>
        <scheme val="minor"/>
      </rPr>
      <t xml:space="preserve">  ADVANTECH/APAX</t>
    </r>
    <r>
      <rPr>
        <sz val="12"/>
        <color rgb="FF000000"/>
        <rFont val="Calibri"/>
        <family val="2"/>
        <charset val="136"/>
        <scheme val="minor"/>
      </rPr>
      <t>可程式自動化</t>
    </r>
    <r>
      <rPr>
        <sz val="12"/>
        <color rgb="FF000000"/>
        <rFont val="Calibri"/>
        <family val="2"/>
        <scheme val="minor"/>
      </rPr>
      <t>RTU</t>
    </r>
    <r>
      <rPr>
        <sz val="12"/>
        <color rgb="FF000000"/>
        <rFont val="Calibri"/>
        <family val="2"/>
        <charset val="136"/>
        <scheme val="minor"/>
      </rPr>
      <t>控制器</t>
    </r>
    <r>
      <rPr>
        <sz val="12"/>
        <color rgb="FF000000"/>
        <rFont val="Calibri"/>
        <family val="2"/>
        <scheme val="minor"/>
      </rPr>
      <t xml:space="preserve"> APAX-5522PE Linux</t>
    </r>
    <r>
      <rPr>
        <sz val="12"/>
        <color rgb="FF000000"/>
        <rFont val="Calibri"/>
        <family val="2"/>
        <charset val="136"/>
        <scheme val="minor"/>
      </rPr>
      <t>作業系統</t>
    </r>
    <r>
      <rPr>
        <sz val="12"/>
        <color rgb="FF000000"/>
        <rFont val="Calibri"/>
        <family val="2"/>
        <scheme val="minor"/>
      </rPr>
      <t xml:space="preserve"> 2</t>
    </r>
    <r>
      <rPr>
        <sz val="12"/>
        <color rgb="FF000000"/>
        <rFont val="Calibri"/>
        <family val="2"/>
        <charset val="136"/>
        <scheme val="minor"/>
      </rPr>
      <t>埠</t>
    </r>
    <r>
      <rPr>
        <sz val="12"/>
        <color rgb="FF000000"/>
        <rFont val="Calibri"/>
        <family val="2"/>
        <scheme val="minor"/>
      </rPr>
      <t>RS-232 2</t>
    </r>
    <r>
      <rPr>
        <sz val="12"/>
        <color rgb="FF000000"/>
        <rFont val="Calibri"/>
        <family val="2"/>
        <charset val="136"/>
        <scheme val="minor"/>
      </rPr>
      <t>埠</t>
    </r>
    <r>
      <rPr>
        <sz val="12"/>
        <color rgb="FF000000"/>
        <rFont val="Calibri"/>
        <family val="2"/>
        <scheme val="minor"/>
      </rPr>
      <t xml:space="preserve">Ethernet </t>
    </r>
    <r>
      <rPr>
        <sz val="12"/>
        <color rgb="FF000000"/>
        <rFont val="Calibri"/>
        <family val="2"/>
        <charset val="136"/>
        <scheme val="minor"/>
      </rPr>
      <t>支援</t>
    </r>
    <r>
      <rPr>
        <sz val="12"/>
        <color rgb="FF000000"/>
        <rFont val="Calibri"/>
        <family val="2"/>
        <scheme val="minor"/>
      </rPr>
      <t>Modbus RTU/TCP IEC 61850-3</t>
    </r>
  </si>
  <si>
    <r>
      <rPr>
        <sz val="12"/>
        <color rgb="FF000000"/>
        <rFont val="Calibri"/>
        <family val="2"/>
        <scheme val="minor"/>
      </rPr>
      <t>31</t>
    </r>
    <r>
      <rPr>
        <sz val="12"/>
        <color rgb="FF000000"/>
        <rFont val="Calibri"/>
        <family val="2"/>
        <charset val="136"/>
        <scheme val="minor"/>
      </rPr>
      <t>合</t>
    </r>
    <r>
      <rPr>
        <sz val="12"/>
        <color rgb="FF000000"/>
        <rFont val="Calibri"/>
        <family val="2"/>
        <scheme val="minor"/>
      </rPr>
      <t>1</t>
    </r>
    <r>
      <rPr>
        <sz val="12"/>
        <color rgb="FF000000"/>
        <rFont val="Calibri"/>
        <family val="2"/>
        <charset val="136"/>
        <scheme val="minor"/>
      </rPr>
      <t>電子維修起子組</t>
    </r>
  </si>
  <si>
    <r>
      <rPr>
        <sz val="12"/>
        <color rgb="FF000000"/>
        <rFont val="Calibri"/>
        <family val="2"/>
        <charset val="136"/>
        <scheme val="minor"/>
      </rPr>
      <t>裸端子棘輪壓接鉗</t>
    </r>
    <r>
      <rPr>
        <sz val="12"/>
        <color rgb="FF000000"/>
        <rFont val="Calibri"/>
        <family val="2"/>
        <scheme val="minor"/>
      </rPr>
      <t xml:space="preserve"> YI-202</t>
    </r>
  </si>
  <si>
    <r>
      <rPr>
        <sz val="12"/>
        <color rgb="FF000000"/>
        <rFont val="Calibri"/>
        <family val="2"/>
        <charset val="136"/>
        <scheme val="minor"/>
      </rPr>
      <t>防護</t>
    </r>
    <r>
      <rPr>
        <sz val="12"/>
        <color rgb="FF000000"/>
        <rFont val="Calibri"/>
        <family val="2"/>
        <scheme val="minor"/>
      </rPr>
      <t xml:space="preserve"> LED</t>
    </r>
    <r>
      <rPr>
        <sz val="12"/>
        <color rgb="FF000000"/>
        <rFont val="Calibri"/>
        <family val="2"/>
        <charset val="136"/>
        <scheme val="minor"/>
      </rPr>
      <t>反光安全背心</t>
    </r>
    <r>
      <rPr>
        <sz val="12"/>
        <color rgb="FF000000"/>
        <rFont val="Calibri"/>
        <family val="2"/>
        <scheme val="minor"/>
      </rPr>
      <t xml:space="preserve"> L</t>
    </r>
    <r>
      <rPr>
        <sz val="12"/>
        <color rgb="FF000000"/>
        <rFont val="Calibri"/>
        <family val="2"/>
        <charset val="136"/>
        <scheme val="minor"/>
      </rPr>
      <t>號</t>
    </r>
    <r>
      <rPr>
        <sz val="12"/>
        <color rgb="FF000000"/>
        <rFont val="Calibri"/>
        <family val="2"/>
        <scheme val="minor"/>
      </rPr>
      <t>(</t>
    </r>
    <r>
      <rPr>
        <sz val="12"/>
        <color rgb="FF000000"/>
        <rFont val="Calibri"/>
        <family val="2"/>
        <charset val="136"/>
        <scheme val="minor"/>
      </rPr>
      <t>螢光黃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</si>
  <si>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防護</t>
    </r>
    <r>
      <rPr>
        <sz val="12"/>
        <color rgb="FF000000"/>
        <rFont val="Calibri"/>
        <family val="2"/>
        <scheme val="minor"/>
      </rPr>
      <t xml:space="preserve"> LED</t>
    </r>
    <r>
      <rPr>
        <sz val="12"/>
        <color rgb="FF000000"/>
        <rFont val="Calibri"/>
        <family val="2"/>
        <charset val="136"/>
        <scheme val="minor"/>
      </rPr>
      <t>反光安全背心</t>
    </r>
    <r>
      <rPr>
        <sz val="12"/>
        <color rgb="FF000000"/>
        <rFont val="Calibri"/>
        <family val="2"/>
        <scheme val="minor"/>
      </rPr>
      <t xml:space="preserve"> XL</t>
    </r>
    <r>
      <rPr>
        <sz val="12"/>
        <color rgb="FF000000"/>
        <rFont val="Calibri"/>
        <family val="2"/>
        <charset val="136"/>
        <scheme val="minor"/>
      </rPr>
      <t>號</t>
    </r>
    <r>
      <rPr>
        <sz val="12"/>
        <color rgb="FF000000"/>
        <rFont val="Calibri"/>
        <family val="2"/>
        <scheme val="minor"/>
      </rPr>
      <t>(</t>
    </r>
    <r>
      <rPr>
        <sz val="12"/>
        <color rgb="FF000000"/>
        <rFont val="Calibri"/>
        <family val="2"/>
        <charset val="136"/>
        <scheme val="minor"/>
      </rPr>
      <t>螢光橘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</si>
  <si>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防護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工業用防護頭盔</t>
    </r>
    <r>
      <rPr>
        <sz val="12"/>
        <color rgb="FF000000"/>
        <rFont val="Calibri"/>
        <family val="2"/>
        <scheme val="minor"/>
      </rPr>
      <t xml:space="preserve"> CNS1336 </t>
    </r>
    <r>
      <rPr>
        <sz val="12"/>
        <color rgb="FF000000"/>
        <rFont val="Calibri"/>
        <family val="2"/>
        <charset val="136"/>
        <scheme val="minor"/>
      </rPr>
      <t>藍色</t>
    </r>
    <r>
      <rPr>
        <sz val="12"/>
        <color rgb="FF000000"/>
        <rFont val="Calibri"/>
        <family val="2"/>
        <scheme val="minor"/>
      </rPr>
      <t xml:space="preserve"> 330</t>
    </r>
    <r>
      <rPr>
        <sz val="12"/>
        <color rgb="FF000000"/>
        <rFont val="Calibri"/>
        <family val="2"/>
        <charset val="136"/>
        <scheme val="minor"/>
      </rPr>
      <t>公克</t>
    </r>
  </si>
  <si>
    <r>
      <rPr>
        <sz val="12"/>
        <color rgb="FF000000"/>
        <rFont val="Calibri"/>
        <family val="2"/>
        <charset val="136"/>
        <scheme val="minor"/>
      </rPr>
      <t>仲傑實業</t>
    </r>
  </si>
  <si>
    <r>
      <rPr>
        <sz val="12"/>
        <color rgb="FF000000"/>
        <rFont val="Calibri"/>
        <family val="2"/>
        <charset val="136"/>
        <scheme val="minor"/>
      </rPr>
      <t>防護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防靜電浴帽</t>
    </r>
  </si>
  <si>
    <r>
      <rPr>
        <sz val="12"/>
        <color rgb="FF000000"/>
        <rFont val="Calibri"/>
        <family val="2"/>
        <charset val="136"/>
        <scheme val="minor"/>
      </rPr>
      <t>防護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Calibri"/>
        <family val="2"/>
        <charset val="136"/>
        <scheme val="minor"/>
      </rPr>
      <t>防靜電工作外套</t>
    </r>
  </si>
  <si>
    <r>
      <rPr>
        <sz val="12"/>
        <color rgb="FF000000"/>
        <rFont val="Calibri"/>
        <family val="2"/>
        <charset val="136"/>
        <scheme val="minor"/>
      </rPr>
      <t>防護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Calibri"/>
        <family val="2"/>
        <charset val="136"/>
        <scheme val="minor"/>
      </rPr>
      <t>防靜電工作褲</t>
    </r>
  </si>
  <si>
    <r>
      <rPr>
        <sz val="12"/>
        <color rgb="FF000000"/>
        <rFont val="Calibri"/>
        <family val="2"/>
        <charset val="136"/>
        <scheme val="minor"/>
      </rPr>
      <t>防護面罩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Calibri"/>
        <family val="2"/>
        <charset val="136"/>
        <scheme val="minor"/>
      </rPr>
      <t>安全帽</t>
    </r>
  </si>
  <si>
    <r>
      <rPr>
        <sz val="12"/>
        <color rgb="FF000000"/>
        <rFont val="Calibri"/>
        <family val="2"/>
        <charset val="136"/>
        <scheme val="minor"/>
      </rPr>
      <t>防護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Calibri"/>
        <family val="2"/>
        <charset val="136"/>
        <scheme val="minor"/>
      </rPr>
      <t>全身背負式安全帶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迷彩伸縮帶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雙大鉤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尺寸</t>
    </r>
    <r>
      <rPr>
        <sz val="12"/>
        <color rgb="FF000000"/>
        <rFont val="Calibri"/>
        <family val="2"/>
        <scheme val="minor"/>
      </rPr>
      <t xml:space="preserve">M </t>
    </r>
    <r>
      <rPr>
        <sz val="12"/>
        <color rgb="FF000000"/>
        <rFont val="Calibri"/>
        <family val="2"/>
        <charset val="136"/>
        <scheme val="minor"/>
      </rPr>
      <t>白金系列繩帶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繫鎖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緩衝包</t>
    </r>
    <r>
      <rPr>
        <sz val="12"/>
        <color rgb="FF000000"/>
        <rFont val="Calibri"/>
        <family val="2"/>
        <scheme val="minor"/>
      </rPr>
      <t xml:space="preserve"> (</t>
    </r>
    <r>
      <rPr>
        <sz val="12"/>
        <color rgb="FF000000"/>
        <rFont val="Calibri"/>
        <family val="2"/>
        <charset val="136"/>
        <scheme val="minor"/>
      </rPr>
      <t>整組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</si>
  <si>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巨力</t>
    </r>
  </si>
  <si>
    <r>
      <rPr>
        <sz val="12"/>
        <color rgb="FF000000"/>
        <rFont val="Calibri"/>
        <family val="2"/>
        <charset val="136"/>
        <scheme val="minor"/>
      </rPr>
      <t>防護</t>
    </r>
    <r>
      <rPr>
        <sz val="12"/>
        <color rgb="FF000000"/>
        <rFont val="Calibri"/>
        <family val="2"/>
        <scheme val="minor"/>
      </rPr>
      <t xml:space="preserve">  LED</t>
    </r>
    <r>
      <rPr>
        <sz val="12"/>
        <color rgb="FF000000"/>
        <rFont val="Calibri"/>
        <family val="2"/>
        <charset val="136"/>
        <scheme val="minor"/>
      </rPr>
      <t>警示反光背心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紅色</t>
    </r>
  </si>
  <si>
    <r>
      <rPr>
        <sz val="12"/>
        <color rgb="FF000000"/>
        <rFont val="Calibri"/>
        <family val="2"/>
        <charset val="136"/>
        <scheme val="minor"/>
      </rPr>
      <t>防護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Calibri"/>
        <family val="2"/>
        <charset val="136"/>
        <scheme val="minor"/>
      </rPr>
      <t>網布反光背心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橘色</t>
    </r>
  </si>
  <si>
    <r>
      <rPr>
        <sz val="12"/>
        <color rgb="FF000000"/>
        <rFont val="Calibri"/>
        <family val="2"/>
        <charset val="136"/>
        <scheme val="minor"/>
      </rPr>
      <t>防護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Calibri"/>
        <family val="2"/>
        <charset val="136"/>
        <scheme val="minor"/>
      </rPr>
      <t>網布反光背心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白色</t>
    </r>
  </si>
  <si>
    <r>
      <rPr>
        <sz val="12"/>
        <color rgb="FF000000"/>
        <rFont val="Calibri"/>
        <family val="2"/>
        <charset val="136"/>
        <scheme val="minor"/>
      </rPr>
      <t>防護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網布材質反光背心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高反光條拉鍊式多口袋設計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黑色</t>
    </r>
    <r>
      <rPr>
        <sz val="12"/>
        <color rgb="FF000000"/>
        <rFont val="Calibri"/>
        <family val="2"/>
        <scheme val="minor"/>
      </rPr>
      <t xml:space="preserve"> XL </t>
    </r>
  </si>
  <si>
    <r>
      <rPr>
        <sz val="12"/>
        <color rgb="FF000000"/>
        <rFont val="Calibri"/>
        <family val="2"/>
        <charset val="136"/>
        <scheme val="minor"/>
      </rPr>
      <t>防護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工程安全帽附頭燈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黃色</t>
    </r>
  </si>
  <si>
    <r>
      <rPr>
        <sz val="12"/>
        <color rgb="FF000000"/>
        <rFont val="Calibri"/>
        <family val="2"/>
        <charset val="136"/>
        <scheme val="minor"/>
      </rPr>
      <t>防護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工地用安全防護鞋</t>
    </r>
  </si>
  <si>
    <r>
      <rPr>
        <sz val="12"/>
        <color rgb="FF000000"/>
        <rFont val="Calibri"/>
        <family val="2"/>
        <charset val="136"/>
        <scheme val="minor"/>
      </rPr>
      <t>薛宇舜
徐宏城</t>
    </r>
  </si>
  <si>
    <r>
      <rPr>
        <sz val="12"/>
        <color rgb="FF000000"/>
        <rFont val="Calibri"/>
        <family val="2"/>
        <charset val="136"/>
        <scheme val="minor"/>
      </rPr>
      <t>保管
保管</t>
    </r>
  </si>
  <si>
    <r>
      <rPr>
        <sz val="12"/>
        <color rgb="FF000000"/>
        <rFont val="Calibri"/>
        <family val="2"/>
        <charset val="136"/>
        <scheme val="minor"/>
      </rPr>
      <t>起子機</t>
    </r>
    <r>
      <rPr>
        <sz val="12"/>
        <color rgb="FF000000"/>
        <rFont val="Calibri"/>
        <family val="2"/>
        <scheme val="minor"/>
      </rPr>
      <t xml:space="preserve"> Durofix/18V 2.Ah </t>
    </r>
    <r>
      <rPr>
        <sz val="12"/>
        <color rgb="FF000000"/>
        <rFont val="Calibri"/>
        <family val="2"/>
        <charset val="136"/>
        <scheme val="minor"/>
      </rPr>
      <t>鋰充電式衝擊起子機套組</t>
    </r>
    <r>
      <rPr>
        <sz val="12"/>
        <color rgb="FF000000"/>
        <rFont val="Calibri"/>
        <family val="2"/>
        <scheme val="minor"/>
      </rPr>
      <t xml:space="preserve"> (</t>
    </r>
    <r>
      <rPr>
        <sz val="12"/>
        <color rgb="FF000000"/>
        <rFont val="Calibri"/>
        <family val="2"/>
        <charset val="136"/>
        <scheme val="minor"/>
      </rPr>
      <t>內含</t>
    </r>
    <r>
      <rPr>
        <sz val="12"/>
        <color rgb="FF000000"/>
        <rFont val="Calibri"/>
        <family val="2"/>
        <scheme val="minor"/>
      </rPr>
      <t>18V</t>
    </r>
    <r>
      <rPr>
        <sz val="12"/>
        <color rgb="FF000000"/>
        <rFont val="Calibri"/>
        <family val="2"/>
        <charset val="136"/>
        <scheme val="minor"/>
      </rPr>
      <t>鋰電池</t>
    </r>
    <r>
      <rPr>
        <sz val="12"/>
        <color rgb="FF000000"/>
        <rFont val="Calibri"/>
        <family val="2"/>
        <scheme val="minor"/>
      </rPr>
      <t>×2</t>
    </r>
    <r>
      <rPr>
        <sz val="12"/>
        <color rgb="FF000000"/>
        <rFont val="Calibri"/>
        <family val="2"/>
        <charset val="136"/>
        <scheme val="minor"/>
      </rPr>
      <t>、充電器、塑膠工具箱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</si>
  <si>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鎚鑽</t>
    </r>
    <r>
      <rPr>
        <sz val="12"/>
        <color rgb="FF000000"/>
        <rFont val="Calibri"/>
        <family val="2"/>
        <scheme val="minor"/>
      </rPr>
      <t xml:space="preserve"> BOSCH/SDS-Plus</t>
    </r>
    <r>
      <rPr>
        <sz val="12"/>
        <color rgb="FF000000"/>
        <rFont val="Calibri"/>
        <family val="2"/>
        <charset val="136"/>
        <scheme val="minor"/>
      </rPr>
      <t>四溝免出力鎚鑽</t>
    </r>
    <r>
      <rPr>
        <sz val="12"/>
        <color rgb="FF000000"/>
        <rFont val="Calibri"/>
        <family val="2"/>
        <scheme val="minor"/>
      </rPr>
      <t xml:space="preserve"> GBH 2-26 RE 800W</t>
    </r>
  </si>
  <si>
    <r>
      <rPr>
        <sz val="12"/>
        <color rgb="FF000000"/>
        <rFont val="Calibri"/>
        <family val="2"/>
        <charset val="136"/>
        <scheme val="minor"/>
      </rPr>
      <t>角磨機</t>
    </r>
    <r>
      <rPr>
        <sz val="12"/>
        <color rgb="FF000000"/>
        <rFont val="Calibri"/>
        <family val="2"/>
        <scheme val="minor"/>
      </rPr>
      <t xml:space="preserve"> BOSCH/4</t>
    </r>
    <r>
      <rPr>
        <sz val="12"/>
        <color rgb="FF000000"/>
        <rFont val="Calibri"/>
        <family val="2"/>
        <charset val="136"/>
        <scheme val="minor"/>
      </rPr>
      <t>吋角磨機</t>
    </r>
    <r>
      <rPr>
        <sz val="12"/>
        <color rgb="FF000000"/>
        <rFont val="Calibri"/>
        <family val="2"/>
        <scheme val="minor"/>
      </rPr>
      <t xml:space="preserve"> Professional 720W (</t>
    </r>
    <r>
      <rPr>
        <sz val="12"/>
        <color rgb="FF000000"/>
        <rFont val="Calibri"/>
        <family val="2"/>
        <charset val="136"/>
        <scheme val="minor"/>
      </rPr>
      <t>內含護目鏡、砂輪片數片、塑膠工具箱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</si>
  <si>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震動電鑽</t>
    </r>
    <r>
      <rPr>
        <sz val="12"/>
        <color rgb="FF000000"/>
        <rFont val="Calibri"/>
        <family val="2"/>
        <scheme val="minor"/>
      </rPr>
      <t xml:space="preserve"> Makita/13mm 710W 110V(</t>
    </r>
    <r>
      <rPr>
        <sz val="12"/>
        <color rgb="FF000000"/>
        <rFont val="Calibri"/>
        <family val="2"/>
        <charset val="136"/>
        <scheme val="minor"/>
      </rPr>
      <t>內含側把手、深度尺、電源線、塑膠工具箱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</si>
  <si>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門禁卡</t>
    </r>
    <r>
      <rPr>
        <sz val="12"/>
        <color rgb="FF000000"/>
        <rFont val="Calibri"/>
        <family val="2"/>
        <scheme val="minor"/>
      </rPr>
      <t xml:space="preserve"> HID/</t>
    </r>
    <r>
      <rPr>
        <sz val="12"/>
        <color rgb="FF000000"/>
        <rFont val="Calibri"/>
        <family val="2"/>
        <charset val="136"/>
        <scheme val="minor"/>
      </rPr>
      <t>非接觸式感應門禁卡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白色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卡片式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型號及感應頻率待確認</t>
    </r>
  </si>
  <si>
    <r>
      <rPr>
        <sz val="12"/>
        <color rgb="FF000000"/>
        <rFont val="Calibri"/>
        <family val="2"/>
        <charset val="136"/>
        <scheme val="minor"/>
      </rPr>
      <t>巡更點卡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非接觸式巡邏站感應卡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白色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紅字</t>
    </r>
    <r>
      <rPr>
        <sz val="12"/>
        <color rgb="FF000000"/>
        <rFont val="Calibri"/>
        <family val="2"/>
        <scheme val="minor"/>
      </rPr>
      <t xml:space="preserve"> </t>
    </r>
  </si>
  <si>
    <r>
      <rPr>
        <sz val="12"/>
        <color rgb="FF000000"/>
        <rFont val="Calibri"/>
        <family val="2"/>
        <charset val="136"/>
        <scheme val="minor"/>
      </rPr>
      <t>燈泡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通用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Calibri"/>
        <family val="2"/>
        <charset val="136"/>
        <scheme val="minor"/>
      </rPr>
      <t>微型白熾燈泡</t>
    </r>
    <r>
      <rPr>
        <sz val="12"/>
        <color rgb="FF000000"/>
        <rFont val="Calibri"/>
        <family val="2"/>
        <scheme val="minor"/>
      </rPr>
      <t xml:space="preserve"> 24V </t>
    </r>
    <r>
      <rPr>
        <sz val="12"/>
        <color rgb="FF000000"/>
        <rFont val="Calibri"/>
        <family val="2"/>
        <charset val="136"/>
        <scheme val="minor"/>
      </rPr>
      <t>玻璃球徑</t>
    </r>
    <r>
      <rPr>
        <sz val="12"/>
        <color rgb="FF000000"/>
        <rFont val="Calibri"/>
        <family val="2"/>
        <scheme val="minor"/>
      </rPr>
      <t xml:space="preserve">10mm </t>
    </r>
    <r>
      <rPr>
        <sz val="12"/>
        <color rgb="FF000000"/>
        <rFont val="Calibri"/>
        <family val="2"/>
        <charset val="136"/>
        <scheme val="minor"/>
      </rPr>
      <t>螺口型</t>
    </r>
    <r>
      <rPr>
        <sz val="12"/>
        <color rgb="FF000000"/>
        <rFont val="Calibri"/>
        <family val="2"/>
        <scheme val="minor"/>
      </rPr>
      <t xml:space="preserve"> </t>
    </r>
  </si>
  <si>
    <r>
      <rPr>
        <sz val="12"/>
        <color rgb="FF000000"/>
        <rFont val="Calibri"/>
        <family val="2"/>
        <charset val="136"/>
        <scheme val="minor"/>
      </rPr>
      <t>鍵盤</t>
    </r>
    <r>
      <rPr>
        <sz val="12"/>
        <color rgb="FF000000"/>
        <rFont val="Calibri"/>
        <family val="2"/>
        <scheme val="minor"/>
      </rPr>
      <t xml:space="preserve"> LOGITECH/</t>
    </r>
    <r>
      <rPr>
        <sz val="12"/>
        <color rgb="FF000000"/>
        <rFont val="Calibri"/>
        <family val="2"/>
        <charset val="136"/>
        <scheme val="minor"/>
      </rPr>
      <t>有線多媒體鍵盤</t>
    </r>
    <r>
      <rPr>
        <sz val="12"/>
        <color rgb="FF000000"/>
        <rFont val="Calibri"/>
        <family val="2"/>
        <scheme val="minor"/>
      </rPr>
      <t xml:space="preserve"> K200 Y-U0041 USB </t>
    </r>
    <r>
      <rPr>
        <sz val="12"/>
        <color rgb="FF000000"/>
        <rFont val="Calibri"/>
        <family val="2"/>
        <charset val="136"/>
        <scheme val="minor"/>
      </rPr>
      <t>繁體中文注音配置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全尺寸含數字鍵</t>
    </r>
    <r>
      <rPr>
        <sz val="12"/>
        <color rgb="FF000000"/>
        <rFont val="Calibri"/>
        <family val="2"/>
        <scheme val="minor"/>
      </rPr>
      <t xml:space="preserve"> 8</t>
    </r>
    <r>
      <rPr>
        <sz val="12"/>
        <color rgb="FF000000"/>
        <rFont val="Calibri"/>
        <family val="2"/>
        <charset val="136"/>
        <scheme val="minor"/>
      </rPr>
      <t>個快捷鍵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黑色</t>
    </r>
    <r>
      <rPr>
        <sz val="12"/>
        <color rgb="FF000000"/>
        <rFont val="Calibri"/>
        <family val="2"/>
        <scheme val="minor"/>
      </rPr>
      <t xml:space="preserve"> 5VDC 100mA P/N 820-010139</t>
    </r>
  </si>
  <si>
    <r>
      <rPr>
        <sz val="12"/>
        <color rgb="FF000000"/>
        <rFont val="Calibri"/>
        <family val="2"/>
        <charset val="136"/>
        <scheme val="minor"/>
      </rPr>
      <t>鍵盤滑鼠組</t>
    </r>
    <r>
      <rPr>
        <sz val="12"/>
        <color rgb="FF000000"/>
        <rFont val="Calibri"/>
        <family val="2"/>
        <scheme val="minor"/>
      </rPr>
      <t xml:space="preserve"> Logitech Media Combo (</t>
    </r>
    <r>
      <rPr>
        <sz val="12"/>
        <color rgb="FF000000"/>
        <rFont val="Calibri"/>
        <family val="2"/>
        <charset val="136"/>
        <scheme val="minor"/>
      </rPr>
      <t>鍵盤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</si>
  <si>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鍵盤滑鼠組</t>
    </r>
    <r>
      <rPr>
        <sz val="12"/>
        <color rgb="FF000000"/>
        <rFont val="Calibri"/>
        <family val="2"/>
        <scheme val="minor"/>
      </rPr>
      <t xml:space="preserve"> Logitech Media Combo (</t>
    </r>
    <r>
      <rPr>
        <sz val="12"/>
        <color rgb="FF000000"/>
        <rFont val="Calibri"/>
        <family val="2"/>
        <charset val="136"/>
        <scheme val="minor"/>
      </rPr>
      <t>滑鼠</t>
    </r>
    <r>
      <rPr>
        <sz val="12"/>
        <color rgb="FF000000"/>
        <rFont val="Calibri"/>
        <family val="2"/>
        <scheme val="minor"/>
      </rPr>
      <t>)</t>
    </r>
  </si>
  <si>
    <r>
      <rPr>
        <sz val="12"/>
        <color rgb="FF000000"/>
        <rFont val="Calibri"/>
        <family val="2"/>
        <charset val="136"/>
        <scheme val="minor"/>
      </rPr>
      <t>滑鼠</t>
    </r>
    <r>
      <rPr>
        <sz val="12"/>
        <color rgb="FF000000"/>
        <rFont val="Calibri"/>
        <family val="2"/>
        <scheme val="minor"/>
      </rPr>
      <t xml:space="preserve"> LOGITECH/</t>
    </r>
    <r>
      <rPr>
        <sz val="12"/>
        <color rgb="FF000000"/>
        <rFont val="Calibri"/>
        <family val="2"/>
        <charset val="136"/>
        <scheme val="minor"/>
      </rPr>
      <t>有線光學滑鼠</t>
    </r>
    <r>
      <rPr>
        <sz val="12"/>
        <color rgb="FF000000"/>
        <rFont val="Calibri"/>
        <family val="2"/>
        <scheme val="minor"/>
      </rPr>
      <t xml:space="preserve"> M-U0026 USB 3</t>
    </r>
    <r>
      <rPr>
        <sz val="12"/>
        <color rgb="FF000000"/>
        <rFont val="Calibri"/>
        <family val="2"/>
        <charset val="136"/>
        <scheme val="minor"/>
      </rPr>
      <t>鍵含滾輪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黑色</t>
    </r>
  </si>
  <si>
    <r>
      <rPr>
        <sz val="12"/>
        <color rgb="FF000000"/>
        <rFont val="Calibri"/>
        <family val="2"/>
        <charset val="136"/>
        <scheme val="minor"/>
      </rPr>
      <t>燒錄機</t>
    </r>
    <r>
      <rPr>
        <sz val="12"/>
        <color rgb="FF000000"/>
        <rFont val="Calibri"/>
        <family val="2"/>
        <scheme val="minor"/>
      </rPr>
      <t xml:space="preserve"> ASUS/</t>
    </r>
    <r>
      <rPr>
        <sz val="12"/>
        <color rgb="FF000000"/>
        <rFont val="Calibri"/>
        <family val="2"/>
        <charset val="136"/>
        <scheme val="minor"/>
      </rPr>
      <t>外接式</t>
    </r>
    <r>
      <rPr>
        <sz val="12"/>
        <color rgb="FF000000"/>
        <rFont val="Calibri"/>
        <family val="2"/>
        <scheme val="minor"/>
      </rPr>
      <t>DVD</t>
    </r>
    <r>
      <rPr>
        <sz val="12"/>
        <color rgb="FF000000"/>
        <rFont val="Calibri"/>
        <family val="2"/>
        <charset val="136"/>
        <scheme val="minor"/>
      </rPr>
      <t>燒錄機</t>
    </r>
    <r>
      <rPr>
        <sz val="12"/>
        <color rgb="FF000000"/>
        <rFont val="Calibri"/>
        <family val="2"/>
        <scheme val="minor"/>
      </rPr>
      <t xml:space="preserve"> USB</t>
    </r>
    <r>
      <rPr>
        <sz val="12"/>
        <color rgb="FF000000"/>
        <rFont val="Calibri"/>
        <family val="2"/>
        <charset val="136"/>
        <scheme val="minor"/>
      </rPr>
      <t>薄型</t>
    </r>
    <r>
      <rPr>
        <sz val="12"/>
        <color rgb="FF000000"/>
        <rFont val="Calibri"/>
        <family val="2"/>
        <scheme val="minor"/>
      </rPr>
      <t xml:space="preserve"> DVD±RW </t>
    </r>
    <r>
      <rPr>
        <sz val="12"/>
        <color rgb="FF000000"/>
        <rFont val="Calibri"/>
        <family val="2"/>
        <charset val="136"/>
        <scheme val="minor"/>
      </rPr>
      <t>白色</t>
    </r>
  </si>
  <si>
    <r>
      <rPr>
        <sz val="12"/>
        <color rgb="FF000000"/>
        <rFont val="Calibri"/>
        <family val="2"/>
        <charset val="136"/>
        <scheme val="minor"/>
      </rPr>
      <t>文具櫃</t>
    </r>
  </si>
  <si>
    <r>
      <rPr>
        <sz val="12"/>
        <color rgb="FF000000"/>
        <rFont val="Calibri"/>
        <family val="2"/>
        <charset val="136"/>
        <scheme val="minor"/>
      </rPr>
      <t>黑碳機立體聲喇叭</t>
    </r>
  </si>
  <si>
    <r>
      <rPr>
        <sz val="12"/>
        <color rgb="FF000000"/>
        <rFont val="Calibri"/>
        <family val="2"/>
        <charset val="136"/>
        <scheme val="minor"/>
      </rPr>
      <t>鍵盤滑鼠組</t>
    </r>
    <r>
      <rPr>
        <sz val="12"/>
        <color rgb="FF000000"/>
        <rFont val="Calibri"/>
        <family val="2"/>
        <scheme val="minor"/>
      </rPr>
      <t xml:space="preserve"> Microsoft/</t>
    </r>
    <r>
      <rPr>
        <sz val="12"/>
        <color rgb="FF000000"/>
        <rFont val="Calibri"/>
        <family val="2"/>
        <charset val="136"/>
        <scheme val="minor"/>
      </rPr>
      <t>標準有線</t>
    </r>
    <r>
      <rPr>
        <sz val="12"/>
        <color rgb="FF000000"/>
        <rFont val="Calibri"/>
        <family val="2"/>
        <scheme val="minor"/>
      </rPr>
      <t xml:space="preserve"> Wired 600 Desktop </t>
    </r>
    <r>
      <rPr>
        <sz val="12"/>
        <color rgb="FF000000"/>
        <rFont val="Calibri"/>
        <family val="2"/>
        <charset val="136"/>
        <scheme val="minor"/>
      </rPr>
      <t>無聲按鍵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防潑水</t>
    </r>
  </si>
  <si>
    <r>
      <rPr>
        <sz val="12"/>
        <color rgb="FF000000"/>
        <rFont val="Calibri"/>
        <family val="2"/>
        <charset val="136"/>
        <scheme val="minor"/>
      </rPr>
      <t>電池</t>
    </r>
    <r>
      <rPr>
        <sz val="12"/>
        <color rgb="FF000000"/>
        <rFont val="Calibri"/>
        <family val="2"/>
        <scheme val="minor"/>
      </rPr>
      <t xml:space="preserve"> Tekcell/AA</t>
    </r>
    <r>
      <rPr>
        <sz val="12"/>
        <color rgb="FF000000"/>
        <rFont val="Calibri"/>
        <family val="2"/>
        <charset val="136"/>
        <scheme val="minor"/>
      </rPr>
      <t>鹼性電池</t>
    </r>
  </si>
  <si>
    <r>
      <rPr>
        <sz val="12"/>
        <color rgb="FF000000"/>
        <rFont val="Calibri"/>
        <family val="2"/>
        <charset val="136"/>
        <scheme val="minor"/>
      </rPr>
      <t>研磨砂輪片</t>
    </r>
    <r>
      <rPr>
        <sz val="12"/>
        <color rgb="FF000000"/>
        <rFont val="Calibri"/>
        <family val="2"/>
        <scheme val="minor"/>
      </rPr>
      <t xml:space="preserve"> HITACHI/100×6×16mm A24-Q</t>
    </r>
  </si>
  <si>
    <t>C-ADV-ECU-1051TL-R10AAE</t>
    <phoneticPr fontId="3" type="noConversion"/>
  </si>
  <si>
    <t>C105-AC-C14-C13-180CM</t>
    <phoneticPr fontId="3" type="noConversion"/>
  </si>
  <si>
    <t>C105-AC-TW3P-C13-310CM</t>
    <phoneticPr fontId="3" type="noConversion"/>
  </si>
  <si>
    <r>
      <rPr>
        <sz val="12"/>
        <color theme="1"/>
        <rFont val="Calibri"/>
        <family val="2"/>
        <charset val="136"/>
        <scheme val="minor"/>
      </rPr>
      <t>延長線</t>
    </r>
    <r>
      <rPr>
        <sz val="12"/>
        <color theme="1"/>
        <rFont val="Calibri"/>
        <family val="2"/>
        <scheme val="minor"/>
      </rPr>
      <t xml:space="preserve"> LOROM C14</t>
    </r>
    <r>
      <rPr>
        <sz val="12"/>
        <color theme="1"/>
        <rFont val="Calibri"/>
        <family val="2"/>
        <charset val="136"/>
        <scheme val="minor"/>
      </rPr>
      <t>公／</t>
    </r>
    <r>
      <rPr>
        <sz val="12"/>
        <color theme="1"/>
        <rFont val="Calibri"/>
        <family val="2"/>
        <scheme val="minor"/>
      </rPr>
      <t>C13</t>
    </r>
    <r>
      <rPr>
        <sz val="12"/>
        <color theme="1"/>
        <rFont val="Calibri"/>
        <family val="2"/>
        <charset val="136"/>
        <scheme val="minor"/>
      </rPr>
      <t>母</t>
    </r>
    <r>
      <rPr>
        <sz val="12"/>
        <color theme="1"/>
        <rFont val="Calibri"/>
        <family val="2"/>
        <scheme val="minor"/>
      </rPr>
      <t xml:space="preserve"> 180CM 3</t>
    </r>
    <r>
      <rPr>
        <sz val="12"/>
        <color theme="1"/>
        <rFont val="Calibri"/>
        <family val="2"/>
        <charset val="136"/>
        <scheme val="minor"/>
      </rPr>
      <t>芯</t>
    </r>
    <r>
      <rPr>
        <sz val="12"/>
        <color theme="1"/>
        <rFont val="Calibri"/>
        <family val="2"/>
        <scheme val="minor"/>
      </rPr>
      <t xml:space="preserve">×1mm² </t>
    </r>
    <r>
      <rPr>
        <sz val="12"/>
        <color theme="1"/>
        <rFont val="Calibri"/>
        <family val="2"/>
        <charset val="136"/>
        <scheme val="minor"/>
      </rPr>
      <t>接頭額定</t>
    </r>
    <r>
      <rPr>
        <sz val="12"/>
        <color theme="1"/>
        <rFont val="Calibri"/>
        <family val="2"/>
        <scheme val="minor"/>
      </rPr>
      <t xml:space="preserve">10A/250V </t>
    </r>
    <r>
      <rPr>
        <sz val="12"/>
        <color theme="1"/>
        <rFont val="Calibri"/>
        <family val="2"/>
        <charset val="136"/>
        <scheme val="minor"/>
      </rPr>
      <t>黑色</t>
    </r>
    <phoneticPr fontId="3" type="noConversion"/>
  </si>
  <si>
    <r>
      <rPr>
        <sz val="12"/>
        <color theme="1"/>
        <rFont val="Calibri"/>
        <family val="2"/>
        <charset val="136"/>
        <scheme val="minor"/>
      </rPr>
      <t>樂榮工業</t>
    </r>
    <phoneticPr fontId="3" type="noConversion"/>
  </si>
  <si>
    <r>
      <rPr>
        <sz val="12"/>
        <color theme="1"/>
        <rFont val="Calibri"/>
        <family val="2"/>
        <charset val="136"/>
        <scheme val="minor"/>
      </rPr>
      <t>電腦電源線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charset val="136"/>
        <scheme val="minor"/>
      </rPr>
      <t>電腦電源線</t>
    </r>
    <r>
      <rPr>
        <sz val="12"/>
        <color theme="1"/>
        <rFont val="Calibri"/>
        <family val="2"/>
        <scheme val="minor"/>
      </rPr>
      <t xml:space="preserve"> CHENG-SHUNG </t>
    </r>
    <r>
      <rPr>
        <sz val="12"/>
        <color theme="1"/>
        <rFont val="Calibri"/>
        <family val="2"/>
        <charset val="136"/>
        <scheme val="minor"/>
      </rPr>
      <t>三插轉</t>
    </r>
    <r>
      <rPr>
        <sz val="12"/>
        <color theme="1"/>
        <rFont val="Calibri"/>
        <family val="2"/>
        <scheme val="minor"/>
      </rPr>
      <t>C13</t>
    </r>
    <r>
      <rPr>
        <sz val="12"/>
        <color theme="1"/>
        <rFont val="Calibri"/>
        <family val="2"/>
        <charset val="136"/>
        <scheme val="minor"/>
      </rPr>
      <t>母</t>
    </r>
    <r>
      <rPr>
        <sz val="12"/>
        <color theme="1"/>
        <rFont val="Calibri"/>
        <family val="2"/>
        <scheme val="minor"/>
      </rPr>
      <t xml:space="preserve"> 310CM SVT</t>
    </r>
    <r>
      <rPr>
        <sz val="12"/>
        <color theme="1"/>
        <rFont val="Calibri"/>
        <family val="2"/>
        <charset val="136"/>
        <scheme val="minor"/>
      </rPr>
      <t>、</t>
    </r>
    <r>
      <rPr>
        <sz val="12"/>
        <color theme="1"/>
        <rFont val="Calibri"/>
        <family val="2"/>
        <scheme val="minor"/>
      </rPr>
      <t>18AWG</t>
    </r>
    <r>
      <rPr>
        <sz val="12"/>
        <color theme="1"/>
        <rFont val="Calibri"/>
        <family val="2"/>
        <charset val="136"/>
        <scheme val="minor"/>
      </rPr>
      <t>、</t>
    </r>
    <r>
      <rPr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charset val="136"/>
        <scheme val="minor"/>
      </rPr>
      <t>芯</t>
    </r>
    <r>
      <rPr>
        <sz val="12"/>
        <color theme="1"/>
        <rFont val="Calibri"/>
        <family val="2"/>
        <scheme val="minor"/>
      </rPr>
      <t xml:space="preserve">×0.824mm² </t>
    </r>
    <r>
      <rPr>
        <sz val="12"/>
        <color theme="1"/>
        <rFont val="Calibri"/>
        <family val="2"/>
        <charset val="136"/>
        <scheme val="minor"/>
      </rPr>
      <t>黑色</t>
    </r>
    <r>
      <rPr>
        <sz val="12"/>
        <color theme="1"/>
        <rFont val="Calibri"/>
        <family val="2"/>
        <scheme val="minor"/>
      </rPr>
      <t xml:space="preserve"> </t>
    </r>
    <phoneticPr fontId="3" type="noConversion"/>
  </si>
  <si>
    <t>C105-AC-C14-C13-200CM</t>
    <phoneticPr fontId="3" type="noConversion"/>
  </si>
  <si>
    <t>C105-AC-TW3P-C13-180CM</t>
    <phoneticPr fontId="3" type="noConversion"/>
  </si>
  <si>
    <t>C105-AC-C14-C13-100CM</t>
    <phoneticPr fontId="3" type="noConversion"/>
  </si>
  <si>
    <t>X504-ASUS-0K100</t>
    <phoneticPr fontId="3" type="noConversion"/>
  </si>
  <si>
    <t>B3</t>
    <phoneticPr fontId="3" type="noConversion"/>
  </si>
  <si>
    <t>C105-CK3146-180CM</t>
    <phoneticPr fontId="3" type="noConversion"/>
  </si>
  <si>
    <t>SYNCO</t>
    <phoneticPr fontId="3" type="noConversion"/>
  </si>
  <si>
    <t>C12</t>
    <phoneticPr fontId="3" type="noConversion"/>
  </si>
  <si>
    <r>
      <rPr>
        <sz val="12"/>
        <color rgb="FF000000"/>
        <rFont val="Calibri"/>
        <family val="2"/>
        <charset val="136"/>
        <scheme val="minor"/>
      </rPr>
      <t>轉換器</t>
    </r>
    <r>
      <rPr>
        <sz val="12"/>
        <color rgb="FF000000"/>
        <rFont val="Calibri"/>
        <family val="2"/>
        <scheme val="minor"/>
      </rPr>
      <t xml:space="preserve"> Uptech/VGA</t>
    </r>
    <r>
      <rPr>
        <sz val="12"/>
        <color rgb="FF000000"/>
        <rFont val="Calibri"/>
        <family val="2"/>
        <charset val="136"/>
        <scheme val="minor"/>
      </rPr>
      <t>轉</t>
    </r>
    <r>
      <rPr>
        <sz val="12"/>
        <color rgb="FF000000"/>
        <rFont val="Calibri"/>
        <family val="2"/>
        <scheme val="minor"/>
      </rPr>
      <t>HDMI</t>
    </r>
    <r>
      <rPr>
        <sz val="12"/>
        <color rgb="FF000000"/>
        <rFont val="Calibri"/>
        <family val="2"/>
        <charset val="136"/>
        <scheme val="minor"/>
      </rPr>
      <t>轉換器</t>
    </r>
    <r>
      <rPr>
        <sz val="12"/>
        <color rgb="FF000000"/>
        <rFont val="Calibri"/>
        <family val="2"/>
        <scheme val="minor"/>
      </rPr>
      <t xml:space="preserve">  1080P</t>
    </r>
    <phoneticPr fontId="3" type="noConversion"/>
  </si>
  <si>
    <r>
      <rPr>
        <sz val="12"/>
        <color theme="1"/>
        <rFont val="Calibri"/>
        <family val="2"/>
        <charset val="136"/>
        <scheme val="minor"/>
      </rPr>
      <t>延長線</t>
    </r>
    <r>
      <rPr>
        <sz val="12"/>
        <color theme="1"/>
        <rFont val="Calibri"/>
        <family val="2"/>
        <scheme val="minor"/>
      </rPr>
      <t xml:space="preserve"> SYNCO </t>
    </r>
    <r>
      <rPr>
        <sz val="12"/>
        <color theme="1"/>
        <rFont val="Calibri"/>
        <family val="2"/>
        <charset val="136"/>
        <scheme val="minor"/>
      </rPr>
      <t>新格牌</t>
    </r>
    <r>
      <rPr>
        <sz val="12"/>
        <color theme="1"/>
        <rFont val="Calibri"/>
        <family val="2"/>
        <scheme val="minor"/>
      </rPr>
      <t xml:space="preserve"> CK3146 1</t>
    </r>
    <r>
      <rPr>
        <sz val="12"/>
        <color theme="1"/>
        <rFont val="Calibri"/>
        <family val="2"/>
        <charset val="136"/>
        <scheme val="minor"/>
      </rPr>
      <t>開</t>
    </r>
    <r>
      <rPr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charset val="136"/>
        <scheme val="minor"/>
      </rPr>
      <t>座三孔</t>
    </r>
    <r>
      <rPr>
        <sz val="12"/>
        <color theme="1"/>
        <rFont val="Calibri"/>
        <family val="2"/>
        <scheme val="minor"/>
      </rPr>
      <t xml:space="preserve"> 180CM 125VAC</t>
    </r>
    <r>
      <rPr>
        <sz val="12"/>
        <color theme="1"/>
        <rFont val="Calibri"/>
        <family val="2"/>
        <charset val="136"/>
        <scheme val="minor"/>
      </rPr>
      <t>、</t>
    </r>
    <r>
      <rPr>
        <sz val="12"/>
        <color theme="1"/>
        <rFont val="Calibri"/>
        <family val="2"/>
        <scheme val="minor"/>
      </rPr>
      <t>15A</t>
    </r>
    <r>
      <rPr>
        <sz val="12"/>
        <color theme="1"/>
        <rFont val="Calibri"/>
        <family val="2"/>
        <charset val="136"/>
        <scheme val="minor"/>
      </rPr>
      <t>、最大</t>
    </r>
    <r>
      <rPr>
        <sz val="12"/>
        <color theme="1"/>
        <rFont val="Calibri"/>
        <family val="2"/>
        <scheme val="minor"/>
      </rPr>
      <t>1,650W</t>
    </r>
    <r>
      <rPr>
        <sz val="12"/>
        <color theme="1"/>
        <rFont val="Calibri"/>
        <family val="2"/>
        <charset val="136"/>
        <scheme val="minor"/>
      </rPr>
      <t>、白色</t>
    </r>
    <phoneticPr fontId="3" type="noConversion"/>
  </si>
  <si>
    <r>
      <rPr>
        <sz val="12"/>
        <color theme="1"/>
        <rFont val="Calibri"/>
        <family val="2"/>
        <charset val="136"/>
        <scheme val="minor"/>
      </rPr>
      <t>滑鼠</t>
    </r>
    <r>
      <rPr>
        <sz val="12"/>
        <color theme="1"/>
        <rFont val="Calibri"/>
        <family val="2"/>
        <scheme val="minor"/>
      </rPr>
      <t xml:space="preserve"> ASUS 0K100-00090800</t>
    </r>
    <phoneticPr fontId="3" type="noConversion"/>
  </si>
  <si>
    <t>C11</t>
    <phoneticPr fontId="3" type="noConversion"/>
  </si>
  <si>
    <t>C103-VGA-MM-150CM</t>
    <phoneticPr fontId="3" type="noConversion"/>
  </si>
  <si>
    <r>
      <t>VGA</t>
    </r>
    <r>
      <rPr>
        <sz val="12"/>
        <color rgb="FF000000"/>
        <rFont val="Calibri"/>
        <family val="2"/>
        <charset val="136"/>
        <scheme val="minor"/>
      </rPr>
      <t>螢幕訊號線</t>
    </r>
    <r>
      <rPr>
        <sz val="12"/>
        <color rgb="FF000000"/>
        <rFont val="Calibri"/>
        <family val="2"/>
        <scheme val="minor"/>
      </rPr>
      <t xml:space="preserve"> 15</t>
    </r>
    <r>
      <rPr>
        <sz val="12"/>
        <color rgb="FF000000"/>
        <rFont val="Calibri"/>
        <family val="2"/>
        <charset val="136"/>
        <scheme val="minor"/>
      </rPr>
      <t>針公對公</t>
    </r>
    <r>
      <rPr>
        <sz val="12"/>
        <color rgb="FF000000"/>
        <rFont val="Calibri"/>
        <family val="2"/>
        <scheme val="minor"/>
      </rPr>
      <t xml:space="preserve"> 150CM</t>
    </r>
    <phoneticPr fontId="3" type="noConversion"/>
  </si>
  <si>
    <t>A303-BRACKET-230X90</t>
    <phoneticPr fontId="3" type="noConversion"/>
  </si>
  <si>
    <t>C105-PU-2011H-470CM</t>
    <phoneticPr fontId="3" type="noConversion"/>
  </si>
  <si>
    <r>
      <rPr>
        <sz val="12"/>
        <color theme="1"/>
        <rFont val="Calibri"/>
        <family val="2"/>
        <charset val="136"/>
        <scheme val="minor"/>
      </rPr>
      <t>設備固定支架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charset val="136"/>
        <scheme val="minor"/>
      </rPr>
      <t>金屬折彎多孔式</t>
    </r>
    <r>
      <rPr>
        <sz val="12"/>
        <color theme="1"/>
        <rFont val="Calibri"/>
        <family val="2"/>
        <scheme val="minor"/>
      </rPr>
      <t xml:space="preserve"> 230×90mm</t>
    </r>
    <phoneticPr fontId="3" type="noConversion"/>
  </si>
  <si>
    <r>
      <rPr>
        <sz val="12"/>
        <color theme="1"/>
        <rFont val="Calibri"/>
        <family val="2"/>
        <charset val="136"/>
        <scheme val="minor"/>
      </rPr>
      <t>延長線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charset val="136"/>
        <scheme val="minor"/>
      </rPr>
      <t>保護傘</t>
    </r>
    <r>
      <rPr>
        <sz val="12"/>
        <color theme="1"/>
        <rFont val="Calibri"/>
        <family val="2"/>
        <scheme val="minor"/>
      </rPr>
      <t>/2</t>
    </r>
    <r>
      <rPr>
        <sz val="12"/>
        <color theme="1"/>
        <rFont val="Calibri"/>
        <family val="2"/>
        <charset val="136"/>
        <scheme val="minor"/>
      </rPr>
      <t>孔防脫落中繼線</t>
    </r>
    <r>
      <rPr>
        <sz val="12"/>
        <color theme="1"/>
        <rFont val="Calibri"/>
        <family val="2"/>
        <scheme val="minor"/>
      </rPr>
      <t xml:space="preserve"> PU-2011H 470CM 15A 125V </t>
    </r>
    <r>
      <rPr>
        <sz val="12"/>
        <color theme="1"/>
        <rFont val="Calibri"/>
        <family val="2"/>
        <charset val="136"/>
        <scheme val="minor"/>
      </rPr>
      <t>合計最大</t>
    </r>
    <r>
      <rPr>
        <sz val="12"/>
        <color theme="1"/>
        <rFont val="Calibri"/>
        <family val="2"/>
        <scheme val="minor"/>
      </rPr>
      <t>1,650W VCTF 2</t>
    </r>
    <r>
      <rPr>
        <sz val="12"/>
        <color theme="1"/>
        <rFont val="Calibri"/>
        <family val="2"/>
        <charset val="136"/>
        <scheme val="minor"/>
      </rPr>
      <t>芯</t>
    </r>
    <r>
      <rPr>
        <sz val="12"/>
        <color theme="1"/>
        <rFont val="Calibri"/>
        <family val="2"/>
        <scheme val="minor"/>
      </rPr>
      <t xml:space="preserve">×2mm² </t>
    </r>
    <r>
      <rPr>
        <sz val="12"/>
        <color theme="1"/>
        <rFont val="Calibri"/>
        <family val="2"/>
        <charset val="136"/>
        <scheme val="minor"/>
      </rPr>
      <t>白色</t>
    </r>
    <r>
      <rPr>
        <sz val="12"/>
        <color theme="1"/>
        <rFont val="Calibri"/>
        <family val="2"/>
        <scheme val="minor"/>
      </rPr>
      <t xml:space="preserve"> 2018</t>
    </r>
    <r>
      <rPr>
        <sz val="12"/>
        <color theme="1"/>
        <rFont val="Calibri"/>
        <family val="2"/>
        <charset val="136"/>
        <scheme val="minor"/>
      </rPr>
      <t>年製造</t>
    </r>
    <phoneticPr fontId="3" type="noConversion"/>
  </si>
  <si>
    <t>C100-LAN-CAT5E-UUTP-510CM</t>
    <phoneticPr fontId="3" type="noConversion"/>
  </si>
  <si>
    <r>
      <rPr>
        <sz val="12"/>
        <color theme="1"/>
        <rFont val="Calibri"/>
        <family val="2"/>
        <charset val="136"/>
        <scheme val="minor"/>
      </rPr>
      <t>網路線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charset val="136"/>
        <scheme val="minor"/>
      </rPr>
      <t>通用</t>
    </r>
    <r>
      <rPr>
        <sz val="12"/>
        <color theme="1"/>
        <rFont val="Calibri"/>
        <family val="2"/>
        <scheme val="minor"/>
      </rPr>
      <t>/CAT5e UTP</t>
    </r>
    <r>
      <rPr>
        <sz val="12"/>
        <color theme="1"/>
        <rFont val="Calibri"/>
        <family val="2"/>
        <charset val="136"/>
        <scheme val="minor"/>
      </rPr>
      <t>非遮蔽網路跳線</t>
    </r>
    <r>
      <rPr>
        <sz val="12"/>
        <color theme="1"/>
        <rFont val="Calibri"/>
        <family val="2"/>
        <scheme val="minor"/>
      </rPr>
      <t xml:space="preserve"> RJ45</t>
    </r>
    <r>
      <rPr>
        <sz val="12"/>
        <color theme="1"/>
        <rFont val="Calibri"/>
        <family val="2"/>
        <charset val="136"/>
        <scheme val="minor"/>
      </rPr>
      <t>公對公</t>
    </r>
    <r>
      <rPr>
        <sz val="12"/>
        <color theme="1"/>
        <rFont val="Calibri"/>
        <family val="2"/>
        <scheme val="minor"/>
      </rPr>
      <t xml:space="preserve"> 8P8C </t>
    </r>
    <r>
      <rPr>
        <sz val="12"/>
        <color theme="1"/>
        <rFont val="Calibri"/>
        <family val="2"/>
        <charset val="136"/>
        <scheme val="minor"/>
      </rPr>
      <t>白色</t>
    </r>
    <r>
      <rPr>
        <sz val="12"/>
        <color theme="1"/>
        <rFont val="Calibri"/>
        <family val="2"/>
        <scheme val="minor"/>
      </rPr>
      <t xml:space="preserve"> 510cm</t>
    </r>
    <phoneticPr fontId="3" type="noConversion"/>
  </si>
  <si>
    <t>H012-TAMY-N2-12+B</t>
    <phoneticPr fontId="3" type="noConversion"/>
  </si>
  <si>
    <t>C10</t>
    <phoneticPr fontId="3" type="noConversion"/>
  </si>
  <si>
    <t>CTM202601005</t>
    <phoneticPr fontId="3" type="noConversion"/>
  </si>
  <si>
    <t>ADAM-4068</t>
    <phoneticPr fontId="3" type="noConversion"/>
  </si>
  <si>
    <r>
      <rPr>
        <b/>
        <sz val="12"/>
        <color theme="1"/>
        <rFont val="Calibri"/>
        <family val="2"/>
        <charset val="136"/>
        <scheme val="minor"/>
      </rPr>
      <t>案件編號</t>
    </r>
    <phoneticPr fontId="3" type="noConversion"/>
  </si>
  <si>
    <r>
      <rPr>
        <b/>
        <sz val="12"/>
        <color theme="1"/>
        <rFont val="Calibri"/>
        <family val="2"/>
        <charset val="136"/>
        <scheme val="minor"/>
      </rPr>
      <t>客戶名稱</t>
    </r>
    <phoneticPr fontId="3" type="noConversion"/>
  </si>
  <si>
    <r>
      <rPr>
        <b/>
        <sz val="12"/>
        <color theme="1"/>
        <rFont val="Calibri"/>
        <family val="2"/>
        <charset val="136"/>
        <scheme val="minor"/>
      </rPr>
      <t>案件名稱</t>
    </r>
    <phoneticPr fontId="3" type="noConversion"/>
  </si>
  <si>
    <r>
      <rPr>
        <b/>
        <sz val="12"/>
        <color theme="1"/>
        <rFont val="Calibri"/>
        <family val="2"/>
        <charset val="136"/>
        <scheme val="minor"/>
      </rPr>
      <t>物料</t>
    </r>
    <phoneticPr fontId="3" type="noConversion"/>
  </si>
  <si>
    <r>
      <rPr>
        <b/>
        <sz val="12"/>
        <color theme="1"/>
        <rFont val="Calibri"/>
        <family val="2"/>
        <charset val="136"/>
        <scheme val="minor"/>
      </rPr>
      <t>數量</t>
    </r>
    <phoneticPr fontId="3" type="noConversion"/>
  </si>
  <si>
    <t>IT202604007</t>
    <phoneticPr fontId="3" type="noConversion"/>
  </si>
  <si>
    <t>BA202604012</t>
    <phoneticPr fontId="3" type="noConversion"/>
  </si>
  <si>
    <t>ADAM-4055C</t>
    <phoneticPr fontId="3" type="noConversion"/>
  </si>
  <si>
    <t>IT202609007</t>
    <phoneticPr fontId="3" type="noConversion"/>
  </si>
  <si>
    <t>IT202609009</t>
    <phoneticPr fontId="3" type="noConversion"/>
  </si>
  <si>
    <t>EKI2716EI</t>
    <phoneticPr fontId="3" type="noConversion"/>
  </si>
  <si>
    <t>AR-727-CM-485</t>
    <phoneticPr fontId="3" type="noConversion"/>
  </si>
  <si>
    <r>
      <rPr>
        <sz val="11"/>
        <color theme="1"/>
        <rFont val="Calibri"/>
        <family val="2"/>
        <charset val="136"/>
        <scheme val="minor"/>
      </rPr>
      <t>世網科技</t>
    </r>
    <r>
      <rPr>
        <sz val="11"/>
        <color theme="1"/>
        <rFont val="Calibri"/>
        <family val="2"/>
        <scheme val="minor"/>
      </rPr>
      <t xml:space="preserve">      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</si>
  <si>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軍情局環控系統維護</t>
    </r>
    <r>
      <rPr>
        <sz val="11"/>
        <color theme="1"/>
        <rFont val="Calibri"/>
        <family val="2"/>
        <scheme val="minor"/>
      </rPr>
      <t xml:space="preserve"> 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</si>
  <si>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晨陽科技</t>
    </r>
    <r>
      <rPr>
        <sz val="11"/>
        <color theme="1"/>
        <rFont val="Calibri"/>
        <family val="2"/>
        <scheme val="minor"/>
      </rPr>
      <t xml:space="preserve">      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</si>
  <si>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中山科學研究院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營區供水系統維護更新案</t>
    </r>
    <r>
      <rPr>
        <sz val="11"/>
        <color theme="1"/>
        <rFont val="Calibri"/>
        <family val="2"/>
        <scheme val="minor"/>
      </rPr>
      <t xml:space="preserve">)                                                                                </t>
    </r>
    <phoneticPr fontId="3" type="noConversion"/>
  </si>
  <si>
    <t>A06</t>
    <phoneticPr fontId="3" type="noConversion"/>
  </si>
  <si>
    <t>A09</t>
    <phoneticPr fontId="3" type="noConversion"/>
  </si>
  <si>
    <t>Y</t>
    <phoneticPr fontId="3" type="noConversion"/>
  </si>
  <si>
    <t>H008-LRS-35-24</t>
    <phoneticPr fontId="3" type="noConversion"/>
  </si>
  <si>
    <t>A08</t>
    <phoneticPr fontId="3" type="noConversion"/>
  </si>
  <si>
    <t>C-ADV-ECU-1051TL-R10ABU</t>
    <phoneticPr fontId="3" type="noConversion"/>
  </si>
  <si>
    <t>A14</t>
    <phoneticPr fontId="3" type="noConversion"/>
  </si>
  <si>
    <t>IT202601008</t>
    <phoneticPr fontId="3" type="noConversion"/>
  </si>
  <si>
    <t>IT202609009</t>
    <phoneticPr fontId="3" type="noConversion"/>
  </si>
  <si>
    <r>
      <rPr>
        <b/>
        <sz val="12"/>
        <color theme="1"/>
        <rFont val="Calibri"/>
        <family val="2"/>
        <charset val="136"/>
        <scheme val="minor"/>
      </rPr>
      <t>登記日期</t>
    </r>
    <phoneticPr fontId="3" type="noConversion"/>
  </si>
  <si>
    <r>
      <rPr>
        <b/>
        <sz val="12"/>
        <color theme="1"/>
        <rFont val="Calibri"/>
        <family val="2"/>
        <charset val="136"/>
        <scheme val="minor"/>
      </rPr>
      <t>到貨日期</t>
    </r>
    <phoneticPr fontId="3" type="noConversion"/>
  </si>
  <si>
    <r>
      <rPr>
        <b/>
        <sz val="12"/>
        <color theme="1"/>
        <rFont val="Calibri"/>
        <family val="2"/>
        <charset val="136"/>
        <scheme val="minor"/>
      </rPr>
      <t>領貨日期</t>
    </r>
    <phoneticPr fontId="3" type="noConversion"/>
  </si>
  <si>
    <r>
      <rPr>
        <b/>
        <sz val="12"/>
        <color theme="1"/>
        <rFont val="Calibri"/>
        <family val="2"/>
        <charset val="136"/>
        <scheme val="minor"/>
      </rPr>
      <t>領貨人</t>
    </r>
    <phoneticPr fontId="3" type="noConversion"/>
  </si>
  <si>
    <r>
      <rPr>
        <b/>
        <sz val="12"/>
        <color theme="1"/>
        <rFont val="Calibri"/>
        <family val="2"/>
        <charset val="136"/>
        <scheme val="minor"/>
      </rPr>
      <t>倉庫</t>
    </r>
    <phoneticPr fontId="3" type="noConversion"/>
  </si>
  <si>
    <r>
      <rPr>
        <b/>
        <sz val="12"/>
        <color theme="1"/>
        <rFont val="Calibri"/>
        <family val="2"/>
        <charset val="136"/>
        <scheme val="minor"/>
      </rPr>
      <t>備註</t>
    </r>
    <phoneticPr fontId="3" type="noConversion"/>
  </si>
  <si>
    <r>
      <rPr>
        <b/>
        <sz val="12"/>
        <color theme="1"/>
        <rFont val="Calibri"/>
        <family val="2"/>
        <charset val="136"/>
        <scheme val="minor"/>
      </rPr>
      <t>金額</t>
    </r>
    <phoneticPr fontId="3" type="noConversion"/>
  </si>
  <si>
    <r>
      <rPr>
        <b/>
        <sz val="12"/>
        <color theme="1"/>
        <rFont val="Calibri"/>
        <family val="2"/>
        <charset val="136"/>
        <scheme val="minor"/>
      </rPr>
      <t>借料單號</t>
    </r>
    <phoneticPr fontId="3" type="noConversion"/>
  </si>
  <si>
    <r>
      <rPr>
        <b/>
        <sz val="12"/>
        <color theme="1"/>
        <rFont val="Calibri"/>
        <family val="2"/>
        <charset val="136"/>
        <scheme val="minor"/>
      </rPr>
      <t>結案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</si>
  <si>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威亮科技</t>
    </r>
    <r>
      <rPr>
        <sz val="11"/>
        <color theme="1"/>
        <rFont val="Calibri"/>
        <family val="2"/>
        <scheme val="minor"/>
      </rPr>
      <t xml:space="preserve">      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</si>
  <si>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楊梅區梅獅段昌庫新建工程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滯洪池監測</t>
    </r>
    <r>
      <rPr>
        <sz val="11"/>
        <color theme="1"/>
        <rFont val="Calibri"/>
        <family val="2"/>
        <scheme val="minor"/>
      </rPr>
      <t xml:space="preserve">)                                                                                 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</si>
  <si>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可鑫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2"/>
        <charset val="136"/>
        <scheme val="minor"/>
      </rPr>
      <t>電源供應器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</si>
  <si>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採購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</si>
  <si>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研華</t>
    </r>
    <r>
      <rPr>
        <sz val="11"/>
        <color theme="1"/>
        <rFont val="Calibri"/>
        <family val="2"/>
        <scheme val="minor"/>
      </rPr>
      <t xml:space="preserve">        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</si>
  <si>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中工</t>
    </r>
    <r>
      <rPr>
        <sz val="11"/>
        <color theme="1"/>
        <rFont val="Calibri"/>
        <family val="2"/>
        <scheme val="minor"/>
      </rPr>
      <t>AI</t>
    </r>
    <r>
      <rPr>
        <sz val="11"/>
        <color theme="1"/>
        <rFont val="Calibri"/>
        <family val="2"/>
        <charset val="136"/>
        <scheme val="minor"/>
      </rPr>
      <t>園區能源管理案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</si>
  <si>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勝棠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2"/>
        <charset val="136"/>
        <scheme val="minor"/>
      </rPr>
      <t>網路朓線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</si>
  <si>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建達</t>
    </r>
    <r>
      <rPr>
        <sz val="11"/>
        <color theme="1"/>
        <rFont val="Calibri"/>
        <family val="2"/>
        <scheme val="minor"/>
      </rPr>
      <t>/32G</t>
    </r>
    <r>
      <rPr>
        <sz val="11"/>
        <color theme="1"/>
        <rFont val="Calibri"/>
        <family val="2"/>
        <charset val="136"/>
        <scheme val="minor"/>
      </rPr>
      <t>記憶卡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</si>
  <si>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出貨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</si>
  <si>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躍訊</t>
    </r>
    <r>
      <rPr>
        <sz val="11"/>
        <color theme="1"/>
        <rFont val="Calibri"/>
        <family val="2"/>
        <scheme val="minor"/>
      </rPr>
      <t xml:space="preserve">        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</si>
  <si>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競泰企業大樓中央監控軟體系統開發案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</si>
  <si>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空氣偵測器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</si>
  <si>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疾管署</t>
    </r>
    <r>
      <rPr>
        <sz val="11"/>
        <color theme="1"/>
        <rFont val="Calibri"/>
        <family val="2"/>
        <scheme val="minor"/>
      </rPr>
      <t xml:space="preserve">     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</si>
  <si>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監視系統設備建置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桃機</t>
    </r>
    <r>
      <rPr>
        <sz val="11"/>
        <color theme="1"/>
        <rFont val="Calibri"/>
        <family val="2"/>
        <scheme val="minor"/>
      </rPr>
      <t xml:space="preserve">)  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</si>
  <si>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硬碟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</si>
  <si>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借料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</si>
  <si>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送修</t>
    </r>
    <phoneticPr fontId="3" type="noConversion"/>
  </si>
  <si>
    <t>C-ACTI-GNR350</t>
    <phoneticPr fontId="3" type="noConversion"/>
  </si>
  <si>
    <t>A20</t>
    <phoneticPr fontId="3" type="noConversion"/>
  </si>
  <si>
    <t>EDR-120-24</t>
    <phoneticPr fontId="3" type="noConversion"/>
  </si>
  <si>
    <t>IT202606006</t>
    <phoneticPr fontId="3" type="noConversion"/>
  </si>
  <si>
    <t>BM2026072004</t>
    <phoneticPr fontId="3" type="noConversion"/>
  </si>
  <si>
    <t>C-KCA-YT02-01201000-06</t>
    <phoneticPr fontId="3" type="noConversion"/>
  </si>
  <si>
    <t>A15</t>
    <phoneticPr fontId="3" type="noConversion"/>
  </si>
  <si>
    <t>C-XANDER-SDHC-32G</t>
    <phoneticPr fontId="3" type="noConversion"/>
  </si>
  <si>
    <t>Z-ADV-1750005865</t>
    <phoneticPr fontId="3" type="noConversion"/>
  </si>
  <si>
    <t>Z-ADV-1750006264</t>
    <phoneticPr fontId="3" type="noConversion"/>
  </si>
  <si>
    <t>Z-ADV-96PD-EC25EFA</t>
    <phoneticPr fontId="3" type="noConversion"/>
  </si>
  <si>
    <t>BM2026072005</t>
    <phoneticPr fontId="3" type="noConversion"/>
  </si>
  <si>
    <t>BM2026062301</t>
    <phoneticPr fontId="3" type="noConversion"/>
  </si>
  <si>
    <r>
      <rPr>
        <b/>
        <sz val="12"/>
        <color theme="1"/>
        <rFont val="Calibri"/>
        <family val="2"/>
        <charset val="136"/>
        <scheme val="minor"/>
      </rPr>
      <t>表格更新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</si>
  <si>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宏輝能源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</si>
  <si>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綠電憑證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台中工業區</t>
    </r>
    <r>
      <rPr>
        <sz val="11"/>
        <color theme="1"/>
        <rFont val="Calibri"/>
        <family val="2"/>
        <scheme val="minor"/>
      </rPr>
      <t>)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</si>
  <si>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中興電工</t>
    </r>
    <r>
      <rPr>
        <sz val="11"/>
        <color theme="1"/>
        <rFont val="Calibri"/>
        <family val="2"/>
        <scheme val="minor"/>
      </rPr>
      <t xml:space="preserve">      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</si>
  <si>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三期含電表、比流器、箱體</t>
    </r>
    <r>
      <rPr>
        <sz val="11"/>
        <color theme="1"/>
        <rFont val="Calibri"/>
        <family val="2"/>
        <scheme val="minor"/>
      </rPr>
      <t xml:space="preserve">) 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</si>
  <si>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四期五期含電表</t>
    </r>
    <r>
      <rPr>
        <sz val="11"/>
        <color theme="1"/>
        <rFont val="Calibri"/>
        <family val="2"/>
        <scheme val="minor"/>
      </rPr>
      <t>*2</t>
    </r>
    <r>
      <rPr>
        <sz val="11"/>
        <color theme="1"/>
        <rFont val="Calibri"/>
        <family val="2"/>
        <charset val="136"/>
        <scheme val="minor"/>
      </rPr>
      <t>、比流器</t>
    </r>
    <r>
      <rPr>
        <sz val="11"/>
        <color theme="1"/>
        <rFont val="Calibri"/>
        <family val="2"/>
        <scheme val="minor"/>
      </rPr>
      <t>*6</t>
    </r>
    <r>
      <rPr>
        <sz val="11"/>
        <color theme="1"/>
        <rFont val="Calibri"/>
        <family val="2"/>
        <charset val="136"/>
        <scheme val="minor"/>
      </rPr>
      <t>、箱體</t>
    </r>
    <r>
      <rPr>
        <sz val="11"/>
        <color theme="1"/>
        <rFont val="Calibri"/>
        <family val="2"/>
        <scheme val="minor"/>
      </rPr>
      <t>*1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</si>
  <si>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當宏科技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</si>
  <si>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新竹國軍醫院環控系統建置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</si>
  <si>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疾管署借料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將轉至新案使用</t>
    </r>
    <r>
      <rPr>
        <sz val="11"/>
        <color theme="1"/>
        <rFont val="Calibri"/>
        <family val="2"/>
        <scheme val="minor"/>
      </rPr>
      <t>)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</si>
  <si>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測試用</t>
    </r>
    <phoneticPr fontId="3" type="noConversion"/>
  </si>
  <si>
    <t>BM2026081701</t>
    <phoneticPr fontId="3" type="noConversion"/>
  </si>
  <si>
    <r>
      <t xml:space="preserve"> </t>
    </r>
    <r>
      <rPr>
        <sz val="11"/>
        <color theme="1"/>
        <rFont val="Calibri"/>
        <family val="2"/>
        <charset val="136"/>
        <scheme val="minor"/>
      </rPr>
      <t>日益能源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</si>
  <si>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桃園五崧</t>
    </r>
    <r>
      <rPr>
        <sz val="11"/>
        <color theme="1"/>
        <rFont val="Calibri"/>
        <family val="2"/>
        <scheme val="minor"/>
      </rPr>
      <t>)</t>
    </r>
    <phoneticPr fontId="3" type="noConversion"/>
  </si>
  <si>
    <t>BM2026031901</t>
    <phoneticPr fontId="3" type="noConversion"/>
  </si>
  <si>
    <t>H006-WD64PURZ</t>
    <phoneticPr fontId="3" type="noConversion"/>
  </si>
  <si>
    <t>2026082401</t>
    <phoneticPr fontId="3" type="noConversion"/>
  </si>
  <si>
    <r>
      <t>3.5</t>
    </r>
    <r>
      <rPr>
        <sz val="12"/>
        <color rgb="FF000000"/>
        <rFont val="Calibri"/>
        <family val="2"/>
        <charset val="136"/>
        <scheme val="minor"/>
      </rPr>
      <t>吋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charset val="136"/>
        <scheme val="minor"/>
      </rPr>
      <t>監控系統專用硬碟</t>
    </r>
    <r>
      <rPr>
        <sz val="12"/>
        <color rgb="FF000000"/>
        <rFont val="Calibri"/>
        <family val="2"/>
        <scheme val="minor"/>
      </rPr>
      <t xml:space="preserve"> 6TB(</t>
    </r>
    <r>
      <rPr>
        <sz val="12"/>
        <color rgb="FF000000"/>
        <rFont val="Calibri"/>
        <family val="2"/>
        <charset val="136"/>
        <scheme val="minor"/>
      </rPr>
      <t>庫存</t>
    </r>
    <r>
      <rPr>
        <sz val="12"/>
        <color rgb="FF000000"/>
        <rFont val="Calibri"/>
        <family val="2"/>
        <scheme val="minor"/>
      </rPr>
      <t>8TB</t>
    </r>
    <r>
      <rPr>
        <sz val="12"/>
        <color rgb="FF000000"/>
        <rFont val="Calibri"/>
        <family val="2"/>
        <charset val="136"/>
        <scheme val="minor"/>
      </rPr>
      <t>送修更換回</t>
    </r>
    <r>
      <rPr>
        <sz val="12"/>
        <color rgb="FF000000"/>
        <rFont val="Calibri"/>
        <family val="2"/>
        <scheme val="minor"/>
      </rPr>
      <t>)</t>
    </r>
    <phoneticPr fontId="3" type="noConversion"/>
  </si>
  <si>
    <r>
      <rPr>
        <sz val="12"/>
        <color theme="1"/>
        <rFont val="Calibri"/>
        <family val="2"/>
        <charset val="136"/>
        <scheme val="minor"/>
      </rPr>
      <t>陳修慶</t>
    </r>
    <phoneticPr fontId="3" type="noConversion"/>
  </si>
  <si>
    <r>
      <rPr>
        <sz val="12"/>
        <color theme="1"/>
        <rFont val="Calibri"/>
        <family val="2"/>
        <charset val="136"/>
        <scheme val="minor"/>
      </rPr>
      <t>奕龍</t>
    </r>
    <r>
      <rPr>
        <sz val="12"/>
        <color theme="1"/>
        <rFont val="Calibri"/>
        <family val="2"/>
        <scheme val="minor"/>
      </rPr>
      <t>/ (ANLY)AMY-12-24V(1~600H)</t>
    </r>
    <phoneticPr fontId="3" type="noConversion"/>
  </si>
  <si>
    <r>
      <rPr>
        <sz val="12"/>
        <color theme="1"/>
        <rFont val="Calibri"/>
        <family val="2"/>
        <charset val="136"/>
        <scheme val="minor"/>
      </rPr>
      <t>奕龍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</si>
  <si>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借給疾管署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2"/>
        <charset val="136"/>
        <scheme val="minor"/>
      </rPr>
      <t>未來會還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</si>
  <si>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以勒工程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</si>
  <si>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蘆竹案場</t>
    </r>
    <r>
      <rPr>
        <sz val="11"/>
        <color theme="1"/>
        <rFont val="Calibri"/>
        <family val="2"/>
        <scheme val="minor"/>
      </rPr>
      <t>)</t>
    </r>
    <phoneticPr fontId="3" type="noConversion"/>
  </si>
  <si>
    <t>BM2026082501</t>
    <phoneticPr fontId="3" type="noConversion"/>
  </si>
  <si>
    <t>BM2026082502</t>
    <phoneticPr fontId="3" type="noConversion"/>
  </si>
  <si>
    <t>H006-WD84PURZ</t>
    <phoneticPr fontId="3" type="noConversion"/>
  </si>
  <si>
    <t>H010-EK271-2</t>
    <phoneticPr fontId="3" type="noConversion"/>
  </si>
  <si>
    <t>BM2026022501</t>
    <phoneticPr fontId="3" type="noConversion"/>
  </si>
  <si>
    <t>BM2026082402</t>
    <phoneticPr fontId="3" type="noConversion"/>
  </si>
  <si>
    <t>BM2026082403</t>
    <phoneticPr fontId="3" type="noConversion"/>
  </si>
  <si>
    <r>
      <rPr>
        <sz val="11"/>
        <color theme="1"/>
        <rFont val="Calibri"/>
        <family val="2"/>
        <charset val="136"/>
        <scheme val="minor"/>
      </rPr>
      <t>林承偉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</si>
  <si>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雲林電器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</si>
  <si>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明志學生宿舍</t>
    </r>
    <r>
      <rPr>
        <sz val="11"/>
        <color theme="1"/>
        <rFont val="Calibri"/>
        <family val="2"/>
        <scheme val="minor"/>
      </rPr>
      <t>)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</si>
  <si>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明志圖資</t>
    </r>
    <r>
      <rPr>
        <sz val="11"/>
        <color theme="1"/>
        <rFont val="Calibri"/>
        <family val="2"/>
        <scheme val="minor"/>
      </rPr>
      <t>)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</si>
  <si>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台化纖維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</si>
  <si>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維修</t>
    </r>
    <r>
      <rPr>
        <sz val="11"/>
        <color theme="1"/>
        <rFont val="Calibri"/>
        <family val="2"/>
        <scheme val="minor"/>
      </rPr>
      <t>)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</si>
  <si>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疾管署公司測試用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</si>
  <si>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陳修慶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</si>
  <si>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借用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</si>
  <si>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日益能源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</si>
  <si>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致茂北棟</t>
    </r>
    <r>
      <rPr>
        <sz val="11"/>
        <color theme="1"/>
        <rFont val="Calibri"/>
        <family val="2"/>
        <scheme val="minor"/>
      </rPr>
      <t>)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</si>
  <si>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綱岳科技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</si>
  <si>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台玻新竹</t>
    </r>
    <r>
      <rPr>
        <sz val="11"/>
        <color theme="1"/>
        <rFont val="Calibri"/>
        <family val="2"/>
        <scheme val="minor"/>
      </rPr>
      <t>)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</si>
  <si>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曹桓豪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</si>
  <si>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胡蔚雯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</si>
  <si>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蘇柏丞</t>
    </r>
    <phoneticPr fontId="3" type="noConversion"/>
  </si>
  <si>
    <t>BM2026082003</t>
    <phoneticPr fontId="3" type="noConversion"/>
  </si>
  <si>
    <r>
      <rPr>
        <sz val="11"/>
        <color theme="1"/>
        <rFont val="Calibri"/>
        <family val="2"/>
        <charset val="136"/>
        <scheme val="minor"/>
      </rPr>
      <t>恆河能源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</si>
  <si>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苗栗竹南</t>
    </r>
    <r>
      <rPr>
        <sz val="11"/>
        <color theme="1"/>
        <rFont val="Calibri"/>
        <family val="2"/>
        <scheme val="minor"/>
      </rPr>
      <t>)</t>
    </r>
    <phoneticPr fontId="3" type="noConversion"/>
  </si>
  <si>
    <t>BM2026082404</t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</si>
  <si>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嘉義長庚</t>
    </r>
    <r>
      <rPr>
        <sz val="11"/>
        <color theme="1"/>
        <rFont val="Calibri"/>
        <family val="2"/>
        <scheme val="minor"/>
      </rPr>
      <t>)</t>
    </r>
    <phoneticPr fontId="3" type="noConversion"/>
  </si>
  <si>
    <t>BM2026051501</t>
    <phoneticPr fontId="3" type="noConversion"/>
  </si>
  <si>
    <r>
      <rPr>
        <sz val="11"/>
        <color theme="1"/>
        <rFont val="Calibri"/>
        <family val="2"/>
        <charset val="136"/>
        <scheme val="minor"/>
      </rPr>
      <t>汎穎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</si>
  <si>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台中工業區</t>
    </r>
    <r>
      <rPr>
        <sz val="11"/>
        <color theme="1"/>
        <rFont val="Calibri"/>
        <family val="2"/>
        <scheme val="minor"/>
      </rPr>
      <t>)</t>
    </r>
    <phoneticPr fontId="3" type="noConversion"/>
  </si>
  <si>
    <t>BA202604012</t>
    <phoneticPr fontId="3" type="noConversion"/>
  </si>
  <si>
    <r>
      <rPr>
        <sz val="10"/>
        <color theme="1"/>
        <rFont val="Calibri"/>
        <family val="2"/>
        <charset val="136"/>
        <scheme val="minor"/>
      </rPr>
      <t>轉出貨</t>
    </r>
    <r>
      <rPr>
        <sz val="10"/>
        <color theme="1"/>
        <rFont val="Calibri"/>
        <family val="2"/>
        <scheme val="minor"/>
      </rPr>
      <t>x3</t>
    </r>
    <phoneticPr fontId="3" type="noConversion"/>
  </si>
  <si>
    <r>
      <rPr>
        <sz val="10"/>
        <color rgb="FF000000"/>
        <rFont val="Calibri"/>
        <family val="2"/>
        <charset val="136"/>
        <scheme val="minor"/>
      </rPr>
      <t>京兆成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Calibri"/>
        <family val="2"/>
        <charset val="136"/>
        <scheme val="minor"/>
      </rPr>
      <t>高鐵</t>
    </r>
    <r>
      <rPr>
        <sz val="10"/>
        <color rgb="FF000000"/>
        <rFont val="Calibri"/>
        <family val="2"/>
        <scheme val="minor"/>
      </rPr>
      <t>x10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charset val="136"/>
        <scheme val="minor"/>
      </rPr>
      <t>當宏</t>
    </r>
    <r>
      <rPr>
        <sz val="10"/>
        <color theme="1"/>
        <rFont val="Calibri"/>
        <family val="2"/>
        <scheme val="minor"/>
      </rPr>
      <t xml:space="preserve">x1
</t>
    </r>
    <r>
      <rPr>
        <sz val="10"/>
        <color theme="1"/>
        <rFont val="Calibri"/>
        <family val="2"/>
        <charset val="136"/>
        <scheme val="minor"/>
      </rPr>
      <t>軍情局</t>
    </r>
    <r>
      <rPr>
        <sz val="10"/>
        <color theme="1"/>
        <rFont val="Calibri"/>
        <family val="2"/>
        <scheme val="minor"/>
      </rPr>
      <t xml:space="preserve">x1
</t>
    </r>
    <r>
      <rPr>
        <sz val="10"/>
        <color theme="1"/>
        <rFont val="Calibri"/>
        <family val="2"/>
        <charset val="136"/>
        <scheme val="minor"/>
      </rPr>
      <t>晨陽</t>
    </r>
    <r>
      <rPr>
        <sz val="10"/>
        <color theme="1"/>
        <rFont val="Calibri"/>
        <family val="2"/>
        <scheme val="minor"/>
      </rPr>
      <t>x1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</si>
  <si>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軍情局</t>
    </r>
    <r>
      <rPr>
        <sz val="10"/>
        <color theme="1"/>
        <rFont val="Calibri"/>
        <family val="2"/>
        <scheme val="minor"/>
      </rPr>
      <t>x7</t>
    </r>
    <phoneticPr fontId="3" type="noConversion"/>
  </si>
  <si>
    <t>BM2026090701</t>
    <phoneticPr fontId="3" type="noConversion"/>
  </si>
  <si>
    <r>
      <rPr>
        <sz val="11"/>
        <color theme="1"/>
        <rFont val="Calibri"/>
        <family val="2"/>
        <charset val="136"/>
        <scheme val="minor"/>
      </rPr>
      <t>瓦艾伏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</si>
  <si>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土城</t>
    </r>
    <r>
      <rPr>
        <sz val="11"/>
        <color theme="1"/>
        <rFont val="Calibri"/>
        <family val="2"/>
        <scheme val="minor"/>
      </rPr>
      <t>)</t>
    </r>
    <phoneticPr fontId="3" type="noConversion"/>
  </si>
  <si>
    <t>BM2026082002</t>
    <phoneticPr fontId="3" type="noConversion"/>
  </si>
  <si>
    <t>C-JW-200-5A-15VA-0.3</t>
    <phoneticPr fontId="3" type="noConversion"/>
  </si>
  <si>
    <t>A19</t>
    <phoneticPr fontId="3" type="noConversion"/>
  </si>
  <si>
    <t>C-GD-RU320-B10</t>
    <phoneticPr fontId="3" type="noConversion"/>
  </si>
  <si>
    <t>IT202608005</t>
    <phoneticPr fontId="3" type="noConversion"/>
  </si>
  <si>
    <t>C-SY-AR-1207A-29</t>
    <phoneticPr fontId="3" type="noConversion"/>
  </si>
  <si>
    <t>A13</t>
    <phoneticPr fontId="3" type="noConversion"/>
  </si>
  <si>
    <t>IT202607004</t>
    <phoneticPr fontId="3" type="noConversion"/>
  </si>
  <si>
    <t>A305-AR-727-ESR1121</t>
    <phoneticPr fontId="3" type="noConversion"/>
  </si>
  <si>
    <t>B3</t>
    <phoneticPr fontId="3" type="noConversion"/>
  </si>
  <si>
    <t>A305-AR-721RB</t>
    <phoneticPr fontId="3" type="noConversion"/>
  </si>
  <si>
    <t>BM2026091702</t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</si>
  <si>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宜蘭新晶</t>
    </r>
    <r>
      <rPr>
        <sz val="11"/>
        <color theme="1"/>
        <rFont val="Calibri"/>
        <family val="2"/>
        <scheme val="minor"/>
      </rPr>
      <t>)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</si>
  <si>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黃鴻喬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</si>
  <si>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國眾電腦</t>
    </r>
    <r>
      <rPr>
        <sz val="11"/>
        <color theme="1"/>
        <rFont val="Calibri"/>
        <family val="2"/>
        <scheme val="minor"/>
      </rPr>
      <t xml:space="preserve"> 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</si>
  <si>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新北市住宅及都市更新中心</t>
    </r>
    <r>
      <rPr>
        <sz val="11"/>
        <color theme="1"/>
        <rFont val="Calibri"/>
        <family val="2"/>
        <scheme val="minor"/>
      </rPr>
      <t>_</t>
    </r>
    <r>
      <rPr>
        <sz val="11"/>
        <color theme="1"/>
        <rFont val="Calibri"/>
        <family val="2"/>
        <charset val="136"/>
        <scheme val="minor"/>
      </rPr>
      <t>機房環控建置</t>
    </r>
    <r>
      <rPr>
        <sz val="11"/>
        <color theme="1"/>
        <rFont val="Calibri"/>
        <family val="2"/>
        <scheme val="minor"/>
      </rPr>
      <t xml:space="preserve"> 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</si>
  <si>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出一批貨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</si>
  <si>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京潤科技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</si>
  <si>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門禁設備與軟體更新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</si>
  <si>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變壓器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</si>
  <si>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工作使用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</si>
  <si>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日安能源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</si>
  <si>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林園國壽</t>
    </r>
    <r>
      <rPr>
        <sz val="11"/>
        <color theme="1"/>
        <rFont val="Calibri"/>
        <family val="2"/>
        <scheme val="minor"/>
      </rPr>
      <t>)</t>
    </r>
    <phoneticPr fontId="3" type="noConversion"/>
  </si>
  <si>
    <t>BM2026082803</t>
    <phoneticPr fontId="3" type="noConversion"/>
  </si>
  <si>
    <t>C-ADV-96PD-RYUW131A1</t>
    <phoneticPr fontId="3" type="noConversion"/>
  </si>
  <si>
    <r>
      <rPr>
        <sz val="11"/>
        <color theme="1"/>
        <rFont val="Calibri"/>
        <family val="2"/>
        <charset val="136"/>
        <scheme val="minor"/>
      </rPr>
      <t>晶善綠能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</si>
  <si>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phoneticPr fontId="3" type="noConversion"/>
  </si>
  <si>
    <t>EDR-120-12</t>
  </si>
  <si>
    <r>
      <rPr>
        <sz val="11"/>
        <color theme="1"/>
        <rFont val="Calibri"/>
        <family val="2"/>
        <charset val="136"/>
        <scheme val="minor"/>
      </rPr>
      <t>國眾電腦</t>
    </r>
    <r>
      <rPr>
        <sz val="11"/>
        <color theme="1"/>
        <rFont val="Calibri"/>
        <family val="2"/>
        <scheme val="minor"/>
      </rPr>
      <t xml:space="preserve">      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</si>
  <si>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李宇豐</t>
    </r>
    <phoneticPr fontId="3" type="noConversion"/>
  </si>
  <si>
    <r>
      <t xml:space="preserve"> </t>
    </r>
    <r>
      <rPr>
        <sz val="11"/>
        <color theme="1"/>
        <rFont val="Calibri"/>
        <family val="2"/>
        <charset val="136"/>
        <scheme val="minor"/>
      </rPr>
      <t>黃鴻喬</t>
    </r>
    <phoneticPr fontId="3" type="noConversion"/>
  </si>
  <si>
    <t>BM2026092301</t>
    <phoneticPr fontId="3" type="noConversion"/>
  </si>
  <si>
    <r>
      <rPr>
        <sz val="11"/>
        <color theme="1"/>
        <rFont val="Calibri"/>
        <family val="2"/>
        <charset val="136"/>
        <scheme val="minor"/>
      </rPr>
      <t>新晨科技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</si>
  <si>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台北港</t>
    </r>
    <r>
      <rPr>
        <sz val="11"/>
        <color theme="1"/>
        <rFont val="Calibri"/>
        <family val="2"/>
        <scheme val="minor"/>
      </rPr>
      <t>)</t>
    </r>
    <phoneticPr fontId="3" type="noConversion"/>
  </si>
  <si>
    <t>A308-BHA31</t>
    <phoneticPr fontId="3" type="noConversion"/>
  </si>
  <si>
    <t>A16</t>
    <phoneticPr fontId="3" type="noConversion"/>
  </si>
  <si>
    <t>BM202412202</t>
    <phoneticPr fontId="3" type="noConversion"/>
  </si>
  <si>
    <t>BM2026090501</t>
    <phoneticPr fontId="3" type="noConversion"/>
  </si>
  <si>
    <t>BM2026070101</t>
    <phoneticPr fontId="3" type="noConversion"/>
  </si>
  <si>
    <r>
      <rPr>
        <sz val="11"/>
        <color theme="1"/>
        <rFont val="Calibri"/>
        <family val="2"/>
        <charset val="136"/>
        <scheme val="minor"/>
      </rPr>
      <t>國晉實業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</si>
  <si>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彰化芬園</t>
    </r>
    <r>
      <rPr>
        <sz val="11"/>
        <color theme="1"/>
        <rFont val="Calibri"/>
        <family val="2"/>
        <scheme val="minor"/>
      </rPr>
      <t>)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</si>
  <si>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電表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</si>
  <si>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築能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</si>
  <si>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蘇澳港</t>
    </r>
    <r>
      <rPr>
        <sz val="11"/>
        <color theme="1"/>
        <rFont val="Calibri"/>
        <family val="2"/>
        <scheme val="minor"/>
      </rPr>
      <t>)</t>
    </r>
    <phoneticPr fontId="3" type="noConversion"/>
  </si>
  <si>
    <t>BM2026071301</t>
    <phoneticPr fontId="3" type="noConversion"/>
  </si>
  <si>
    <t>BM2026071302</t>
    <phoneticPr fontId="3" type="noConversion"/>
  </si>
  <si>
    <r>
      <rPr>
        <sz val="11"/>
        <color theme="1"/>
        <rFont val="Calibri"/>
        <family val="2"/>
        <charset val="136"/>
        <scheme val="minor"/>
      </rPr>
      <t>國棋科技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</si>
  <si>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岱稜</t>
    </r>
    <r>
      <rPr>
        <sz val="11"/>
        <color theme="1"/>
        <rFont val="Calibri"/>
        <family val="2"/>
        <scheme val="minor"/>
      </rPr>
      <t>VC1)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</si>
  <si>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岱稜</t>
    </r>
    <r>
      <rPr>
        <sz val="11"/>
        <color theme="1"/>
        <rFont val="Calibri"/>
        <family val="2"/>
        <scheme val="minor"/>
      </rPr>
      <t>VC4)</t>
    </r>
    <phoneticPr fontId="3" type="noConversion"/>
  </si>
  <si>
    <r>
      <rPr>
        <sz val="10"/>
        <color theme="1"/>
        <rFont val="Calibri"/>
        <family val="2"/>
        <charset val="136"/>
        <scheme val="minor"/>
      </rPr>
      <t>國晉</t>
    </r>
    <r>
      <rPr>
        <sz val="10"/>
        <color theme="1"/>
        <rFont val="Calibri"/>
        <family val="2"/>
        <scheme val="minor"/>
      </rPr>
      <t>x1</t>
    </r>
    <phoneticPr fontId="3" type="noConversion"/>
  </si>
  <si>
    <r>
      <rPr>
        <b/>
        <sz val="10"/>
        <color rgb="FF000000"/>
        <rFont val="Calibri"/>
        <family val="2"/>
        <charset val="136"/>
        <scheme val="minor"/>
      </rPr>
      <t>中興電工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Calibri"/>
        <family val="2"/>
        <charset val="136"/>
        <scheme val="minor"/>
      </rPr>
      <t>軍情局</t>
    </r>
    <r>
      <rPr>
        <b/>
        <sz val="10"/>
        <color rgb="FF000000"/>
        <rFont val="Calibri"/>
        <family val="2"/>
        <scheme val="minor"/>
      </rPr>
      <t xml:space="preserve">x5
</t>
    </r>
    <r>
      <rPr>
        <b/>
        <sz val="10"/>
        <color rgb="FF000000"/>
        <rFont val="Calibri"/>
        <family val="2"/>
        <charset val="136"/>
        <scheme val="minor"/>
      </rPr>
      <t>汎穎</t>
    </r>
    <r>
      <rPr>
        <b/>
        <sz val="10"/>
        <color rgb="FF000000"/>
        <rFont val="Calibri"/>
        <family val="2"/>
        <scheme val="minor"/>
      </rPr>
      <t xml:space="preserve">x1
</t>
    </r>
    <r>
      <rPr>
        <b/>
        <sz val="10"/>
        <color rgb="FF000000"/>
        <rFont val="Calibri"/>
        <family val="2"/>
        <charset val="136"/>
        <scheme val="minor"/>
      </rPr>
      <t>耀訊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Calibri"/>
        <family val="2"/>
        <charset val="136"/>
        <scheme val="minor"/>
      </rPr>
      <t>日益能源</t>
    </r>
    <r>
      <rPr>
        <b/>
        <sz val="10"/>
        <color rgb="FF000000"/>
        <rFont val="Calibri"/>
        <family val="2"/>
        <scheme val="minor"/>
      </rPr>
      <t xml:space="preserve">x1
</t>
    </r>
    <r>
      <rPr>
        <b/>
        <sz val="10"/>
        <color rgb="FF000000"/>
        <rFont val="Calibri"/>
        <family val="2"/>
        <charset val="136"/>
        <scheme val="minor"/>
      </rPr>
      <t>新晨科技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Calibri"/>
        <family val="2"/>
        <charset val="136"/>
        <scheme val="minor"/>
      </rPr>
      <t>國晉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Calibri"/>
        <family val="2"/>
        <charset val="136"/>
        <scheme val="minor"/>
      </rPr>
      <t>國棋</t>
    </r>
    <r>
      <rPr>
        <b/>
        <sz val="10"/>
        <color rgb="FF000000"/>
        <rFont val="Calibri"/>
        <family val="2"/>
        <scheme val="minor"/>
      </rPr>
      <t xml:space="preserve">x2
</t>
    </r>
    <r>
      <rPr>
        <sz val="10"/>
        <color rgb="FF000000"/>
        <rFont val="Calibri"/>
        <family val="2"/>
        <charset val="136"/>
        <scheme val="minor"/>
      </rPr>
      <t>國震中心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Calibri"/>
        <family val="2"/>
        <charset val="136"/>
        <scheme val="minor"/>
      </rPr>
      <t>大自然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Calibri"/>
        <family val="2"/>
        <charset val="136"/>
        <scheme val="minor"/>
      </rPr>
      <t>當宏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Calibri"/>
        <family val="2"/>
        <charset val="136"/>
        <scheme val="minor"/>
      </rPr>
      <t>耀昇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Calibri"/>
        <family val="2"/>
        <charset val="136"/>
        <scheme val="minor"/>
      </rPr>
      <t>恆宜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Calibri"/>
        <family val="2"/>
        <charset val="136"/>
        <scheme val="minor"/>
      </rPr>
      <t>吉陽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Calibri"/>
        <family val="2"/>
        <charset val="136"/>
        <scheme val="minor"/>
      </rPr>
      <t>晶兆成</t>
    </r>
    <r>
      <rPr>
        <sz val="10"/>
        <color rgb="FF000000"/>
        <rFont val="Calibri"/>
        <family val="2"/>
        <scheme val="minor"/>
      </rPr>
      <t>x2
Jessex1</t>
    </r>
    <phoneticPr fontId="3" type="noConversion"/>
  </si>
  <si>
    <r>
      <rPr>
        <sz val="10"/>
        <color rgb="FF000000"/>
        <rFont val="Calibri"/>
        <family val="2"/>
        <charset val="136"/>
        <scheme val="minor"/>
      </rPr>
      <t>凱煬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theme="1"/>
        <rFont val="Calibri"/>
        <family val="2"/>
        <charset val="136"/>
        <scheme val="minor"/>
      </rPr>
      <t>東陽</t>
    </r>
    <r>
      <rPr>
        <sz val="10"/>
        <color theme="1"/>
        <rFont val="Calibri"/>
        <family val="2"/>
        <scheme val="minor"/>
      </rPr>
      <t xml:space="preserve">x1
</t>
    </r>
    <r>
      <rPr>
        <sz val="10"/>
        <color theme="1"/>
        <rFont val="Calibri"/>
        <family val="2"/>
        <charset val="136"/>
        <scheme val="minor"/>
      </rPr>
      <t>泛穎</t>
    </r>
    <r>
      <rPr>
        <sz val="10"/>
        <color theme="1"/>
        <rFont val="Calibri"/>
        <family val="2"/>
        <scheme val="minor"/>
      </rPr>
      <t xml:space="preserve">x1
</t>
    </r>
    <r>
      <rPr>
        <sz val="10"/>
        <color theme="1"/>
        <rFont val="Calibri"/>
        <family val="2"/>
        <charset val="136"/>
        <scheme val="minor"/>
      </rPr>
      <t>築能</t>
    </r>
    <r>
      <rPr>
        <sz val="10"/>
        <color theme="1"/>
        <rFont val="Calibri"/>
        <family val="2"/>
        <scheme val="minor"/>
      </rPr>
      <t>x2</t>
    </r>
    <phoneticPr fontId="3" type="noConversion"/>
  </si>
  <si>
    <t>BM2026082001</t>
    <phoneticPr fontId="3" type="noConversion"/>
  </si>
  <si>
    <t>C-ADV-ECU-1051TL-R10AAE</t>
    <phoneticPr fontId="3" type="noConversion"/>
  </si>
  <si>
    <t>A07</t>
    <phoneticPr fontId="3" type="noConversion"/>
  </si>
  <si>
    <r>
      <rPr>
        <sz val="11"/>
        <color theme="1"/>
        <rFont val="Calibri"/>
        <family val="2"/>
        <charset val="136"/>
        <scheme val="minor"/>
      </rPr>
      <t>閘道器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charset val="136"/>
        <scheme val="minor"/>
      </rPr>
      <t>斗六國壽</t>
    </r>
    <r>
      <rPr>
        <sz val="11"/>
        <color theme="1"/>
        <rFont val="Calibri"/>
        <family val="2"/>
        <scheme val="minor"/>
      </rPr>
      <t>)</t>
    </r>
    <phoneticPr fontId="3" type="noConversion"/>
  </si>
  <si>
    <r>
      <rPr>
        <b/>
        <sz val="10"/>
        <color rgb="FF000000"/>
        <rFont val="Microsoft JhengHei"/>
        <family val="2"/>
        <charset val="136"/>
      </rPr>
      <t>日安能源</t>
    </r>
    <r>
      <rPr>
        <b/>
        <sz val="10"/>
        <color rgb="FF000000"/>
        <rFont val="Calibri"/>
        <family val="2"/>
      </rPr>
      <t>x1</t>
    </r>
    <r>
      <rPr>
        <b/>
        <sz val="10"/>
        <color rgb="FF000000"/>
        <rFont val="微軟正黑體"/>
        <family val="2"/>
        <charset val="136"/>
      </rPr>
      <t xml:space="preserve">
</t>
    </r>
    <r>
      <rPr>
        <sz val="10"/>
        <color rgb="FF000000"/>
        <rFont val="微軟正黑體"/>
        <family val="2"/>
        <charset val="136"/>
      </rPr>
      <t>台灣智能</t>
    </r>
    <r>
      <rPr>
        <sz val="10"/>
        <color rgb="FF000000"/>
        <rFont val="Calibri"/>
        <family val="2"/>
        <scheme val="minor"/>
      </rPr>
      <t xml:space="preserve">x2
</t>
    </r>
    <r>
      <rPr>
        <sz val="10"/>
        <color rgb="FF000000"/>
        <rFont val="微軟正黑體"/>
        <family val="2"/>
        <charset val="136"/>
      </rPr>
      <t>凱煬</t>
    </r>
    <r>
      <rPr>
        <sz val="10"/>
        <color rgb="FF000000"/>
        <rFont val="Calibri"/>
        <family val="2"/>
        <scheme val="minor"/>
      </rPr>
      <t>x1</t>
    </r>
    <phoneticPr fontId="3" type="noConversion"/>
  </si>
  <si>
    <r>
      <rPr>
        <b/>
        <sz val="10"/>
        <color rgb="FF000000"/>
        <rFont val="微軟正黑體"/>
        <family val="2"/>
        <charset val="136"/>
      </rPr>
      <t>中興電工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軍情局</t>
    </r>
    <r>
      <rPr>
        <b/>
        <sz val="10"/>
        <color rgb="FF000000"/>
        <rFont val="Calibri"/>
        <family val="2"/>
        <scheme val="minor"/>
      </rPr>
      <t xml:space="preserve">x5
</t>
    </r>
    <r>
      <rPr>
        <b/>
        <sz val="10"/>
        <color rgb="FF000000"/>
        <rFont val="微軟正黑體"/>
        <family val="2"/>
        <charset val="136"/>
      </rPr>
      <t>汎穎</t>
    </r>
    <r>
      <rPr>
        <b/>
        <sz val="10"/>
        <color rgb="FF000000"/>
        <rFont val="Calibri"/>
        <family val="2"/>
        <scheme val="minor"/>
      </rPr>
      <t xml:space="preserve">x1
</t>
    </r>
    <r>
      <rPr>
        <b/>
        <sz val="10"/>
        <color rgb="FF000000"/>
        <rFont val="微軟正黑體"/>
        <family val="2"/>
        <charset val="136"/>
      </rPr>
      <t>耀訊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日益能源</t>
    </r>
    <r>
      <rPr>
        <b/>
        <sz val="10"/>
        <color rgb="FF000000"/>
        <rFont val="Calibri"/>
        <family val="2"/>
        <scheme val="minor"/>
      </rPr>
      <t xml:space="preserve">x1
</t>
    </r>
    <r>
      <rPr>
        <b/>
        <sz val="10"/>
        <color rgb="FF000000"/>
        <rFont val="微軟正黑體"/>
        <family val="2"/>
        <charset val="136"/>
      </rPr>
      <t>新晨科技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國晉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國棋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日安能源</t>
    </r>
    <r>
      <rPr>
        <b/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台灣智能</t>
    </r>
    <r>
      <rPr>
        <sz val="10"/>
        <color rgb="FF000000"/>
        <rFont val="Calibri"/>
        <family val="2"/>
        <scheme val="minor"/>
      </rPr>
      <t xml:space="preserve">x2
</t>
    </r>
    <r>
      <rPr>
        <sz val="10"/>
        <color rgb="FF000000"/>
        <rFont val="微軟正黑體"/>
        <family val="2"/>
        <charset val="136"/>
      </rPr>
      <t>凱煬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國震中心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大自然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當宏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耀昇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恆宜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吉陽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晶兆成</t>
    </r>
    <r>
      <rPr>
        <sz val="10"/>
        <color rgb="FF000000"/>
        <rFont val="Calibri"/>
        <family val="2"/>
        <scheme val="minor"/>
      </rPr>
      <t>x2
Jessex1</t>
    </r>
    <phoneticPr fontId="3" type="noConversion"/>
  </si>
  <si>
    <r>
      <rPr>
        <b/>
        <sz val="10"/>
        <color rgb="FF000000"/>
        <rFont val="微軟正黑體"/>
        <family val="2"/>
        <charset val="136"/>
      </rPr>
      <t>中興電工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軍情局</t>
    </r>
    <r>
      <rPr>
        <b/>
        <sz val="10"/>
        <color rgb="FF000000"/>
        <rFont val="Calibri"/>
        <family val="2"/>
        <scheme val="minor"/>
      </rPr>
      <t xml:space="preserve">x5
</t>
    </r>
    <r>
      <rPr>
        <b/>
        <sz val="10"/>
        <color rgb="FF000000"/>
        <rFont val="微軟正黑體"/>
        <family val="2"/>
        <charset val="136"/>
      </rPr>
      <t>汎穎</t>
    </r>
    <r>
      <rPr>
        <b/>
        <sz val="10"/>
        <color rgb="FF000000"/>
        <rFont val="Calibri"/>
        <family val="2"/>
        <scheme val="minor"/>
      </rPr>
      <t xml:space="preserve">x1
</t>
    </r>
    <r>
      <rPr>
        <b/>
        <sz val="10"/>
        <color rgb="FF000000"/>
        <rFont val="微軟正黑體"/>
        <family val="2"/>
        <charset val="136"/>
      </rPr>
      <t>耀訊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日益能源</t>
    </r>
    <r>
      <rPr>
        <b/>
        <sz val="10"/>
        <color rgb="FF000000"/>
        <rFont val="Calibri"/>
        <family val="2"/>
        <scheme val="minor"/>
      </rPr>
      <t xml:space="preserve">x1
</t>
    </r>
    <r>
      <rPr>
        <b/>
        <sz val="10"/>
        <color rgb="FF000000"/>
        <rFont val="微軟正黑體"/>
        <family val="2"/>
        <charset val="136"/>
      </rPr>
      <t>新晨科技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國晉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國棋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日安能源</t>
    </r>
    <r>
      <rPr>
        <b/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凱煬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國震中心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當宏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吉陽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晶兆成</t>
    </r>
    <r>
      <rPr>
        <sz val="10"/>
        <color rgb="FF000000"/>
        <rFont val="Calibri"/>
        <family val="2"/>
        <scheme val="minor"/>
      </rPr>
      <t>x2
Jessex1</t>
    </r>
    <phoneticPr fontId="3" type="noConversion"/>
  </si>
  <si>
    <r>
      <rPr>
        <b/>
        <sz val="10"/>
        <color rgb="FF000000"/>
        <rFont val="微軟正黑體"/>
        <family val="2"/>
        <charset val="136"/>
      </rPr>
      <t>中興電工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軍情局</t>
    </r>
    <r>
      <rPr>
        <b/>
        <sz val="10"/>
        <color rgb="FF000000"/>
        <rFont val="Calibri"/>
        <family val="2"/>
        <scheme val="minor"/>
      </rPr>
      <t xml:space="preserve">x5
</t>
    </r>
    <r>
      <rPr>
        <b/>
        <sz val="10"/>
        <color rgb="FF000000"/>
        <rFont val="微軟正黑體"/>
        <family val="2"/>
        <charset val="136"/>
      </rPr>
      <t>汎穎</t>
    </r>
    <r>
      <rPr>
        <b/>
        <sz val="10"/>
        <color rgb="FF000000"/>
        <rFont val="Calibri"/>
        <family val="2"/>
        <scheme val="minor"/>
      </rPr>
      <t xml:space="preserve">x1
</t>
    </r>
    <r>
      <rPr>
        <b/>
        <sz val="10"/>
        <color rgb="FF000000"/>
        <rFont val="微軟正黑體"/>
        <family val="2"/>
        <charset val="136"/>
      </rPr>
      <t>耀訊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日益能源</t>
    </r>
    <r>
      <rPr>
        <b/>
        <sz val="10"/>
        <color rgb="FF000000"/>
        <rFont val="Calibri"/>
        <family val="2"/>
        <scheme val="minor"/>
      </rPr>
      <t xml:space="preserve">x1
</t>
    </r>
    <r>
      <rPr>
        <b/>
        <sz val="10"/>
        <color rgb="FF000000"/>
        <rFont val="微軟正黑體"/>
        <family val="2"/>
        <charset val="136"/>
      </rPr>
      <t>新晨科技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國晉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國棋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日安能源</t>
    </r>
    <r>
      <rPr>
        <b/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國震中心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當宏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台灣智能</t>
    </r>
    <r>
      <rPr>
        <sz val="10"/>
        <color rgb="FF000000"/>
        <rFont val="Calibri"/>
        <family val="2"/>
        <scheme val="minor"/>
      </rPr>
      <t xml:space="preserve">x2
</t>
    </r>
    <r>
      <rPr>
        <sz val="10"/>
        <color rgb="FF000000"/>
        <rFont val="微軟正黑體"/>
        <family val="2"/>
        <charset val="136"/>
      </rPr>
      <t>凱煬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吉陽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晶兆成</t>
    </r>
    <r>
      <rPr>
        <sz val="10"/>
        <color rgb="FF000000"/>
        <rFont val="Calibri"/>
        <family val="2"/>
        <scheme val="minor"/>
      </rPr>
      <t>x2
Jessex1</t>
    </r>
    <phoneticPr fontId="3" type="noConversion"/>
  </si>
  <si>
    <r>
      <rPr>
        <b/>
        <sz val="10"/>
        <color rgb="FF000000"/>
        <rFont val="微軟正黑體"/>
        <family val="2"/>
        <charset val="136"/>
      </rPr>
      <t>中興電工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軍情局</t>
    </r>
    <r>
      <rPr>
        <b/>
        <sz val="10"/>
        <color rgb="FF000000"/>
        <rFont val="Calibri"/>
        <family val="2"/>
        <scheme val="minor"/>
      </rPr>
      <t xml:space="preserve">x5
</t>
    </r>
    <r>
      <rPr>
        <b/>
        <sz val="10"/>
        <color rgb="FF000000"/>
        <rFont val="微軟正黑體"/>
        <family val="2"/>
        <charset val="136"/>
      </rPr>
      <t>汎穎</t>
    </r>
    <r>
      <rPr>
        <b/>
        <sz val="10"/>
        <color rgb="FF000000"/>
        <rFont val="Calibri"/>
        <family val="2"/>
        <scheme val="minor"/>
      </rPr>
      <t xml:space="preserve">x1
</t>
    </r>
    <r>
      <rPr>
        <b/>
        <sz val="10"/>
        <color rgb="FF000000"/>
        <rFont val="微軟正黑體"/>
        <family val="2"/>
        <charset val="136"/>
      </rPr>
      <t>耀訊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日益能源</t>
    </r>
    <r>
      <rPr>
        <b/>
        <sz val="10"/>
        <color rgb="FF000000"/>
        <rFont val="Calibri"/>
        <family val="2"/>
        <scheme val="minor"/>
      </rPr>
      <t xml:space="preserve">x1
</t>
    </r>
    <r>
      <rPr>
        <b/>
        <sz val="10"/>
        <color rgb="FF000000"/>
        <rFont val="微軟正黑體"/>
        <family val="2"/>
        <charset val="136"/>
      </rPr>
      <t>新晨科技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國晉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國棋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日安能源</t>
    </r>
    <r>
      <rPr>
        <b/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聯齊</t>
    </r>
    <r>
      <rPr>
        <sz val="10"/>
        <color rgb="FF000000"/>
        <rFont val="Calibri"/>
        <family val="2"/>
        <scheme val="minor"/>
      </rPr>
      <t>x3</t>
    </r>
    <phoneticPr fontId="3" type="noConversion"/>
  </si>
  <si>
    <r>
      <rPr>
        <b/>
        <sz val="10"/>
        <color rgb="FF000000"/>
        <rFont val="微軟正黑體"/>
        <family val="2"/>
        <charset val="136"/>
      </rPr>
      <t>中興電工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軍情局</t>
    </r>
    <r>
      <rPr>
        <b/>
        <sz val="10"/>
        <color rgb="FF000000"/>
        <rFont val="Calibri"/>
        <family val="2"/>
        <scheme val="minor"/>
      </rPr>
      <t xml:space="preserve">x5
</t>
    </r>
    <r>
      <rPr>
        <b/>
        <sz val="10"/>
        <color rgb="FF000000"/>
        <rFont val="微軟正黑體"/>
        <family val="2"/>
        <charset val="136"/>
      </rPr>
      <t>汎穎</t>
    </r>
    <r>
      <rPr>
        <b/>
        <sz val="10"/>
        <color rgb="FF000000"/>
        <rFont val="Calibri"/>
        <family val="2"/>
        <scheme val="minor"/>
      </rPr>
      <t xml:space="preserve">x1
</t>
    </r>
    <r>
      <rPr>
        <b/>
        <sz val="10"/>
        <color rgb="FF000000"/>
        <rFont val="微軟正黑體"/>
        <family val="2"/>
        <charset val="136"/>
      </rPr>
      <t>耀訊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日益能源</t>
    </r>
    <r>
      <rPr>
        <b/>
        <sz val="10"/>
        <color rgb="FF000000"/>
        <rFont val="Calibri"/>
        <family val="2"/>
        <scheme val="minor"/>
      </rPr>
      <t xml:space="preserve">x1
</t>
    </r>
    <r>
      <rPr>
        <b/>
        <sz val="10"/>
        <color rgb="FF000000"/>
        <rFont val="微軟正黑體"/>
        <family val="2"/>
        <charset val="136"/>
      </rPr>
      <t>新晨科技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國晉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國棋</t>
    </r>
    <r>
      <rPr>
        <b/>
        <sz val="10"/>
        <color rgb="FF000000"/>
        <rFont val="Calibri"/>
        <family val="2"/>
        <scheme val="minor"/>
      </rPr>
      <t xml:space="preserve">x2
</t>
    </r>
    <r>
      <rPr>
        <b/>
        <sz val="10"/>
        <color rgb="FF000000"/>
        <rFont val="微軟正黑體"/>
        <family val="2"/>
        <charset val="136"/>
      </rPr>
      <t>日安能源</t>
    </r>
    <r>
      <rPr>
        <b/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大自然</t>
    </r>
    <r>
      <rPr>
        <sz val="10"/>
        <color rgb="FF000000"/>
        <rFont val="Calibri"/>
        <family val="2"/>
        <scheme val="minor"/>
      </rPr>
      <t xml:space="preserve">x1
</t>
    </r>
    <r>
      <rPr>
        <sz val="10"/>
        <color rgb="FF000000"/>
        <rFont val="微軟正黑體"/>
        <family val="2"/>
        <charset val="136"/>
      </rPr>
      <t>聯齊</t>
    </r>
    <r>
      <rPr>
        <sz val="10"/>
        <color rgb="FF000000"/>
        <rFont val="Calibri"/>
        <family val="2"/>
        <scheme val="minor"/>
      </rPr>
      <t>x2</t>
    </r>
    <phoneticPr fontId="3" type="noConversion"/>
  </si>
  <si>
    <t>X504-K200</t>
    <phoneticPr fontId="3" type="noConversion"/>
  </si>
  <si>
    <t>SF-NB-0001</t>
    <phoneticPr fontId="3" type="noConversion"/>
  </si>
  <si>
    <r>
      <rPr>
        <sz val="11"/>
        <color rgb="FFFF0000"/>
        <rFont val="Calibri"/>
        <family val="2"/>
        <charset val="136"/>
        <scheme val="minor"/>
      </rPr>
      <t>黃鴻喬</t>
    </r>
    <phoneticPr fontId="3" type="noConversion"/>
  </si>
  <si>
    <r>
      <rPr>
        <sz val="11"/>
        <color rgb="FFFF0000"/>
        <rFont val="Calibri"/>
        <family val="2"/>
        <charset val="136"/>
        <scheme val="minor"/>
      </rPr>
      <t>資產</t>
    </r>
    <phoneticPr fontId="3" type="noConversion"/>
  </si>
  <si>
    <t>SF-NB-0014</t>
    <phoneticPr fontId="3" type="noConversion"/>
  </si>
  <si>
    <t>SF-A305-AR-727-ESR1121</t>
    <phoneticPr fontId="3" type="noConversion"/>
  </si>
  <si>
    <r>
      <rPr>
        <sz val="12"/>
        <color rgb="FF000000"/>
        <rFont val="微軟正黑體"/>
        <family val="2"/>
        <charset val="136"/>
      </rPr>
      <t>門禁</t>
    </r>
    <r>
      <rPr>
        <sz val="12"/>
        <color rgb="FF000000"/>
        <rFont val="Calibri"/>
        <family val="2"/>
        <scheme val="minor"/>
      </rPr>
      <t xml:space="preserve"> SOYAL/</t>
    </r>
    <r>
      <rPr>
        <sz val="12"/>
        <color rgb="FF000000"/>
        <rFont val="微軟正黑體"/>
        <family val="2"/>
        <charset val="136"/>
      </rPr>
      <t>門禁控制器</t>
    </r>
    <phoneticPr fontId="3" type="noConversion"/>
  </si>
  <si>
    <t>SOYAL</t>
    <phoneticPr fontId="3" type="noConversion"/>
  </si>
  <si>
    <t>H009-SMAX-AP1</t>
    <phoneticPr fontId="3" type="noConversion"/>
  </si>
  <si>
    <t>SF-H009-SMAX-AP1</t>
    <phoneticPr fontId="3" type="noConversion"/>
  </si>
  <si>
    <t>A</t>
    <phoneticPr fontId="3" type="noConversion"/>
  </si>
  <si>
    <r>
      <rPr>
        <sz val="12"/>
        <color rgb="FF000000"/>
        <rFont val="微軟正黑體"/>
        <family val="2"/>
        <charset val="136"/>
      </rPr>
      <t>攝影機</t>
    </r>
    <r>
      <rPr>
        <sz val="12"/>
        <color rgb="FF000000"/>
        <rFont val="Calibri"/>
        <family val="2"/>
        <scheme val="minor"/>
      </rPr>
      <t xml:space="preserve"> SMAX/</t>
    </r>
    <r>
      <rPr>
        <sz val="12"/>
        <color rgb="FF000000"/>
        <rFont val="微軟正黑體"/>
        <family val="2"/>
        <charset val="136"/>
      </rPr>
      <t>網路攝影機</t>
    </r>
    <r>
      <rPr>
        <sz val="12"/>
        <color rgb="FF000000"/>
        <rFont val="Calibri"/>
        <family val="2"/>
        <scheme val="minor"/>
      </rPr>
      <t xml:space="preserve"> SMAX AP1</t>
    </r>
    <phoneticPr fontId="3" type="noConversion"/>
  </si>
  <si>
    <t>SMAX</t>
    <phoneticPr fontId="3" type="noConversion"/>
  </si>
  <si>
    <r>
      <rPr>
        <b/>
        <sz val="11"/>
        <color rgb="FFFFFFFF"/>
        <rFont val="Calibri"/>
        <family val="2"/>
        <charset val="136"/>
        <scheme val="minor"/>
      </rPr>
      <t>資產編號</t>
    </r>
  </si>
  <si>
    <r>
      <rPr>
        <b/>
        <sz val="11"/>
        <color rgb="FFFFFFFF"/>
        <rFont val="Calibri"/>
        <family val="2"/>
        <charset val="136"/>
        <scheme val="minor"/>
      </rPr>
      <t>管理層級</t>
    </r>
  </si>
  <si>
    <r>
      <rPr>
        <b/>
        <sz val="11"/>
        <color rgb="FFFFFFFF"/>
        <rFont val="Calibri"/>
        <family val="2"/>
        <charset val="136"/>
        <scheme val="minor"/>
      </rPr>
      <t>資產類</t>
    </r>
  </si>
  <si>
    <r>
      <rPr>
        <b/>
        <sz val="11"/>
        <color rgb="FFFFFFFF"/>
        <rFont val="Calibri"/>
        <family val="2"/>
        <charset val="136"/>
        <scheme val="minor"/>
      </rPr>
      <t>設備類型</t>
    </r>
  </si>
  <si>
    <r>
      <rPr>
        <b/>
        <sz val="11"/>
        <color rgb="FFFFFFFF"/>
        <rFont val="Calibri"/>
        <family val="2"/>
        <charset val="136"/>
        <scheme val="minor"/>
      </rPr>
      <t>資產名稱</t>
    </r>
  </si>
  <si>
    <r>
      <rPr>
        <b/>
        <sz val="11"/>
        <color rgb="FFFFFFFF"/>
        <rFont val="Calibri"/>
        <family val="2"/>
        <charset val="136"/>
        <scheme val="minor"/>
      </rPr>
      <t>品牌</t>
    </r>
  </si>
  <si>
    <r>
      <rPr>
        <b/>
        <sz val="11"/>
        <color rgb="FFFFFFFF"/>
        <rFont val="Calibri"/>
        <family val="2"/>
        <charset val="136"/>
        <scheme val="minor"/>
      </rPr>
      <t>型號</t>
    </r>
  </si>
  <si>
    <r>
      <rPr>
        <b/>
        <sz val="11"/>
        <color rgb="FFFFFFFF"/>
        <rFont val="Calibri"/>
        <family val="2"/>
        <charset val="136"/>
        <scheme val="minor"/>
      </rPr>
      <t>規格／容量</t>
    </r>
  </si>
  <si>
    <r>
      <rPr>
        <b/>
        <sz val="11"/>
        <color rgb="FFFFFFFF"/>
        <rFont val="Calibri"/>
        <family val="2"/>
        <charset val="136"/>
        <scheme val="minor"/>
      </rPr>
      <t>序號／識別碼</t>
    </r>
  </si>
  <si>
    <r>
      <rPr>
        <b/>
        <sz val="11"/>
        <color rgb="FFFFFFFF"/>
        <rFont val="Calibri"/>
        <family val="2"/>
        <charset val="136"/>
        <scheme val="minor"/>
      </rPr>
      <t>數量</t>
    </r>
  </si>
  <si>
    <r>
      <rPr>
        <b/>
        <sz val="11"/>
        <color rgb="FFFFFFFF"/>
        <rFont val="Calibri"/>
        <family val="2"/>
        <charset val="136"/>
        <scheme val="minor"/>
      </rPr>
      <t>資產歸屬</t>
    </r>
  </si>
  <si>
    <r>
      <rPr>
        <b/>
        <sz val="11"/>
        <color rgb="FFFFFFFF"/>
        <rFont val="Calibri"/>
        <family val="2"/>
        <charset val="136"/>
        <scheme val="minor"/>
      </rPr>
      <t>保管人／使用人</t>
    </r>
  </si>
  <si>
    <r>
      <rPr>
        <b/>
        <sz val="11"/>
        <color rgb="FFFFFFFF"/>
        <rFont val="Calibri"/>
        <family val="2"/>
        <charset val="136"/>
        <scheme val="minor"/>
      </rPr>
      <t>部門</t>
    </r>
  </si>
  <si>
    <r>
      <rPr>
        <b/>
        <sz val="11"/>
        <color rgb="FFFFFFFF"/>
        <rFont val="Calibri"/>
        <family val="2"/>
        <charset val="136"/>
        <scheme val="minor"/>
      </rPr>
      <t>放置地點</t>
    </r>
  </si>
  <si>
    <r>
      <rPr>
        <b/>
        <sz val="11"/>
        <color rgb="FFFFFFFF"/>
        <rFont val="Calibri"/>
        <family val="2"/>
        <charset val="136"/>
        <scheme val="minor"/>
      </rPr>
      <t>購入日期</t>
    </r>
  </si>
  <si>
    <r>
      <rPr>
        <b/>
        <sz val="11"/>
        <color rgb="FFFFFFFF"/>
        <rFont val="Calibri"/>
        <family val="2"/>
        <charset val="136"/>
        <scheme val="minor"/>
      </rPr>
      <t>設備狀況</t>
    </r>
  </si>
  <si>
    <r>
      <rPr>
        <b/>
        <sz val="11"/>
        <color rgb="FFFFFFFF"/>
        <rFont val="Calibri"/>
        <family val="2"/>
        <charset val="136"/>
        <scheme val="minor"/>
      </rPr>
      <t>主機名稱／</t>
    </r>
    <r>
      <rPr>
        <b/>
        <sz val="11"/>
        <color rgb="FFFFFFFF"/>
        <rFont val="Calibri"/>
        <family val="2"/>
        <scheme val="minor"/>
      </rPr>
      <t>IP</t>
    </r>
  </si>
  <si>
    <r>
      <rPr>
        <b/>
        <sz val="11"/>
        <color rgb="FFFFFFFF"/>
        <rFont val="Calibri"/>
        <family val="2"/>
        <charset val="136"/>
        <scheme val="minor"/>
      </rPr>
      <t>欄</t>
    </r>
    <r>
      <rPr>
        <b/>
        <sz val="11"/>
        <color rgb="FFFFFFFF"/>
        <rFont val="Calibri"/>
        <family val="2"/>
        <scheme val="minor"/>
      </rPr>
      <t>1</t>
    </r>
  </si>
  <si>
    <r>
      <rPr>
        <sz val="11"/>
        <color rgb="FF000000"/>
        <rFont val="Calibri"/>
        <family val="2"/>
        <charset val="136"/>
        <scheme val="minor"/>
      </rPr>
      <t>伺服器設備</t>
    </r>
  </si>
  <si>
    <r>
      <rPr>
        <sz val="11"/>
        <color rgb="FF000000"/>
        <rFont val="Calibri"/>
        <family val="2"/>
        <charset val="136"/>
        <scheme val="minor"/>
      </rPr>
      <t>實體伺服器／</t>
    </r>
    <r>
      <rPr>
        <sz val="11"/>
        <color rgb="FF000000"/>
        <rFont val="Calibri"/>
        <family val="2"/>
        <scheme val="minor"/>
      </rPr>
      <t>VM</t>
    </r>
    <r>
      <rPr>
        <sz val="11"/>
        <color rgb="FF000000"/>
        <rFont val="Calibri"/>
        <family val="2"/>
        <charset val="136"/>
        <scheme val="minor"/>
      </rPr>
      <t>宿主機</t>
    </r>
  </si>
  <si>
    <r>
      <rPr>
        <sz val="11"/>
        <color rgb="FF000000"/>
        <rFont val="Calibri"/>
        <family val="2"/>
        <scheme val="minor"/>
      </rPr>
      <t>LAB</t>
    </r>
    <r>
      <rPr>
        <sz val="11"/>
        <color rgb="FF000000"/>
        <rFont val="Calibri"/>
        <family val="2"/>
        <charset val="136"/>
        <scheme val="minor"/>
      </rPr>
      <t>主機</t>
    </r>
    <r>
      <rPr>
        <sz val="11"/>
        <color rgb="FF000000"/>
        <rFont val="Calibri"/>
        <family val="2"/>
        <scheme val="minor"/>
      </rPr>
      <t>#1(I713)</t>
    </r>
  </si>
  <si>
    <r>
      <rPr>
        <sz val="11"/>
        <color rgb="FF000000"/>
        <rFont val="Calibri"/>
        <family val="2"/>
        <scheme val="minor"/>
      </rPr>
      <t>TUF GAMING B760M-E D4(</t>
    </r>
    <r>
      <rPr>
        <sz val="11"/>
        <color rgb="FF000000"/>
        <rFont val="Calibri"/>
        <family val="2"/>
        <charset val="136"/>
        <scheme val="minor"/>
      </rPr>
      <t>組裝桌機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</si>
  <si>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scheme val="minor"/>
      </rPr>
      <t>13th Gen Intel(R) Core(TM) i7-13700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 xml:space="preserve">16 </t>
    </r>
    <r>
      <rPr>
        <sz val="11"/>
        <color rgb="FF000000"/>
        <rFont val="Calibri"/>
        <family val="2"/>
        <charset val="136"/>
        <scheme val="minor"/>
      </rPr>
      <t>核心、</t>
    </r>
    <r>
      <rPr>
        <sz val="11"/>
        <color rgb="FF000000"/>
        <rFont val="Calibri"/>
        <family val="2"/>
        <scheme val="minor"/>
      </rPr>
      <t xml:space="preserve">24 </t>
    </r>
    <r>
      <rPr>
        <sz val="11"/>
        <color rgb="FF000000"/>
        <rFont val="Calibri"/>
        <family val="2"/>
        <charset val="136"/>
        <scheme val="minor"/>
      </rPr>
      <t>邏輯處理器；</t>
    </r>
    <r>
      <rPr>
        <sz val="11"/>
        <color rgb="FF000000"/>
        <rFont val="Calibri"/>
        <family val="2"/>
        <scheme val="minor"/>
      </rPr>
      <t>64 GB RAM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Crucial P3 Plus NVMe SSD 2 TB × 2</t>
    </r>
  </si>
  <si>
    <r>
      <rPr>
        <sz val="11"/>
        <color rgb="FF000000"/>
        <rFont val="Calibri"/>
        <family val="2"/>
        <scheme val="minor"/>
      </rPr>
      <t>230722818600326(</t>
    </r>
    <r>
      <rPr>
        <sz val="11"/>
        <color rgb="FF000000"/>
        <rFont val="Calibri"/>
        <family val="2"/>
        <charset val="136"/>
        <scheme val="minor"/>
      </rPr>
      <t>主機板序號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</si>
  <si>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charset val="136"/>
        <scheme val="minor"/>
      </rPr>
      <t>公司</t>
    </r>
  </si>
  <si>
    <r>
      <rPr>
        <sz val="11"/>
        <color rgb="FF000000"/>
        <rFont val="Calibri"/>
        <family val="2"/>
        <charset val="136"/>
        <scheme val="minor"/>
      </rPr>
      <t>曹桓豪</t>
    </r>
  </si>
  <si>
    <r>
      <rPr>
        <sz val="11"/>
        <color rgb="FF000000"/>
        <rFont val="Calibri"/>
        <family val="2"/>
        <charset val="136"/>
        <scheme val="minor"/>
      </rPr>
      <t>工程技術服務部</t>
    </r>
  </si>
  <si>
    <r>
      <rPr>
        <sz val="11"/>
        <color rgb="FF000000"/>
        <rFont val="Calibri"/>
        <family val="2"/>
        <charset val="136"/>
        <scheme val="minor"/>
      </rPr>
      <t>公司</t>
    </r>
    <r>
      <rPr>
        <sz val="11"/>
        <color rgb="FF000000"/>
        <rFont val="Calibri"/>
        <family val="2"/>
        <scheme val="minor"/>
      </rPr>
      <t>LAB/</t>
    </r>
    <r>
      <rPr>
        <sz val="11"/>
        <color rgb="FF000000"/>
        <rFont val="Calibri"/>
        <family val="2"/>
        <charset val="136"/>
        <scheme val="minor"/>
      </rPr>
      <t>機櫃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黑色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Calibri"/>
        <family val="2"/>
        <charset val="136"/>
        <scheme val="minor"/>
      </rPr>
      <t>中層右邊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</si>
  <si>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charset val="136"/>
        <scheme val="minor"/>
      </rPr>
      <t>正常使用</t>
    </r>
  </si>
  <si>
    <r>
      <rPr>
        <sz val="11"/>
        <color rgb="FF000000"/>
        <rFont val="Calibri"/>
        <family val="2"/>
        <charset val="136"/>
        <scheme val="minor"/>
      </rPr>
      <t>主機：</t>
    </r>
    <r>
      <rPr>
        <sz val="11"/>
        <color rgb="FF000000"/>
        <rFont val="Calibri"/>
        <family val="2"/>
        <scheme val="minor"/>
      </rPr>
      <t>SF-I7-13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IP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192.168.123.124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192.168.2.102(</t>
    </r>
    <r>
      <rPr>
        <sz val="11"/>
        <color rgb="FF000000"/>
        <rFont val="Calibri"/>
        <family val="2"/>
        <charset val="136"/>
        <scheme val="minor"/>
      </rPr>
      <t>固定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</si>
  <si>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scheme val="minor"/>
      </rPr>
      <t>LAB</t>
    </r>
    <r>
      <rPr>
        <sz val="11"/>
        <color rgb="FF000000"/>
        <rFont val="Calibri"/>
        <family val="2"/>
        <charset val="136"/>
        <scheme val="minor"/>
      </rPr>
      <t>主機</t>
    </r>
    <r>
      <rPr>
        <sz val="11"/>
        <color rgb="FF000000"/>
        <rFont val="Calibri"/>
        <family val="2"/>
        <scheme val="minor"/>
      </rPr>
      <t>#2(I710)</t>
    </r>
  </si>
  <si>
    <r>
      <rPr>
        <sz val="11"/>
        <color rgb="FF000000"/>
        <rFont val="Calibri"/>
        <family val="2"/>
        <scheme val="minor"/>
      </rPr>
      <t>Intel(R) Core(TM) i7-10700 CPU @ 2.90GHz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 xml:space="preserve">8 </t>
    </r>
    <r>
      <rPr>
        <sz val="11"/>
        <color rgb="FF000000"/>
        <rFont val="Calibri"/>
        <family val="2"/>
        <charset val="136"/>
        <scheme val="minor"/>
      </rPr>
      <t>核心、</t>
    </r>
    <r>
      <rPr>
        <sz val="11"/>
        <color rgb="FF000000"/>
        <rFont val="Calibri"/>
        <family val="2"/>
        <scheme val="minor"/>
      </rPr>
      <t xml:space="preserve">16 </t>
    </r>
    <r>
      <rPr>
        <sz val="11"/>
        <color rgb="FF000000"/>
        <rFont val="Calibri"/>
        <family val="2"/>
        <charset val="136"/>
        <scheme val="minor"/>
      </rPr>
      <t>邏輯處理器；</t>
    </r>
    <r>
      <rPr>
        <sz val="11"/>
        <color rgb="FF000000"/>
        <rFont val="Calibri"/>
        <family val="2"/>
        <scheme val="minor"/>
      </rPr>
      <t>32 GB RAM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WD SN530 NVMe SSD 512 GB</t>
    </r>
    <r>
      <rPr>
        <sz val="11"/>
        <color rgb="FF000000"/>
        <rFont val="Calibri"/>
        <family val="2"/>
        <charset val="136"/>
        <scheme val="minor"/>
      </rPr>
      <t>＋</t>
    </r>
    <r>
      <rPr>
        <sz val="11"/>
        <color rgb="FF000000"/>
        <rFont val="Calibri"/>
        <family val="2"/>
        <scheme val="minor"/>
      </rPr>
      <t>Samsung SSD 870 QVO 1 TB</t>
    </r>
    <r>
      <rPr>
        <sz val="11"/>
        <color rgb="FF000000"/>
        <rFont val="Calibri"/>
        <family val="2"/>
        <charset val="136"/>
        <scheme val="minor"/>
      </rPr>
      <t>＋</t>
    </r>
    <r>
      <rPr>
        <sz val="11"/>
        <color rgb="FF000000"/>
        <rFont val="Calibri"/>
        <family val="2"/>
        <scheme val="minor"/>
      </rPr>
      <t>WD HDD 2 TB</t>
    </r>
  </si>
  <si>
    <r>
      <rPr>
        <sz val="11"/>
        <color rgb="FF000000"/>
        <rFont val="Calibri"/>
        <family val="2"/>
        <charset val="136"/>
        <scheme val="minor"/>
      </rPr>
      <t>公司</t>
    </r>
    <r>
      <rPr>
        <sz val="11"/>
        <color rgb="FF000000"/>
        <rFont val="Calibri"/>
        <family val="2"/>
        <scheme val="minor"/>
      </rPr>
      <t>LAB/</t>
    </r>
    <r>
      <rPr>
        <sz val="11"/>
        <color rgb="FF000000"/>
        <rFont val="Calibri"/>
        <family val="2"/>
        <charset val="136"/>
        <scheme val="minor"/>
      </rPr>
      <t>機櫃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黑色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Calibri"/>
        <family val="2"/>
        <charset val="136"/>
        <scheme val="minor"/>
      </rPr>
      <t>下層右邊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</si>
  <si>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charset val="136"/>
        <scheme val="minor"/>
      </rPr>
      <t>主機：</t>
    </r>
    <r>
      <rPr>
        <sz val="11"/>
        <color rgb="FF000000"/>
        <rFont val="Calibri"/>
        <family val="2"/>
        <scheme val="minor"/>
      </rPr>
      <t>SF-I7-10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IP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192.168.123.10(</t>
    </r>
    <r>
      <rPr>
        <sz val="11"/>
        <color rgb="FF000000"/>
        <rFont val="Calibri"/>
        <family val="2"/>
        <charset val="136"/>
        <scheme val="minor"/>
      </rPr>
      <t>固定</t>
    </r>
    <r>
      <rPr>
        <sz val="11"/>
        <color rgb="FF000000"/>
        <rFont val="Calibri"/>
        <family val="2"/>
        <scheme val="minor"/>
      </rPr>
      <t>)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192.168.92.100(DHCP)</t>
    </r>
  </si>
  <si>
    <r>
      <rPr>
        <sz val="11"/>
        <color rgb="FF000000"/>
        <rFont val="Calibri"/>
        <family val="2"/>
        <scheme val="minor"/>
      </rPr>
      <t>LAB</t>
    </r>
    <r>
      <rPr>
        <sz val="11"/>
        <color rgb="FF000000"/>
        <rFont val="Calibri"/>
        <family val="2"/>
        <charset val="136"/>
        <scheme val="minor"/>
      </rPr>
      <t>主機</t>
    </r>
    <r>
      <rPr>
        <sz val="11"/>
        <color rgb="FF000000"/>
        <rFont val="Calibri"/>
        <family val="2"/>
        <scheme val="minor"/>
      </rPr>
      <t>#3(I508)</t>
    </r>
  </si>
  <si>
    <r>
      <rPr>
        <sz val="11"/>
        <color rgb="FF000000"/>
        <rFont val="Calibri"/>
        <family val="2"/>
        <scheme val="minor"/>
      </rPr>
      <t>Intel(R) Core(TM) i5-8400 CPU @ 2.80GHz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 xml:space="preserve">6 </t>
    </r>
    <r>
      <rPr>
        <sz val="11"/>
        <color rgb="FF000000"/>
        <rFont val="Calibri"/>
        <family val="2"/>
        <charset val="136"/>
        <scheme val="minor"/>
      </rPr>
      <t>核心、</t>
    </r>
    <r>
      <rPr>
        <sz val="11"/>
        <color rgb="FF000000"/>
        <rFont val="Calibri"/>
        <family val="2"/>
        <scheme val="minor"/>
      </rPr>
      <t xml:space="preserve">6 </t>
    </r>
    <r>
      <rPr>
        <sz val="11"/>
        <color rgb="FF000000"/>
        <rFont val="Calibri"/>
        <family val="2"/>
        <charset val="136"/>
        <scheme val="minor"/>
      </rPr>
      <t>邏輯處理器；</t>
    </r>
    <r>
      <rPr>
        <sz val="11"/>
        <color rgb="FF000000"/>
        <rFont val="Calibri"/>
        <family val="2"/>
        <scheme val="minor"/>
      </rPr>
      <t>16 GB RAM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 xml:space="preserve">WD SN520 NVMe SSD 512 GB(C:)
Crucial MX500 SSD 2 TB(E:)
ADATA HV620S </t>
    </r>
    <r>
      <rPr>
        <sz val="11"/>
        <color rgb="FF000000"/>
        <rFont val="Calibri"/>
        <family val="2"/>
        <charset val="136"/>
        <scheme val="minor"/>
      </rPr>
      <t>外接硬碟</t>
    </r>
    <r>
      <rPr>
        <sz val="11"/>
        <color rgb="FF000000"/>
        <rFont val="Calibri"/>
        <family val="2"/>
        <scheme val="minor"/>
      </rPr>
      <t xml:space="preserve"> 1 TB(F:)</t>
    </r>
  </si>
  <si>
    <r>
      <rPr>
        <sz val="11"/>
        <color rgb="FF000000"/>
        <rFont val="Calibri"/>
        <family val="2"/>
        <charset val="136"/>
        <scheme val="minor"/>
      </rPr>
      <t>公司</t>
    </r>
    <r>
      <rPr>
        <sz val="11"/>
        <color rgb="FF000000"/>
        <rFont val="Calibri"/>
        <family val="2"/>
        <scheme val="minor"/>
      </rPr>
      <t>LAB</t>
    </r>
    <r>
      <rPr>
        <sz val="11"/>
        <color rgb="FF000000"/>
        <rFont val="Calibri"/>
        <family val="2"/>
        <charset val="136"/>
        <scheme val="minor"/>
      </rPr>
      <t>／機櫃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銀白色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Calibri"/>
        <family val="2"/>
        <charset val="136"/>
        <scheme val="minor"/>
      </rPr>
      <t>中層左邊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</si>
  <si>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charset val="136"/>
        <scheme val="minor"/>
      </rPr>
      <t>主機：</t>
    </r>
    <r>
      <rPr>
        <sz val="11"/>
        <color rgb="FF000000"/>
        <rFont val="Calibri"/>
        <family val="2"/>
        <scheme val="minor"/>
      </rPr>
      <t>SF-VMTEST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IP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192.168.2.70(</t>
    </r>
    <r>
      <rPr>
        <sz val="11"/>
        <color rgb="FF000000"/>
        <rFont val="Calibri"/>
        <family val="2"/>
        <charset val="136"/>
        <scheme val="minor"/>
      </rPr>
      <t>固定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</si>
  <si>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scheme val="minor"/>
      </rPr>
      <t>LAB</t>
    </r>
    <r>
      <rPr>
        <sz val="11"/>
        <color rgb="FF000000"/>
        <rFont val="Calibri"/>
        <family val="2"/>
        <charset val="136"/>
        <scheme val="minor"/>
      </rPr>
      <t>主機</t>
    </r>
    <r>
      <rPr>
        <sz val="11"/>
        <color rgb="FF000000"/>
        <rFont val="Calibri"/>
        <family val="2"/>
        <scheme val="minor"/>
      </rPr>
      <t>#4(I514)</t>
    </r>
  </si>
  <si>
    <r>
      <rPr>
        <sz val="11"/>
        <color rgb="FF000000"/>
        <rFont val="Calibri"/>
        <family val="2"/>
        <scheme val="minor"/>
      </rPr>
      <t>TUF GAMING Z790-PLUS D4(</t>
    </r>
    <r>
      <rPr>
        <sz val="11"/>
        <color rgb="FF000000"/>
        <rFont val="Calibri"/>
        <family val="2"/>
        <charset val="136"/>
        <scheme val="minor"/>
      </rPr>
      <t>組裝桌機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</si>
  <si>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scheme val="minor"/>
      </rPr>
      <t>Intel(R) Core(TM) i5-14500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 xml:space="preserve">14 </t>
    </r>
    <r>
      <rPr>
        <sz val="11"/>
        <color rgb="FF000000"/>
        <rFont val="Calibri"/>
        <family val="2"/>
        <charset val="136"/>
        <scheme val="minor"/>
      </rPr>
      <t>核心、</t>
    </r>
    <r>
      <rPr>
        <sz val="11"/>
        <color rgb="FF000000"/>
        <rFont val="Calibri"/>
        <family val="2"/>
        <scheme val="minor"/>
      </rPr>
      <t xml:space="preserve">20 </t>
    </r>
    <r>
      <rPr>
        <sz val="11"/>
        <color rgb="FF000000"/>
        <rFont val="Calibri"/>
        <family val="2"/>
        <charset val="136"/>
        <scheme val="minor"/>
      </rPr>
      <t>邏輯處理器；</t>
    </r>
    <r>
      <rPr>
        <sz val="11"/>
        <color rgb="FF000000"/>
        <rFont val="Calibri"/>
        <family val="2"/>
        <scheme val="minor"/>
      </rPr>
      <t>64 GB RAM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Crucial T500 NVMe SSD 1 TB × 2</t>
    </r>
  </si>
  <si>
    <r>
      <rPr>
        <sz val="11"/>
        <color rgb="FF000000"/>
        <rFont val="Calibri"/>
        <family val="2"/>
        <scheme val="minor"/>
      </rPr>
      <t>240233868700144(</t>
    </r>
    <r>
      <rPr>
        <sz val="11"/>
        <color rgb="FF000000"/>
        <rFont val="Calibri"/>
        <family val="2"/>
        <charset val="136"/>
        <scheme val="minor"/>
      </rPr>
      <t>主機板序號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</si>
  <si>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charset val="136"/>
        <scheme val="minor"/>
      </rPr>
      <t>公司</t>
    </r>
    <r>
      <rPr>
        <sz val="11"/>
        <color rgb="FF000000"/>
        <rFont val="Calibri"/>
        <family val="2"/>
        <scheme val="minor"/>
      </rPr>
      <t>LAB/</t>
    </r>
    <r>
      <rPr>
        <sz val="11"/>
        <color rgb="FF000000"/>
        <rFont val="Calibri"/>
        <family val="2"/>
        <charset val="136"/>
        <scheme val="minor"/>
      </rPr>
      <t>機櫃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黑色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Calibri"/>
        <family val="2"/>
        <charset val="136"/>
        <scheme val="minor"/>
      </rPr>
      <t>最上層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</si>
  <si>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charset val="136"/>
        <scheme val="minor"/>
      </rPr>
      <t>主機：</t>
    </r>
    <r>
      <rPr>
        <sz val="11"/>
        <color rgb="FF000000"/>
        <rFont val="Calibri"/>
        <family val="2"/>
        <scheme val="minor"/>
      </rPr>
      <t>Z790-PLUS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IP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192.168.1.123(</t>
    </r>
    <r>
      <rPr>
        <sz val="11"/>
        <color rgb="FF000000"/>
        <rFont val="Calibri"/>
        <family val="2"/>
        <charset val="136"/>
        <scheme val="minor"/>
      </rPr>
      <t>固定</t>
    </r>
    <r>
      <rPr>
        <sz val="11"/>
        <color rgb="FF000000"/>
        <rFont val="Calibri"/>
        <family val="2"/>
        <scheme val="minor"/>
      </rPr>
      <t>)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192.168.123.106(DHCP)</t>
    </r>
  </si>
  <si>
    <r>
      <rPr>
        <sz val="11"/>
        <color rgb="FF000000"/>
        <rFont val="Calibri"/>
        <family val="2"/>
        <charset val="136"/>
        <scheme val="minor"/>
      </rPr>
      <t>虛擬資產</t>
    </r>
  </si>
  <si>
    <r>
      <rPr>
        <sz val="11"/>
        <color rgb="FF000000"/>
        <rFont val="Calibri"/>
        <family val="2"/>
        <charset val="136"/>
        <scheme val="minor"/>
      </rPr>
      <t>虛擬機器</t>
    </r>
    <r>
      <rPr>
        <sz val="11"/>
        <color rgb="FF000000"/>
        <rFont val="Calibri"/>
        <family val="2"/>
        <scheme val="minor"/>
      </rPr>
      <t>(VM)</t>
    </r>
  </si>
  <si>
    <r>
      <rPr>
        <sz val="11"/>
        <color rgb="FF000000"/>
        <rFont val="Calibri"/>
        <family val="2"/>
        <charset val="136"/>
        <scheme val="minor"/>
      </rPr>
      <t>正航主機</t>
    </r>
    <r>
      <rPr>
        <sz val="11"/>
        <color rgb="FF000000"/>
        <rFont val="Calibri"/>
        <family val="2"/>
        <scheme val="minor"/>
      </rPr>
      <t xml:space="preserve"> VM(SUNFORCE-CHI)</t>
    </r>
  </si>
  <si>
    <r>
      <rPr>
        <sz val="11"/>
        <color rgb="FF000000"/>
        <rFont val="Calibri"/>
        <family val="2"/>
        <scheme val="minor"/>
      </rPr>
      <t>Microsoft Windows Server 2003 Standard Edition SP2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4 vCPU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4 GB RAM</t>
    </r>
    <r>
      <rPr>
        <sz val="11"/>
        <color rgb="FF000000"/>
        <rFont val="Calibri"/>
        <family val="2"/>
        <charset val="136"/>
        <scheme val="minor"/>
      </rPr>
      <t>／虛擬磁碟</t>
    </r>
    <r>
      <rPr>
        <sz val="11"/>
        <color rgb="FF000000"/>
        <rFont val="Calibri"/>
        <family val="2"/>
        <scheme val="minor"/>
      </rPr>
      <t xml:space="preserve"> 32 GB + 100 GB</t>
    </r>
  </si>
  <si>
    <r>
      <rPr>
        <sz val="11"/>
        <color rgb="FF000000"/>
        <rFont val="Calibri"/>
        <family val="2"/>
        <scheme val="minor"/>
      </rPr>
      <t>SF-SVR-0001(LAB</t>
    </r>
    <r>
      <rPr>
        <sz val="11"/>
        <color rgb="FF000000"/>
        <rFont val="Calibri"/>
        <family val="2"/>
        <charset val="136"/>
        <scheme val="minor"/>
      </rPr>
      <t>主機</t>
    </r>
    <r>
      <rPr>
        <sz val="11"/>
        <color rgb="FF000000"/>
        <rFont val="Calibri"/>
        <family val="2"/>
        <scheme val="minor"/>
      </rPr>
      <t>#1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I713)</t>
    </r>
    <r>
      <rPr>
        <sz val="11"/>
        <color rgb="FF000000"/>
        <rFont val="Calibri"/>
        <family val="2"/>
        <charset val="136"/>
        <scheme val="minor"/>
      </rPr>
      <t>內</t>
    </r>
  </si>
  <si>
    <r>
      <rPr>
        <sz val="11"/>
        <color rgb="FF000000"/>
        <rFont val="Calibri"/>
        <family val="2"/>
        <charset val="136"/>
        <scheme val="minor"/>
      </rPr>
      <t>主機：</t>
    </r>
    <r>
      <rPr>
        <sz val="11"/>
        <color rgb="FF000000"/>
        <rFont val="Calibri"/>
        <family val="2"/>
        <scheme val="minor"/>
      </rPr>
      <t>SUNFORCE-CHI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IP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192.168.123.216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MAC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00-0C-29-08-1E-7D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Calibri"/>
        <family val="2"/>
        <charset val="136"/>
        <scheme val="minor"/>
      </rPr>
      <t>提供正航系統與資料庫</t>
    </r>
    <r>
      <rPr>
        <sz val="11"/>
        <color theme="1"/>
        <rFont val="Calibri"/>
        <family val="2"/>
        <scheme val="minor"/>
      </rPr>
      <t>)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</si>
  <si>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綠能主機</t>
    </r>
    <r>
      <rPr>
        <sz val="11"/>
        <color rgb="FF000000"/>
        <rFont val="Calibri"/>
        <family val="2"/>
        <scheme val="minor"/>
      </rPr>
      <t xml:space="preserve"> VM(WIN10x64_GreenPower)</t>
    </r>
  </si>
  <si>
    <r>
      <rPr>
        <sz val="11"/>
        <color rgb="FF000000"/>
        <rFont val="Calibri"/>
        <family val="2"/>
        <scheme val="minor"/>
      </rPr>
      <t xml:space="preserve">Microsoft Windows 10 </t>
    </r>
    <r>
      <rPr>
        <sz val="11"/>
        <color rgb="FF000000"/>
        <rFont val="Calibri"/>
        <family val="2"/>
        <charset val="136"/>
        <scheme val="minor"/>
      </rPr>
      <t>專業版／</t>
    </r>
    <r>
      <rPr>
        <sz val="11"/>
        <color rgb="FF000000"/>
        <rFont val="Calibri"/>
        <family val="2"/>
        <scheme val="minor"/>
      </rPr>
      <t>4 vCPU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8 GB RAM</t>
    </r>
    <r>
      <rPr>
        <sz val="11"/>
        <color rgb="FF000000"/>
        <rFont val="Calibri"/>
        <family val="2"/>
        <charset val="136"/>
        <scheme val="minor"/>
      </rPr>
      <t>／虛擬磁碟</t>
    </r>
    <r>
      <rPr>
        <sz val="11"/>
        <color rgb="FF000000"/>
        <rFont val="Calibri"/>
        <family val="2"/>
        <scheme val="minor"/>
      </rPr>
      <t xml:space="preserve"> 100 GB × 2</t>
    </r>
  </si>
  <si>
    <r>
      <rPr>
        <sz val="11"/>
        <color rgb="FF000000"/>
        <rFont val="Calibri"/>
        <family val="2"/>
        <charset val="136"/>
        <scheme val="minor"/>
      </rPr>
      <t>主機：</t>
    </r>
    <r>
      <rPr>
        <sz val="11"/>
        <color rgb="FF000000"/>
        <rFont val="Calibri"/>
        <family val="2"/>
        <scheme val="minor"/>
      </rPr>
      <t>DESKTOP-7VCN8QC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IP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192.168.2.101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192.168.123.127</t>
    </r>
  </si>
  <si>
    <r>
      <rPr>
        <sz val="11"/>
        <color rgb="FF000000"/>
        <rFont val="Calibri"/>
        <family val="2"/>
        <charset val="136"/>
        <scheme val="minor"/>
      </rPr>
      <t>水門專案跳板機</t>
    </r>
    <r>
      <rPr>
        <sz val="11"/>
        <color rgb="FF000000"/>
        <rFont val="Calibri"/>
        <family val="2"/>
        <scheme val="minor"/>
      </rPr>
      <t xml:space="preserve"> VM(93</t>
    </r>
    <r>
      <rPr>
        <sz val="11"/>
        <color rgb="FF000000"/>
        <rFont val="Calibri"/>
        <family val="2"/>
        <charset val="136"/>
        <scheme val="minor"/>
      </rPr>
      <t>跳板機</t>
    </r>
    <r>
      <rPr>
        <sz val="11"/>
        <color rgb="FF000000"/>
        <rFont val="Calibri"/>
        <family val="2"/>
        <scheme val="minor"/>
      </rPr>
      <t>)</t>
    </r>
    <phoneticPr fontId="3" type="noConversion"/>
  </si>
  <si>
    <r>
      <rPr>
        <sz val="11"/>
        <color rgb="FF000000"/>
        <rFont val="Calibri"/>
        <family val="2"/>
        <scheme val="minor"/>
      </rPr>
      <t xml:space="preserve">Microsoft Windows 10 </t>
    </r>
    <r>
      <rPr>
        <sz val="11"/>
        <color rgb="FF000000"/>
        <rFont val="Calibri"/>
        <family val="2"/>
        <charset val="136"/>
        <scheme val="minor"/>
      </rPr>
      <t>專業版／</t>
    </r>
    <r>
      <rPr>
        <sz val="11"/>
        <color rgb="FF000000"/>
        <rFont val="Calibri"/>
        <family val="2"/>
        <scheme val="minor"/>
      </rPr>
      <t>2 vCPU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4 GB RAM</t>
    </r>
    <r>
      <rPr>
        <sz val="11"/>
        <color rgb="FF000000"/>
        <rFont val="Calibri"/>
        <family val="2"/>
        <charset val="136"/>
        <scheme val="minor"/>
      </rPr>
      <t>／虛擬磁碟</t>
    </r>
    <r>
      <rPr>
        <sz val="11"/>
        <color rgb="FF000000"/>
        <rFont val="Calibri"/>
        <family val="2"/>
        <scheme val="minor"/>
      </rPr>
      <t xml:space="preserve"> 100 GB</t>
    </r>
  </si>
  <si>
    <r>
      <rPr>
        <sz val="11"/>
        <color rgb="FF000000"/>
        <rFont val="Calibri"/>
        <family val="2"/>
        <scheme val="minor"/>
      </rPr>
      <t>SF-SVR-0002(LAB</t>
    </r>
    <r>
      <rPr>
        <sz val="11"/>
        <color rgb="FF000000"/>
        <rFont val="Calibri"/>
        <family val="2"/>
        <charset val="136"/>
        <scheme val="minor"/>
      </rPr>
      <t>主機</t>
    </r>
    <r>
      <rPr>
        <sz val="11"/>
        <color rgb="FF000000"/>
        <rFont val="Calibri"/>
        <family val="2"/>
        <scheme val="minor"/>
      </rPr>
      <t>#2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I710)</t>
    </r>
    <r>
      <rPr>
        <sz val="11"/>
        <color rgb="FF000000"/>
        <rFont val="Calibri"/>
        <family val="2"/>
        <charset val="136"/>
        <scheme val="minor"/>
      </rPr>
      <t>內</t>
    </r>
  </si>
  <si>
    <r>
      <rPr>
        <sz val="11"/>
        <color theme="1"/>
        <rFont val="Calibri"/>
        <family val="2"/>
        <charset val="136"/>
        <scheme val="minor"/>
      </rPr>
      <t>主機：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</si>
  <si>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正航跳板機</t>
    </r>
    <r>
      <rPr>
        <sz val="11"/>
        <color rgb="FF000000"/>
        <rFont val="Calibri"/>
        <family val="2"/>
        <scheme val="minor"/>
      </rPr>
      <t xml:space="preserve"> VM(DESKTOP-NGG3B97)</t>
    </r>
  </si>
  <si>
    <r>
      <rPr>
        <sz val="11"/>
        <color rgb="FF000000"/>
        <rFont val="Calibri"/>
        <family val="2"/>
        <scheme val="minor"/>
      </rPr>
      <t xml:space="preserve">Microsoft Windows 10 </t>
    </r>
    <r>
      <rPr>
        <sz val="11"/>
        <color rgb="FF000000"/>
        <rFont val="Calibri"/>
        <family val="2"/>
        <charset val="136"/>
        <scheme val="minor"/>
      </rPr>
      <t>專業版</t>
    </r>
    <r>
      <rPr>
        <sz val="11"/>
        <color rgb="FF000000"/>
        <rFont val="Calibri"/>
        <family val="2"/>
        <scheme val="minor"/>
      </rPr>
      <t xml:space="preserve"> 22H2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2 vCPU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4 GB RAM</t>
    </r>
    <r>
      <rPr>
        <sz val="11"/>
        <color rgb="FF000000"/>
        <rFont val="Calibri"/>
        <family val="2"/>
        <charset val="136"/>
        <scheme val="minor"/>
      </rPr>
      <t>／虛擬磁碟約</t>
    </r>
    <r>
      <rPr>
        <sz val="11"/>
        <color rgb="FF000000"/>
        <rFont val="Calibri"/>
        <family val="2"/>
        <scheme val="minor"/>
      </rPr>
      <t xml:space="preserve"> 100 GB</t>
    </r>
  </si>
  <si>
    <r>
      <rPr>
        <sz val="11"/>
        <color rgb="FF000000"/>
        <rFont val="Calibri"/>
        <family val="2"/>
        <charset val="136"/>
        <scheme val="minor"/>
      </rPr>
      <t>主機：</t>
    </r>
    <r>
      <rPr>
        <sz val="11"/>
        <color rgb="FF000000"/>
        <rFont val="Calibri"/>
        <family val="2"/>
        <scheme val="minor"/>
      </rPr>
      <t>DESKTOP-NGG3B97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IP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192.168.123.72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192.168.92.101</t>
    </r>
  </si>
  <si>
    <r>
      <rPr>
        <sz val="11"/>
        <color rgb="FF000000"/>
        <rFont val="Calibri"/>
        <family val="2"/>
        <scheme val="minor"/>
      </rPr>
      <t>DKS</t>
    </r>
    <r>
      <rPr>
        <sz val="11"/>
        <color rgb="FF000000"/>
        <rFont val="Calibri"/>
        <family val="2"/>
        <charset val="136"/>
        <scheme val="minor"/>
      </rPr>
      <t>公司系統</t>
    </r>
    <r>
      <rPr>
        <sz val="11"/>
        <color rgb="FF000000"/>
        <rFont val="Calibri"/>
        <family val="2"/>
        <scheme val="minor"/>
      </rPr>
      <t xml:space="preserve"> VM(WIN-U06ES9HMAKE)</t>
    </r>
  </si>
  <si>
    <r>
      <rPr>
        <sz val="11"/>
        <color rgb="FF000000"/>
        <rFont val="Calibri"/>
        <family val="2"/>
        <scheme val="minor"/>
      </rPr>
      <t>Microsoft Windows Server 2012 Datacenter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4 vCPU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8 GB RAM</t>
    </r>
    <r>
      <rPr>
        <sz val="11"/>
        <color rgb="FF000000"/>
        <rFont val="Calibri"/>
        <family val="2"/>
        <charset val="136"/>
        <scheme val="minor"/>
      </rPr>
      <t>／虛擬磁碟</t>
    </r>
    <r>
      <rPr>
        <sz val="11"/>
        <color rgb="FF000000"/>
        <rFont val="Calibri"/>
        <family val="2"/>
        <scheme val="minor"/>
      </rPr>
      <t xml:space="preserve"> 100 GB</t>
    </r>
  </si>
  <si>
    <r>
      <rPr>
        <sz val="11"/>
        <color rgb="FF000000"/>
        <rFont val="Calibri"/>
        <family val="2"/>
        <scheme val="minor"/>
      </rPr>
      <t>SF-SVR-0003(LAB</t>
    </r>
    <r>
      <rPr>
        <sz val="11"/>
        <color rgb="FF000000"/>
        <rFont val="Calibri"/>
        <family val="2"/>
        <charset val="136"/>
        <scheme val="minor"/>
      </rPr>
      <t>主機</t>
    </r>
    <r>
      <rPr>
        <sz val="11"/>
        <color rgb="FF000000"/>
        <rFont val="Calibri"/>
        <family val="2"/>
        <scheme val="minor"/>
      </rPr>
      <t>#3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I508)</t>
    </r>
    <r>
      <rPr>
        <sz val="11"/>
        <color rgb="FF000000"/>
        <rFont val="Calibri"/>
        <family val="2"/>
        <charset val="136"/>
        <scheme val="minor"/>
      </rPr>
      <t>內</t>
    </r>
  </si>
  <si>
    <r>
      <rPr>
        <sz val="11"/>
        <color rgb="FF000000"/>
        <rFont val="Calibri"/>
        <family val="2"/>
        <charset val="136"/>
        <scheme val="minor"/>
      </rPr>
      <t>主機：</t>
    </r>
    <r>
      <rPr>
        <sz val="11"/>
        <color rgb="FF000000"/>
        <rFont val="Calibri"/>
        <family val="2"/>
        <scheme val="minor"/>
      </rPr>
      <t>WIN-U06ES9HMAKE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IP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192.168.2.71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MAC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00-0C-29-27-61-F3</t>
    </r>
  </si>
  <si>
    <r>
      <rPr>
        <sz val="11"/>
        <color rgb="FF000000"/>
        <rFont val="Calibri"/>
        <family val="2"/>
        <charset val="136"/>
        <scheme val="minor"/>
      </rPr>
      <t>台電模擬主機</t>
    </r>
    <r>
      <rPr>
        <sz val="11"/>
        <color rgb="FF000000"/>
        <rFont val="Calibri"/>
        <family val="2"/>
        <scheme val="minor"/>
      </rPr>
      <t xml:space="preserve"> VM(Win2K22x64_20250908)</t>
    </r>
  </si>
  <si>
    <r>
      <rPr>
        <sz val="11"/>
        <color rgb="FF000000"/>
        <rFont val="Calibri"/>
        <family val="2"/>
        <scheme val="minor"/>
      </rPr>
      <t>Microsoft Windows Server 2022 Standard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8 vCPU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32 GB RAM</t>
    </r>
    <r>
      <rPr>
        <sz val="11"/>
        <color rgb="FF000000"/>
        <rFont val="Calibri"/>
        <family val="2"/>
        <charset val="136"/>
        <scheme val="minor"/>
      </rPr>
      <t>／虛擬磁碟</t>
    </r>
    <r>
      <rPr>
        <sz val="11"/>
        <color rgb="FF000000"/>
        <rFont val="Calibri"/>
        <family val="2"/>
        <scheme val="minor"/>
      </rPr>
      <t xml:space="preserve"> 200 GB + 128 GB</t>
    </r>
  </si>
  <si>
    <r>
      <rPr>
        <sz val="11"/>
        <color rgb="FF000000"/>
        <rFont val="Calibri"/>
        <family val="2"/>
        <scheme val="minor"/>
      </rPr>
      <t>SF-SVR-0004(LAB</t>
    </r>
    <r>
      <rPr>
        <sz val="11"/>
        <color rgb="FF000000"/>
        <rFont val="Calibri"/>
        <family val="2"/>
        <charset val="136"/>
        <scheme val="minor"/>
      </rPr>
      <t>主機</t>
    </r>
    <r>
      <rPr>
        <sz val="11"/>
        <color rgb="FF000000"/>
        <rFont val="Calibri"/>
        <family val="2"/>
        <scheme val="minor"/>
      </rPr>
      <t>#4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I514)</t>
    </r>
    <r>
      <rPr>
        <sz val="11"/>
        <color rgb="FF000000"/>
        <rFont val="Calibri"/>
        <family val="2"/>
        <charset val="136"/>
        <scheme val="minor"/>
      </rPr>
      <t>內</t>
    </r>
  </si>
  <si>
    <r>
      <rPr>
        <sz val="11"/>
        <color rgb="FF000000"/>
        <rFont val="Calibri"/>
        <family val="2"/>
        <charset val="136"/>
        <scheme val="minor"/>
      </rPr>
      <t>主機：</t>
    </r>
    <r>
      <rPr>
        <sz val="11"/>
        <color rgb="FF000000"/>
        <rFont val="Calibri"/>
        <family val="2"/>
        <scheme val="minor"/>
      </rPr>
      <t>VM2K22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IP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192.168.1.102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MAC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00-50-56-22-A5-E5</t>
    </r>
  </si>
  <si>
    <r>
      <rPr>
        <sz val="11"/>
        <color rgb="FF000000"/>
        <rFont val="Calibri"/>
        <family val="2"/>
        <charset val="136"/>
        <scheme val="minor"/>
      </rPr>
      <t>黃酈圓－</t>
    </r>
    <r>
      <rPr>
        <sz val="11"/>
        <color rgb="FF000000"/>
        <rFont val="Calibri"/>
        <family val="2"/>
        <scheme val="minor"/>
      </rPr>
      <t>VM(VM-SVR2019)</t>
    </r>
    <phoneticPr fontId="3" type="noConversion"/>
  </si>
  <si>
    <r>
      <rPr>
        <sz val="11"/>
        <color rgb="FF000000"/>
        <rFont val="Calibri"/>
        <family val="2"/>
        <scheme val="minor"/>
      </rPr>
      <t>Microsoft Windows Server 2019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Intel Core i7-12700H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16 GB RAM</t>
    </r>
    <r>
      <rPr>
        <sz val="11"/>
        <color rgb="FF000000"/>
        <rFont val="Calibri"/>
        <family val="2"/>
        <charset val="136"/>
        <scheme val="minor"/>
      </rPr>
      <t>／虛擬磁碟</t>
    </r>
    <r>
      <rPr>
        <sz val="11"/>
        <color rgb="FF000000"/>
        <rFont val="Calibri"/>
        <family val="2"/>
        <scheme val="minor"/>
      </rPr>
      <t xml:space="preserve"> 350 GB + 300 GB</t>
    </r>
  </si>
  <si>
    <r>
      <rPr>
        <sz val="11"/>
        <color rgb="FF000000"/>
        <rFont val="Calibri"/>
        <family val="2"/>
        <charset val="136"/>
        <scheme val="minor"/>
      </rPr>
      <t>黃酈圓</t>
    </r>
  </si>
  <si>
    <r>
      <rPr>
        <sz val="11"/>
        <color rgb="FF000000"/>
        <rFont val="Calibri"/>
        <family val="2"/>
        <charset val="136"/>
        <scheme val="minor"/>
      </rPr>
      <t>研發部</t>
    </r>
  </si>
  <si>
    <r>
      <rPr>
        <sz val="11"/>
        <color rgb="FF000000"/>
        <rFont val="Calibri"/>
        <family val="2"/>
        <scheme val="minor"/>
      </rPr>
      <t>SF-NB-0010(</t>
    </r>
    <r>
      <rPr>
        <sz val="11"/>
        <color rgb="FF000000"/>
        <rFont val="Calibri"/>
        <family val="2"/>
        <charset val="136"/>
        <scheme val="minor"/>
      </rPr>
      <t>黃酈圓－筆電</t>
    </r>
    <r>
      <rPr>
        <sz val="11"/>
        <color rgb="FF000000"/>
        <rFont val="Calibri"/>
        <family val="2"/>
        <scheme val="minor"/>
      </rPr>
      <t>#1)</t>
    </r>
    <r>
      <rPr>
        <sz val="11"/>
        <color rgb="FF000000"/>
        <rFont val="Calibri"/>
        <family val="2"/>
        <charset val="136"/>
        <scheme val="minor"/>
      </rPr>
      <t>內</t>
    </r>
  </si>
  <si>
    <r>
      <rPr>
        <sz val="11"/>
        <color rgb="FF000000"/>
        <rFont val="Calibri"/>
        <family val="2"/>
        <scheme val="minor"/>
      </rPr>
      <t>IP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192.168.123.60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 xml:space="preserve">4 </t>
    </r>
    <r>
      <rPr>
        <sz val="11"/>
        <color rgb="FF000000"/>
        <rFont val="Calibri"/>
        <family val="2"/>
        <charset val="136"/>
        <scheme val="minor"/>
      </rPr>
      <t>張虛擬網路卡</t>
    </r>
  </si>
  <si>
    <r>
      <rPr>
        <sz val="11"/>
        <color rgb="FF000000"/>
        <rFont val="Calibri"/>
        <family val="2"/>
        <charset val="136"/>
        <scheme val="minor"/>
      </rPr>
      <t>電腦設備</t>
    </r>
  </si>
  <si>
    <r>
      <rPr>
        <sz val="11"/>
        <color rgb="FF000000"/>
        <rFont val="Calibri"/>
        <family val="2"/>
        <charset val="136"/>
        <scheme val="minor"/>
      </rPr>
      <t>桌上型電腦</t>
    </r>
  </si>
  <si>
    <r>
      <rPr>
        <sz val="11"/>
        <color rgb="FF000000"/>
        <rFont val="Calibri"/>
        <family val="2"/>
        <charset val="136"/>
        <scheme val="minor"/>
      </rPr>
      <t>羅福枝－桌上型</t>
    </r>
    <phoneticPr fontId="3" type="noConversion"/>
  </si>
  <si>
    <r>
      <rPr>
        <sz val="11"/>
        <color rgb="FF000000"/>
        <rFont val="Calibri"/>
        <family val="2"/>
        <scheme val="minor"/>
      </rPr>
      <t>Intel(R) Core(TM) i5-14400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32 GB RAM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UMAX M.2 PCIe Gen4x4 SSD 1TB</t>
    </r>
  </si>
  <si>
    <r>
      <rPr>
        <sz val="11"/>
        <color rgb="FF000000"/>
        <rFont val="Calibri"/>
        <family val="2"/>
        <charset val="136"/>
        <scheme val="minor"/>
      </rPr>
      <t>羅福枝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</si>
  <si>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總經理</t>
    </r>
  </si>
  <si>
    <r>
      <rPr>
        <sz val="11"/>
        <color rgb="FF000000"/>
        <rFont val="Calibri"/>
        <family val="2"/>
        <charset val="136"/>
        <scheme val="minor"/>
      </rPr>
      <t>辦公區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分機</t>
    </r>
    <r>
      <rPr>
        <sz val="11"/>
        <color rgb="FF000000"/>
        <rFont val="Calibri"/>
        <family val="2"/>
        <scheme val="minor"/>
      </rPr>
      <t>8200</t>
    </r>
    <r>
      <rPr>
        <sz val="11"/>
        <color rgb="FF000000"/>
        <rFont val="Calibri"/>
        <family val="2"/>
        <charset val="136"/>
        <scheme val="minor"/>
      </rPr>
      <t>座位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</si>
  <si>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charset val="136"/>
        <scheme val="minor"/>
      </rPr>
      <t>曹哲維</t>
    </r>
    <r>
      <rPr>
        <sz val="11"/>
        <color rgb="FF000000"/>
        <rFont val="Calibri"/>
        <family val="2"/>
        <scheme val="minor"/>
      </rPr>
      <t>-</t>
    </r>
    <r>
      <rPr>
        <sz val="11"/>
        <color rgb="FF000000"/>
        <rFont val="Calibri"/>
        <family val="2"/>
        <charset val="136"/>
        <scheme val="minor"/>
      </rPr>
      <t>桌上型</t>
    </r>
    <phoneticPr fontId="3" type="noConversion"/>
  </si>
  <si>
    <r>
      <rPr>
        <sz val="11"/>
        <color rgb="FF000000"/>
        <rFont val="Calibri"/>
        <family val="2"/>
        <scheme val="minor"/>
      </rPr>
      <t>12th Gen Intel(R) Core(TM) i7-12700 (2.10 GHz)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32GB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2TB SSD + 2TB SSD + 8TB HDD</t>
    </r>
  </si>
  <si>
    <r>
      <rPr>
        <sz val="11"/>
        <color theme="1"/>
        <rFont val="Calibri"/>
        <family val="2"/>
        <charset val="136"/>
        <scheme val="minor"/>
      </rPr>
      <t>曹哲維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</si>
  <si>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辦公區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分機</t>
    </r>
    <r>
      <rPr>
        <sz val="11"/>
        <color rgb="FF000000"/>
        <rFont val="Calibri"/>
        <family val="2"/>
        <scheme val="minor"/>
      </rPr>
      <t>8212</t>
    </r>
    <r>
      <rPr>
        <sz val="11"/>
        <color rgb="FF000000"/>
        <rFont val="Calibri"/>
        <family val="2"/>
        <charset val="136"/>
        <scheme val="minor"/>
      </rPr>
      <t>座位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</si>
  <si>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scheme val="minor"/>
      </rPr>
      <t>IP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60.249.19.184</t>
    </r>
  </si>
  <si>
    <r>
      <rPr>
        <sz val="11"/>
        <color rgb="FF000000"/>
        <rFont val="Calibri"/>
        <family val="2"/>
        <charset val="136"/>
        <scheme val="minor"/>
      </rPr>
      <t>筆記型電腦</t>
    </r>
  </si>
  <si>
    <r>
      <rPr>
        <sz val="11"/>
        <color rgb="FF000000"/>
        <rFont val="Calibri"/>
        <family val="2"/>
        <charset val="136"/>
        <scheme val="minor"/>
      </rPr>
      <t>陳修慶－筆電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含電源線</t>
    </r>
    <r>
      <rPr>
        <sz val="11"/>
        <color rgb="FF000000"/>
        <rFont val="Calibri"/>
        <family val="2"/>
        <scheme val="minor"/>
      </rPr>
      <t>)</t>
    </r>
    <phoneticPr fontId="3" type="noConversion"/>
  </si>
  <si>
    <r>
      <rPr>
        <sz val="11"/>
        <color rgb="FF000000"/>
        <rFont val="Calibri"/>
        <family val="2"/>
        <scheme val="minor"/>
      </rPr>
      <t>Intel(R) Core(TM) i5-7200U CPU @ 2.50GHz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 xml:space="preserve">2 </t>
    </r>
    <r>
      <rPr>
        <sz val="11"/>
        <color rgb="FF000000"/>
        <rFont val="Calibri"/>
        <family val="2"/>
        <charset val="136"/>
        <scheme val="minor"/>
      </rPr>
      <t>核心、</t>
    </r>
    <r>
      <rPr>
        <sz val="11"/>
        <color rgb="FF000000"/>
        <rFont val="Calibri"/>
        <family val="2"/>
        <scheme val="minor"/>
      </rPr>
      <t xml:space="preserve">4 </t>
    </r>
    <r>
      <rPr>
        <sz val="11"/>
        <color rgb="FF000000"/>
        <rFont val="Calibri"/>
        <family val="2"/>
        <charset val="136"/>
        <scheme val="minor"/>
      </rPr>
      <t>邏輯處理器；</t>
    </r>
    <r>
      <rPr>
        <sz val="11"/>
        <color rgb="FF000000"/>
        <rFont val="Calibri"/>
        <family val="2"/>
        <scheme val="minor"/>
      </rPr>
      <t>12 GB RAM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 xml:space="preserve">SanDisk SSD 256 GB(C: </t>
    </r>
    <r>
      <rPr>
        <sz val="11"/>
        <color rgb="FF000000"/>
        <rFont val="Calibri"/>
        <family val="2"/>
        <charset val="136"/>
        <scheme val="minor"/>
      </rPr>
      <t>約</t>
    </r>
    <r>
      <rPr>
        <sz val="11"/>
        <color rgb="FF000000"/>
        <rFont val="Calibri"/>
        <family val="2"/>
        <scheme val="minor"/>
      </rPr>
      <t xml:space="preserve"> 237 GB)</t>
    </r>
  </si>
  <si>
    <r>
      <rPr>
        <sz val="11"/>
        <color rgb="FF000000"/>
        <rFont val="Calibri"/>
        <family val="2"/>
        <charset val="136"/>
        <scheme val="minor"/>
      </rPr>
      <t>陳修慶</t>
    </r>
  </si>
  <si>
    <r>
      <rPr>
        <sz val="11"/>
        <color rgb="FF000000"/>
        <rFont val="Calibri"/>
        <family val="2"/>
        <charset val="136"/>
        <scheme val="minor"/>
      </rPr>
      <t>業務部</t>
    </r>
  </si>
  <si>
    <r>
      <rPr>
        <sz val="11"/>
        <color rgb="FF000000"/>
        <rFont val="Calibri"/>
        <family val="2"/>
        <charset val="136"/>
        <scheme val="minor"/>
      </rPr>
      <t>辦公區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分機</t>
    </r>
    <r>
      <rPr>
        <sz val="11"/>
        <color rgb="FF000000"/>
        <rFont val="Calibri"/>
        <family val="2"/>
        <scheme val="minor"/>
      </rPr>
      <t>8202</t>
    </r>
    <r>
      <rPr>
        <sz val="11"/>
        <color rgb="FF000000"/>
        <rFont val="Calibri"/>
        <family val="2"/>
        <charset val="136"/>
        <scheme val="minor"/>
      </rPr>
      <t>座位</t>
    </r>
    <r>
      <rPr>
        <sz val="11"/>
        <color rgb="FF000000"/>
        <rFont val="Calibri"/>
        <family val="2"/>
        <scheme val="minor"/>
      </rPr>
      <t>)</t>
    </r>
  </si>
  <si>
    <r>
      <rPr>
        <b/>
        <sz val="11"/>
        <color rgb="FFFF0000"/>
        <rFont val="Calibri"/>
        <family val="2"/>
        <charset val="136"/>
        <scheme val="minor"/>
      </rPr>
      <t>目前借出給</t>
    </r>
    <r>
      <rPr>
        <b/>
        <sz val="11"/>
        <color rgb="FFFF0000"/>
        <rFont val="Calibri"/>
        <family val="2"/>
        <scheme val="minor"/>
      </rPr>
      <t>Tommy</t>
    </r>
    <r>
      <rPr>
        <b/>
        <sz val="11"/>
        <color rgb="FFFF0000"/>
        <rFont val="Calibri"/>
        <family val="2"/>
        <charset val="136"/>
        <scheme val="minor"/>
      </rPr>
      <t>用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</si>
  <si>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李宇豐－筆電</t>
    </r>
    <phoneticPr fontId="3" type="noConversion"/>
  </si>
  <si>
    <r>
      <rPr>
        <sz val="11"/>
        <color rgb="FF000000"/>
        <rFont val="Calibri"/>
        <family val="2"/>
        <scheme val="minor"/>
      </rPr>
      <t>Intel(R) Core(TM) Ultra 5 125H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16GB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512GB SSD</t>
    </r>
  </si>
  <si>
    <r>
      <rPr>
        <sz val="11"/>
        <color rgb="FF000000"/>
        <rFont val="Calibri"/>
        <family val="2"/>
        <charset val="136"/>
        <scheme val="minor"/>
      </rPr>
      <t>李芊妤</t>
    </r>
  </si>
  <si>
    <r>
      <rPr>
        <sz val="11"/>
        <color rgb="FF000000"/>
        <rFont val="Calibri"/>
        <family val="2"/>
        <charset val="136"/>
        <scheme val="minor"/>
      </rPr>
      <t>辦公區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分機</t>
    </r>
    <r>
      <rPr>
        <sz val="11"/>
        <color rgb="FF000000"/>
        <rFont val="Calibri"/>
        <family val="2"/>
        <scheme val="minor"/>
      </rPr>
      <t>8217</t>
    </r>
    <r>
      <rPr>
        <sz val="11"/>
        <color rgb="FF000000"/>
        <rFont val="Calibri"/>
        <family val="2"/>
        <charset val="136"/>
        <scheme val="minor"/>
      </rPr>
      <t>座位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</si>
  <si>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theme="1"/>
        <rFont val="Calibri"/>
        <family val="2"/>
        <charset val="136"/>
        <scheme val="minor"/>
      </rPr>
      <t>正常使用</t>
    </r>
  </si>
  <si>
    <r>
      <t>2026/9/7</t>
    </r>
    <r>
      <rPr>
        <sz val="11"/>
        <color theme="1"/>
        <rFont val="Calibri"/>
        <family val="2"/>
        <charset val="136"/>
        <scheme val="minor"/>
      </rPr>
      <t>從展場回來後提供給宇豐使用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</si>
  <si>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李芊妤－筆電</t>
    </r>
  </si>
  <si>
    <r>
      <rPr>
        <sz val="11"/>
        <color rgb="FF000000"/>
        <rFont val="Calibri"/>
        <family val="2"/>
        <scheme val="minor"/>
      </rPr>
      <t>Snapdragon(R) X 12-core X1E80100 @ 3.40 GHz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16 GB RAM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SKhynix HFS512GEJ3X108N SSD 512 GB</t>
    </r>
  </si>
  <si>
    <r>
      <rPr>
        <sz val="11"/>
        <color rgb="FF000000"/>
        <rFont val="Calibri"/>
        <family val="2"/>
        <charset val="136"/>
        <scheme val="minor"/>
      </rPr>
      <t>財務暨管理部</t>
    </r>
  </si>
  <si>
    <r>
      <rPr>
        <sz val="11"/>
        <color rgb="FF000000"/>
        <rFont val="Calibri"/>
        <family val="2"/>
        <charset val="136"/>
        <scheme val="minor"/>
      </rPr>
      <t>辦公區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分機</t>
    </r>
    <r>
      <rPr>
        <sz val="11"/>
        <color rgb="FF000000"/>
        <rFont val="Calibri"/>
        <family val="2"/>
        <scheme val="minor"/>
      </rPr>
      <t>8208</t>
    </r>
    <r>
      <rPr>
        <sz val="11"/>
        <color rgb="FF000000"/>
        <rFont val="Calibri"/>
        <family val="2"/>
        <charset val="136"/>
        <scheme val="minor"/>
      </rPr>
      <t>座位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</si>
  <si>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charset val="136"/>
        <scheme val="minor"/>
      </rPr>
      <t>胡尉雯－筆電</t>
    </r>
  </si>
  <si>
    <r>
      <rPr>
        <sz val="11"/>
        <color rgb="FF000000"/>
        <rFont val="Calibri"/>
        <family val="2"/>
        <scheme val="minor"/>
      </rPr>
      <t>Intel(R) Core(TM) i5-10210U CPU @ 1.60GHz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8GB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SSD 512GB</t>
    </r>
  </si>
  <si>
    <r>
      <rPr>
        <sz val="11"/>
        <color rgb="FF000000"/>
        <rFont val="Calibri"/>
        <family val="2"/>
        <charset val="136"/>
        <scheme val="minor"/>
      </rPr>
      <t>胡尉雯</t>
    </r>
  </si>
  <si>
    <r>
      <rPr>
        <sz val="11"/>
        <color rgb="FF000000"/>
        <rFont val="Calibri"/>
        <family val="2"/>
        <charset val="136"/>
        <scheme val="minor"/>
      </rPr>
      <t>辦公區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分機</t>
    </r>
    <r>
      <rPr>
        <sz val="11"/>
        <color rgb="FF000000"/>
        <rFont val="Calibri"/>
        <family val="2"/>
        <scheme val="minor"/>
      </rPr>
      <t>8201</t>
    </r>
    <r>
      <rPr>
        <sz val="11"/>
        <color rgb="FF000000"/>
        <rFont val="Calibri"/>
        <family val="2"/>
        <charset val="136"/>
        <scheme val="minor"/>
      </rPr>
      <t>座位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</si>
  <si>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charset val="136"/>
        <scheme val="minor"/>
      </rPr>
      <t>曹桓豪－筆電</t>
    </r>
  </si>
  <si>
    <r>
      <rPr>
        <sz val="11"/>
        <color rgb="FF000000"/>
        <rFont val="Calibri"/>
        <family val="2"/>
        <scheme val="minor"/>
      </rPr>
      <t xml:space="preserve">Intel(R) Core(TM) Ultra 5 125H(14 </t>
    </r>
    <r>
      <rPr>
        <sz val="11"/>
        <color rgb="FF000000"/>
        <rFont val="Calibri"/>
        <family val="2"/>
        <charset val="136"/>
        <scheme val="minor"/>
      </rPr>
      <t>核心、</t>
    </r>
    <r>
      <rPr>
        <sz val="11"/>
        <color rgb="FF000000"/>
        <rFont val="Calibri"/>
        <family val="2"/>
        <scheme val="minor"/>
      </rPr>
      <t xml:space="preserve">18 </t>
    </r>
    <r>
      <rPr>
        <sz val="11"/>
        <color rgb="FF000000"/>
        <rFont val="Calibri"/>
        <family val="2"/>
        <charset val="136"/>
        <scheme val="minor"/>
      </rPr>
      <t>邏輯處理器</t>
    </r>
    <r>
      <rPr>
        <sz val="11"/>
        <color rgb="FF000000"/>
        <rFont val="Calibri"/>
        <family val="2"/>
        <scheme val="minor"/>
      </rPr>
      <t>)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16 GB RAM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KINGSTON NVMe SSD 512GB</t>
    </r>
    <r>
      <rPr>
        <sz val="11"/>
        <color rgb="FF000000"/>
        <rFont val="Calibri"/>
        <family val="2"/>
        <charset val="136"/>
        <scheme val="minor"/>
      </rPr>
      <t>＋</t>
    </r>
    <r>
      <rPr>
        <sz val="11"/>
        <color rgb="FF000000"/>
        <rFont val="Calibri"/>
        <family val="2"/>
        <scheme val="minor"/>
      </rPr>
      <t>SAMSUNG NVMe SSD 512GB</t>
    </r>
  </si>
  <si>
    <r>
      <rPr>
        <sz val="11"/>
        <color rgb="FF000000"/>
        <rFont val="Calibri"/>
        <family val="2"/>
        <charset val="136"/>
        <scheme val="minor"/>
      </rPr>
      <t>辦公區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分機</t>
    </r>
    <r>
      <rPr>
        <sz val="11"/>
        <color rgb="FF000000"/>
        <rFont val="Calibri"/>
        <family val="2"/>
        <scheme val="minor"/>
      </rPr>
      <t>8204</t>
    </r>
    <r>
      <rPr>
        <sz val="11"/>
        <color rgb="FF000000"/>
        <rFont val="Calibri"/>
        <family val="2"/>
        <charset val="136"/>
        <scheme val="minor"/>
      </rPr>
      <t>座位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</si>
  <si>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charset val="136"/>
        <scheme val="minor"/>
      </rPr>
      <t>林承偉－筆電</t>
    </r>
  </si>
  <si>
    <r>
      <rPr>
        <sz val="11"/>
        <color rgb="FF000000"/>
        <rFont val="Calibri"/>
        <family val="2"/>
        <scheme val="minor"/>
      </rPr>
      <t>12th Gen Intel(R) Core(TM) i5-1235U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8GB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512GB SSD + 1TB HDD</t>
    </r>
  </si>
  <si>
    <r>
      <rPr>
        <sz val="11"/>
        <color rgb="FF000000"/>
        <rFont val="Calibri"/>
        <family val="2"/>
        <charset val="136"/>
        <scheme val="minor"/>
      </rPr>
      <t>林承偉</t>
    </r>
  </si>
  <si>
    <r>
      <rPr>
        <sz val="11"/>
        <color rgb="FF000000"/>
        <rFont val="Calibri"/>
        <family val="2"/>
        <charset val="136"/>
        <scheme val="minor"/>
      </rPr>
      <t>辦公區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分機</t>
    </r>
    <r>
      <rPr>
        <sz val="11"/>
        <color rgb="FF000000"/>
        <rFont val="Calibri"/>
        <family val="2"/>
        <scheme val="minor"/>
      </rPr>
      <t>8207</t>
    </r>
    <r>
      <rPr>
        <sz val="11"/>
        <color rgb="FF000000"/>
        <rFont val="Calibri"/>
        <family val="2"/>
        <charset val="136"/>
        <scheme val="minor"/>
      </rPr>
      <t>座位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</si>
  <si>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charset val="136"/>
        <scheme val="minor"/>
      </rPr>
      <t>黃鴻喬－筆電</t>
    </r>
  </si>
  <si>
    <r>
      <rPr>
        <sz val="11"/>
        <color rgb="FF000000"/>
        <rFont val="Calibri"/>
        <family val="2"/>
        <scheme val="minor"/>
      </rPr>
      <t>Intel(R) Core(TM) Ultra 5 125H (1.20 GHz)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16GB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512GB SSD</t>
    </r>
  </si>
  <si>
    <r>
      <rPr>
        <sz val="11"/>
        <color rgb="FF000000"/>
        <rFont val="Calibri"/>
        <family val="2"/>
        <charset val="136"/>
        <scheme val="minor"/>
      </rPr>
      <t>黃鴻喬</t>
    </r>
  </si>
  <si>
    <r>
      <rPr>
        <sz val="11"/>
        <color rgb="FF000000"/>
        <rFont val="Calibri"/>
        <family val="2"/>
        <charset val="136"/>
        <scheme val="minor"/>
      </rPr>
      <t>辦公區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分機</t>
    </r>
    <r>
      <rPr>
        <sz val="11"/>
        <color rgb="FF000000"/>
        <rFont val="Calibri"/>
        <family val="2"/>
        <scheme val="minor"/>
      </rPr>
      <t>8206</t>
    </r>
    <r>
      <rPr>
        <sz val="11"/>
        <color rgb="FF000000"/>
        <rFont val="Calibri"/>
        <family val="2"/>
        <charset val="136"/>
        <scheme val="minor"/>
      </rPr>
      <t>座位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</si>
  <si>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charset val="136"/>
        <scheme val="minor"/>
      </rPr>
      <t>薛宇舜－筆電</t>
    </r>
  </si>
  <si>
    <r>
      <rPr>
        <sz val="11"/>
        <color rgb="FF000000"/>
        <rFont val="Calibri"/>
        <family val="2"/>
        <charset val="136"/>
        <scheme val="minor"/>
      </rPr>
      <t>薛宇舜</t>
    </r>
  </si>
  <si>
    <r>
      <rPr>
        <sz val="11"/>
        <color rgb="FF000000"/>
        <rFont val="Calibri"/>
        <family val="2"/>
        <charset val="136"/>
        <scheme val="minor"/>
      </rPr>
      <t>辦公區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分機</t>
    </r>
    <r>
      <rPr>
        <sz val="11"/>
        <color rgb="FF000000"/>
        <rFont val="Calibri"/>
        <family val="2"/>
        <scheme val="minor"/>
      </rPr>
      <t>8215</t>
    </r>
    <r>
      <rPr>
        <sz val="11"/>
        <color rgb="FF000000"/>
        <rFont val="Calibri"/>
        <family val="2"/>
        <charset val="136"/>
        <scheme val="minor"/>
      </rPr>
      <t>座位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</si>
  <si>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charset val="136"/>
        <scheme val="minor"/>
      </rPr>
      <t>陳宥君－筆電</t>
    </r>
    <phoneticPr fontId="3" type="noConversion"/>
  </si>
  <si>
    <r>
      <rPr>
        <sz val="11"/>
        <color rgb="FF000000"/>
        <rFont val="Calibri"/>
        <family val="2"/>
        <scheme val="minor"/>
      </rPr>
      <t>13th Gen Intel(R) Core(TM) i7-13620H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24GB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512GB SSD</t>
    </r>
  </si>
  <si>
    <r>
      <rPr>
        <sz val="11"/>
        <color rgb="FF000000"/>
        <rFont val="Calibri"/>
        <family val="2"/>
        <charset val="136"/>
        <scheme val="minor"/>
      </rPr>
      <t>陳宥君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</si>
  <si>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專案管理部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</si>
  <si>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辦公區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分機</t>
    </r>
    <r>
      <rPr>
        <sz val="11"/>
        <color rgb="FF000000"/>
        <rFont val="Calibri"/>
        <family val="2"/>
        <scheme val="minor"/>
      </rPr>
      <t>8214</t>
    </r>
    <r>
      <rPr>
        <sz val="11"/>
        <color rgb="FF000000"/>
        <rFont val="Calibri"/>
        <family val="2"/>
        <charset val="136"/>
        <scheme val="minor"/>
      </rPr>
      <t>座位</t>
    </r>
    <r>
      <rPr>
        <sz val="11"/>
        <color rgb="FF000000"/>
        <rFont val="Calibri"/>
        <family val="2"/>
        <scheme val="minor"/>
      </rPr>
      <t>)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</si>
  <si>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范揚－筆電</t>
    </r>
  </si>
  <si>
    <r>
      <rPr>
        <sz val="11"/>
        <color rgb="FF000000"/>
        <rFont val="Calibri"/>
        <family val="2"/>
        <scheme val="minor"/>
      </rPr>
      <t>Intel(R) Core(TM) Ultra 7 155H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32GB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512GB SSD</t>
    </r>
  </si>
  <si>
    <r>
      <rPr>
        <sz val="11"/>
        <color rgb="FF000000"/>
        <rFont val="Calibri"/>
        <family val="2"/>
        <charset val="136"/>
        <scheme val="minor"/>
      </rPr>
      <t>范揚</t>
    </r>
  </si>
  <si>
    <r>
      <rPr>
        <sz val="11"/>
        <color rgb="FF000000"/>
        <rFont val="Calibri"/>
        <family val="2"/>
        <charset val="136"/>
        <scheme val="minor"/>
      </rPr>
      <t>辦公區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台中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</si>
  <si>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charset val="136"/>
        <scheme val="minor"/>
      </rPr>
      <t>黃酈圓－筆電</t>
    </r>
    <r>
      <rPr>
        <sz val="11"/>
        <color rgb="FF000000"/>
        <rFont val="Calibri"/>
        <family val="2"/>
        <scheme val="minor"/>
      </rPr>
      <t>#1</t>
    </r>
  </si>
  <si>
    <r>
      <rPr>
        <sz val="11"/>
        <color rgb="FF000000"/>
        <rFont val="Calibri"/>
        <family val="2"/>
        <scheme val="minor"/>
      </rPr>
      <t>Intel Core i7-12700H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32GB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4T SSD + 8T SSD</t>
    </r>
  </si>
  <si>
    <r>
      <rPr>
        <sz val="11"/>
        <color rgb="FF000000"/>
        <rFont val="Calibri"/>
        <family val="2"/>
        <charset val="136"/>
        <scheme val="minor"/>
      </rPr>
      <t>辦公區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分機</t>
    </r>
    <r>
      <rPr>
        <sz val="11"/>
        <color rgb="FF000000"/>
        <rFont val="Calibri"/>
        <family val="2"/>
        <scheme val="minor"/>
      </rPr>
      <t>8205</t>
    </r>
    <r>
      <rPr>
        <sz val="11"/>
        <color rgb="FF000000"/>
        <rFont val="Calibri"/>
        <family val="2"/>
        <charset val="136"/>
        <scheme val="minor"/>
      </rPr>
      <t>座位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</si>
  <si>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scheme val="minor"/>
      </rPr>
      <t>IP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192.168.123.89</t>
    </r>
  </si>
  <si>
    <r>
      <rPr>
        <sz val="11"/>
        <color rgb="FF000000"/>
        <rFont val="Calibri"/>
        <family val="2"/>
        <charset val="136"/>
        <scheme val="minor"/>
      </rPr>
      <t>黃酈圓－筆電</t>
    </r>
    <r>
      <rPr>
        <sz val="11"/>
        <color rgb="FF000000"/>
        <rFont val="Calibri"/>
        <family val="2"/>
        <scheme val="minor"/>
      </rPr>
      <t>#2</t>
    </r>
  </si>
  <si>
    <r>
      <rPr>
        <sz val="11"/>
        <color rgb="FF000000"/>
        <rFont val="Calibri"/>
        <family val="2"/>
        <scheme val="minor"/>
      </rPr>
      <t>11th Gen Intel(R) Core(TM) i5-1135G7 @ 2.40GHz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 xml:space="preserve">4 </t>
    </r>
    <r>
      <rPr>
        <sz val="11"/>
        <color rgb="FF000000"/>
        <rFont val="Calibri"/>
        <family val="2"/>
        <charset val="136"/>
        <scheme val="minor"/>
      </rPr>
      <t>核心、</t>
    </r>
    <r>
      <rPr>
        <sz val="11"/>
        <color rgb="FF000000"/>
        <rFont val="Calibri"/>
        <family val="2"/>
        <scheme val="minor"/>
      </rPr>
      <t xml:space="preserve">8 </t>
    </r>
    <r>
      <rPr>
        <sz val="11"/>
        <color rgb="FF000000"/>
        <rFont val="Calibri"/>
        <family val="2"/>
        <charset val="136"/>
        <scheme val="minor"/>
      </rPr>
      <t>邏輯處理器；</t>
    </r>
    <r>
      <rPr>
        <sz val="11"/>
        <color rgb="FF000000"/>
        <rFont val="Calibri"/>
        <family val="2"/>
        <scheme val="minor"/>
      </rPr>
      <t>16 GB RAM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 xml:space="preserve">Micron 2210 NVMe SSD 512 GB(C: </t>
    </r>
    <r>
      <rPr>
        <sz val="11"/>
        <color rgb="FF000000"/>
        <rFont val="Calibri"/>
        <family val="2"/>
        <charset val="136"/>
        <scheme val="minor"/>
      </rPr>
      <t>約</t>
    </r>
    <r>
      <rPr>
        <sz val="11"/>
        <color rgb="FF000000"/>
        <rFont val="Calibri"/>
        <family val="2"/>
        <scheme val="minor"/>
      </rPr>
      <t xml:space="preserve"> 238 GB</t>
    </r>
    <r>
      <rPr>
        <sz val="11"/>
        <color rgb="FF000000"/>
        <rFont val="Calibri"/>
        <family val="2"/>
        <charset val="136"/>
        <scheme val="minor"/>
      </rPr>
      <t>、</t>
    </r>
    <r>
      <rPr>
        <sz val="11"/>
        <color rgb="FF000000"/>
        <rFont val="Calibri"/>
        <family val="2"/>
        <scheme val="minor"/>
      </rPr>
      <t xml:space="preserve">D: </t>
    </r>
    <r>
      <rPr>
        <sz val="11"/>
        <color rgb="FF000000"/>
        <rFont val="Calibri"/>
        <family val="2"/>
        <charset val="136"/>
        <scheme val="minor"/>
      </rPr>
      <t>約</t>
    </r>
    <r>
      <rPr>
        <sz val="11"/>
        <color rgb="FF000000"/>
        <rFont val="Calibri"/>
        <family val="2"/>
        <scheme val="minor"/>
      </rPr>
      <t xml:space="preserve"> 238 GB)</t>
    </r>
  </si>
  <si>
    <r>
      <rPr>
        <sz val="11"/>
        <color rgb="FF000000"/>
        <rFont val="Calibri"/>
        <family val="2"/>
        <charset val="136"/>
        <scheme val="minor"/>
      </rPr>
      <t>主機：</t>
    </r>
    <r>
      <rPr>
        <sz val="11"/>
        <color rgb="FF000000"/>
        <rFont val="Calibri"/>
        <family val="2"/>
        <scheme val="minor"/>
      </rPr>
      <t>SUNFORCE_KAIT</t>
    </r>
  </si>
  <si>
    <r>
      <rPr>
        <sz val="11"/>
        <color rgb="FF000000"/>
        <rFont val="Calibri"/>
        <family val="2"/>
        <charset val="136"/>
        <scheme val="minor"/>
      </rPr>
      <t>蘇柏丞－筆電</t>
    </r>
  </si>
  <si>
    <r>
      <rPr>
        <sz val="11"/>
        <color rgb="FF000000"/>
        <rFont val="Calibri"/>
        <family val="2"/>
        <scheme val="minor"/>
      </rPr>
      <t>Intel(R) Core(TM) i7-14700HX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32GB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1TB SSD + 1TB SSD</t>
    </r>
  </si>
  <si>
    <r>
      <rPr>
        <sz val="11"/>
        <color rgb="FF000000"/>
        <rFont val="Calibri"/>
        <family val="2"/>
        <charset val="136"/>
        <scheme val="minor"/>
      </rPr>
      <t>蘇柏丞</t>
    </r>
  </si>
  <si>
    <r>
      <rPr>
        <sz val="11"/>
        <color rgb="FF000000"/>
        <rFont val="Calibri"/>
        <family val="2"/>
        <charset val="136"/>
        <scheme val="minor"/>
      </rPr>
      <t>辦公區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分機</t>
    </r>
    <r>
      <rPr>
        <sz val="11"/>
        <color rgb="FF000000"/>
        <rFont val="Calibri"/>
        <family val="2"/>
        <scheme val="minor"/>
      </rPr>
      <t>8203</t>
    </r>
    <r>
      <rPr>
        <sz val="11"/>
        <color rgb="FF000000"/>
        <rFont val="Calibri"/>
        <family val="2"/>
        <charset val="136"/>
        <scheme val="minor"/>
      </rPr>
      <t>座位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</si>
  <si>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charset val="136"/>
        <scheme val="minor"/>
      </rPr>
      <t>幽靈機</t>
    </r>
    <r>
      <rPr>
        <sz val="11"/>
        <color rgb="FF000000"/>
        <rFont val="Calibri"/>
        <family val="2"/>
        <scheme val="minor"/>
      </rPr>
      <t>#A</t>
    </r>
  </si>
  <si>
    <r>
      <rPr>
        <sz val="11"/>
        <color rgb="FF000000"/>
        <rFont val="Calibri"/>
        <family val="2"/>
        <scheme val="minor"/>
      </rPr>
      <t>Intel Core i7-14700HX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32 GB RAM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WD PC SN560 NVMe SSD 1 TB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 xml:space="preserve">16 </t>
    </r>
    <r>
      <rPr>
        <sz val="11"/>
        <color rgb="FF000000"/>
        <rFont val="Calibri"/>
        <family val="2"/>
        <charset val="136"/>
        <scheme val="minor"/>
      </rPr>
      <t>吋</t>
    </r>
    <r>
      <rPr>
        <sz val="11"/>
        <color rgb="FF000000"/>
        <rFont val="Calibri"/>
        <family val="2"/>
        <scheme val="minor"/>
      </rPr>
      <t xml:space="preserve"> 1920 × 1080</t>
    </r>
  </si>
  <si>
    <r>
      <rPr>
        <sz val="11"/>
        <color rgb="FF000000"/>
        <rFont val="Calibri"/>
        <family val="2"/>
        <charset val="136"/>
        <scheme val="minor"/>
      </rPr>
      <t>林承偉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借用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</si>
  <si>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scheme val="minor"/>
      </rPr>
      <t>Wi-Fi MAC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F8-FE-5E-83-89-3E</t>
    </r>
  </si>
  <si>
    <r>
      <rPr>
        <b/>
        <sz val="11"/>
        <color rgb="FFFF0000"/>
        <rFont val="Calibri"/>
        <family val="2"/>
        <charset val="136"/>
        <scheme val="minor"/>
      </rPr>
      <t>目前借出給</t>
    </r>
    <r>
      <rPr>
        <b/>
        <sz val="11"/>
        <color rgb="FFFF0000"/>
        <rFont val="Calibri"/>
        <family val="2"/>
        <scheme val="minor"/>
      </rPr>
      <t>Elliott</t>
    </r>
    <r>
      <rPr>
        <b/>
        <sz val="11"/>
        <color rgb="FFFF0000"/>
        <rFont val="Calibri"/>
        <family val="2"/>
        <charset val="136"/>
        <scheme val="minor"/>
      </rPr>
      <t>用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</si>
  <si>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顯示設備</t>
    </r>
  </si>
  <si>
    <r>
      <rPr>
        <sz val="11"/>
        <color rgb="FF000000"/>
        <rFont val="Calibri"/>
        <family val="2"/>
        <charset val="136"/>
        <scheme val="minor"/>
      </rPr>
      <t>外接螢幕</t>
    </r>
  </si>
  <si>
    <r>
      <rPr>
        <sz val="11"/>
        <color rgb="FF000000"/>
        <rFont val="Calibri"/>
        <family val="2"/>
        <charset val="136"/>
        <scheme val="minor"/>
      </rPr>
      <t>羅福枝外接螢幕</t>
    </r>
  </si>
  <si>
    <r>
      <rPr>
        <sz val="11"/>
        <color rgb="FF000000"/>
        <rFont val="Calibri"/>
        <family val="2"/>
        <scheme val="minor"/>
      </rPr>
      <t xml:space="preserve">27 </t>
    </r>
    <r>
      <rPr>
        <sz val="11"/>
        <color rgb="FF000000"/>
        <rFont val="Calibri"/>
        <family val="2"/>
        <charset val="136"/>
        <scheme val="minor"/>
      </rPr>
      <t>吋／</t>
    </r>
    <r>
      <rPr>
        <sz val="11"/>
        <color rgb="FF000000"/>
        <rFont val="Calibri"/>
        <family val="2"/>
        <scheme val="minor"/>
      </rPr>
      <t>2560 × 1440</t>
    </r>
  </si>
  <si>
    <r>
      <rPr>
        <sz val="11"/>
        <color rgb="FF000000"/>
        <rFont val="Calibri"/>
        <family val="2"/>
        <charset val="136"/>
        <scheme val="minor"/>
      </rPr>
      <t>羅福枝</t>
    </r>
  </si>
  <si>
    <r>
      <rPr>
        <sz val="11"/>
        <color rgb="FF000000"/>
        <rFont val="Calibri"/>
        <family val="2"/>
        <charset val="136"/>
        <scheme val="minor"/>
      </rPr>
      <t>陳修慶外接螢幕</t>
    </r>
  </si>
  <si>
    <r>
      <rPr>
        <sz val="11"/>
        <color rgb="FF000000"/>
        <rFont val="Calibri"/>
        <family val="2"/>
        <scheme val="minor"/>
      </rPr>
      <t xml:space="preserve">27 </t>
    </r>
    <r>
      <rPr>
        <sz val="11"/>
        <color rgb="FF000000"/>
        <rFont val="Calibri"/>
        <family val="2"/>
        <charset val="136"/>
        <scheme val="minor"/>
      </rPr>
      <t>吋／</t>
    </r>
    <r>
      <rPr>
        <sz val="11"/>
        <color rgb="FF000000"/>
        <rFont val="Calibri"/>
        <family val="2"/>
        <scheme val="minor"/>
      </rPr>
      <t>2K(2560 × 1440)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 xml:space="preserve">180 Hz </t>
    </r>
    <r>
      <rPr>
        <sz val="11"/>
        <color rgb="FF000000"/>
        <rFont val="Calibri"/>
        <family val="2"/>
        <charset val="136"/>
        <scheme val="minor"/>
      </rPr>
      <t>電競螢幕</t>
    </r>
  </si>
  <si>
    <r>
      <rPr>
        <sz val="11"/>
        <color rgb="FF000000"/>
        <rFont val="Calibri"/>
        <family val="2"/>
        <charset val="136"/>
        <scheme val="minor"/>
      </rPr>
      <t>陳宥君外接螢幕</t>
    </r>
    <phoneticPr fontId="3" type="noConversion"/>
  </si>
  <si>
    <r>
      <rPr>
        <sz val="11"/>
        <color rgb="FF000000"/>
        <rFont val="Calibri"/>
        <family val="2"/>
        <scheme val="minor"/>
      </rPr>
      <t xml:space="preserve">27 </t>
    </r>
    <r>
      <rPr>
        <sz val="11"/>
        <color rgb="FF000000"/>
        <rFont val="Calibri"/>
        <family val="2"/>
        <charset val="136"/>
        <scheme val="minor"/>
      </rPr>
      <t>吋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Calibri"/>
        <family val="2"/>
        <charset val="136"/>
        <scheme val="minor"/>
      </rPr>
      <t>螢幕</t>
    </r>
    <r>
      <rPr>
        <sz val="11"/>
        <color rgb="FF000000"/>
        <rFont val="Calibri"/>
        <family val="2"/>
        <scheme val="minor"/>
      </rPr>
      <t xml:space="preserve"> Xiaomi/27</t>
    </r>
    <r>
      <rPr>
        <sz val="11"/>
        <color rgb="FF000000"/>
        <rFont val="Calibri"/>
        <family val="2"/>
        <charset val="136"/>
        <scheme val="minor"/>
      </rPr>
      <t>吋</t>
    </r>
    <r>
      <rPr>
        <sz val="11"/>
        <color rgb="FF000000"/>
        <rFont val="Calibri"/>
        <family val="2"/>
        <scheme val="minor"/>
      </rPr>
      <t>2K</t>
    </r>
    <r>
      <rPr>
        <sz val="11"/>
        <color rgb="FF000000"/>
        <rFont val="Calibri"/>
        <family val="2"/>
        <charset val="136"/>
        <scheme val="minor"/>
      </rPr>
      <t>電競螢幕</t>
    </r>
    <r>
      <rPr>
        <sz val="11"/>
        <color rgb="FF000000"/>
        <rFont val="Calibri"/>
        <family val="2"/>
        <scheme val="minor"/>
      </rPr>
      <t xml:space="preserve"> G27Qi IPS 2560x1440 180Hz HDMI/DP</t>
    </r>
  </si>
  <si>
    <r>
      <rPr>
        <sz val="11"/>
        <color rgb="FF000000"/>
        <rFont val="Calibri"/>
        <family val="2"/>
        <charset val="136"/>
        <scheme val="minor"/>
      </rPr>
      <t>專案部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</si>
  <si>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辦公區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分機</t>
    </r>
    <r>
      <rPr>
        <sz val="11"/>
        <color rgb="FF000000"/>
        <rFont val="Calibri"/>
        <family val="2"/>
        <scheme val="minor"/>
      </rPr>
      <t>8214</t>
    </r>
    <r>
      <rPr>
        <sz val="11"/>
        <color rgb="FF000000"/>
        <rFont val="Calibri"/>
        <family val="2"/>
        <charset val="136"/>
        <scheme val="minor"/>
      </rPr>
      <t>座位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</si>
  <si>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charset val="136"/>
        <scheme val="minor"/>
      </rPr>
      <t>曹哲維外接螢幕</t>
    </r>
    <phoneticPr fontId="3" type="noConversion"/>
  </si>
  <si>
    <r>
      <rPr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charset val="136"/>
        <scheme val="minor"/>
      </rPr>
      <t>吋</t>
    </r>
    <r>
      <rPr>
        <sz val="11"/>
        <color rgb="FF000000"/>
        <rFont val="Calibri"/>
        <family val="2"/>
        <scheme val="minor"/>
      </rPr>
      <t xml:space="preserve"> IPS</t>
    </r>
    <r>
      <rPr>
        <sz val="11"/>
        <color rgb="FF000000"/>
        <rFont val="Calibri"/>
        <family val="2"/>
        <charset val="136"/>
        <scheme val="minor"/>
      </rPr>
      <t>液晶顯示器</t>
    </r>
    <r>
      <rPr>
        <sz val="11"/>
        <color rgb="FF000000"/>
        <rFont val="Calibri"/>
        <family val="2"/>
        <scheme val="minor"/>
      </rPr>
      <t xml:space="preserve"> 16:9  </t>
    </r>
  </si>
  <si>
    <r>
      <rPr>
        <sz val="11"/>
        <color rgb="FF000000"/>
        <rFont val="Calibri"/>
        <family val="2"/>
        <charset val="136"/>
        <scheme val="minor"/>
      </rPr>
      <t>業務部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</si>
  <si>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辦公區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分機</t>
    </r>
    <r>
      <rPr>
        <sz val="11"/>
        <color rgb="FF000000"/>
        <rFont val="Calibri"/>
        <family val="2"/>
        <scheme val="minor"/>
      </rPr>
      <t>8212</t>
    </r>
    <r>
      <rPr>
        <sz val="11"/>
        <color rgb="FF000000"/>
        <rFont val="Calibri"/>
        <family val="2"/>
        <charset val="136"/>
        <scheme val="minor"/>
      </rPr>
      <t>座位</t>
    </r>
    <r>
      <rPr>
        <sz val="11"/>
        <color rgb="FF000000"/>
        <rFont val="Calibri"/>
        <family val="2"/>
        <scheme val="minor"/>
      </rPr>
      <t>)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</si>
  <si>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李芊妤外接螢幕</t>
    </r>
  </si>
  <si>
    <r>
      <rPr>
        <sz val="11"/>
        <color rgb="FF000000"/>
        <rFont val="Calibri"/>
        <family val="2"/>
        <scheme val="minor"/>
      </rPr>
      <t xml:space="preserve">AOPEN LCD Monitor </t>
    </r>
    <r>
      <rPr>
        <sz val="11"/>
        <color rgb="FF000000"/>
        <rFont val="Calibri"/>
        <family val="2"/>
        <charset val="136"/>
        <scheme val="minor"/>
      </rPr>
      <t>液晶顯示器</t>
    </r>
    <r>
      <rPr>
        <sz val="11"/>
        <color rgb="FF000000"/>
        <rFont val="Calibri"/>
        <family val="2"/>
        <scheme val="minor"/>
      </rPr>
      <t>, 27HC5R Bmiix, 12V 4.0A UM HW5TT 001 58-27HCUS-160Z1 SNID:238038003332</t>
    </r>
  </si>
  <si>
    <r>
      <rPr>
        <sz val="11"/>
        <color rgb="FF000000"/>
        <rFont val="Calibri"/>
        <family val="2"/>
        <charset val="136"/>
        <scheme val="minor"/>
      </rPr>
      <t>胡尉雯外接螢幕</t>
    </r>
  </si>
  <si>
    <r>
      <rPr>
        <sz val="11"/>
        <color rgb="FF000000"/>
        <rFont val="Calibri"/>
        <family val="2"/>
        <charset val="136"/>
        <scheme val="minor"/>
      </rPr>
      <t>曹桓豪外接螢幕</t>
    </r>
  </si>
  <si>
    <r>
      <rPr>
        <sz val="11"/>
        <color rgb="FF000000"/>
        <rFont val="Calibri"/>
        <family val="2"/>
        <scheme val="minor"/>
      </rPr>
      <t xml:space="preserve">31.5 </t>
    </r>
    <r>
      <rPr>
        <sz val="11"/>
        <color rgb="FF000000"/>
        <rFont val="Calibri"/>
        <family val="2"/>
        <charset val="136"/>
        <scheme val="minor"/>
      </rPr>
      <t>吋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可視對角</t>
    </r>
    <r>
      <rPr>
        <sz val="11"/>
        <color rgb="FF000000"/>
        <rFont val="Calibri"/>
        <family val="2"/>
        <scheme val="minor"/>
      </rPr>
      <t xml:space="preserve"> 80.1 cm)</t>
    </r>
    <r>
      <rPr>
        <sz val="11"/>
        <color rgb="FF000000"/>
        <rFont val="Calibri"/>
        <family val="2"/>
        <charset val="136"/>
        <scheme val="minor"/>
      </rPr>
      <t>；製造年月：</t>
    </r>
    <r>
      <rPr>
        <sz val="11"/>
        <color rgb="FF000000"/>
        <rFont val="Calibri"/>
        <family val="2"/>
        <scheme val="minor"/>
      </rPr>
      <t>2023-07</t>
    </r>
  </si>
  <si>
    <r>
      <rPr>
        <sz val="11"/>
        <color rgb="FF000000"/>
        <rFont val="Calibri"/>
        <family val="2"/>
        <charset val="136"/>
        <scheme val="minor"/>
      </rPr>
      <t>林承偉外接螢幕</t>
    </r>
  </si>
  <si>
    <r>
      <rPr>
        <sz val="11"/>
        <color rgb="FF000000"/>
        <rFont val="Calibri"/>
        <family val="2"/>
        <charset val="136"/>
        <scheme val="minor"/>
      </rPr>
      <t>黃鴻喬外接螢幕</t>
    </r>
  </si>
  <si>
    <r>
      <rPr>
        <sz val="11"/>
        <color rgb="FF000000"/>
        <rFont val="Calibri"/>
        <family val="2"/>
        <scheme val="minor"/>
      </rPr>
      <t xml:space="preserve">27 </t>
    </r>
    <r>
      <rPr>
        <sz val="11"/>
        <color rgb="FF000000"/>
        <rFont val="Calibri"/>
        <family val="2"/>
        <charset val="136"/>
        <scheme val="minor"/>
      </rPr>
      <t>吋</t>
    </r>
  </si>
  <si>
    <r>
      <rPr>
        <sz val="11"/>
        <color rgb="FF000000"/>
        <rFont val="Calibri"/>
        <family val="2"/>
        <charset val="136"/>
        <scheme val="minor"/>
      </rPr>
      <t>薛宇舜外接螢幕</t>
    </r>
  </si>
  <si>
    <r>
      <rPr>
        <sz val="11"/>
        <color rgb="FF000000"/>
        <rFont val="Calibri"/>
        <family val="2"/>
        <scheme val="minor"/>
      </rPr>
      <t>57459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174C00024873</t>
    </r>
  </si>
  <si>
    <r>
      <rPr>
        <sz val="11"/>
        <color rgb="FF000000"/>
        <rFont val="Calibri"/>
        <family val="2"/>
        <charset val="136"/>
        <scheme val="minor"/>
      </rPr>
      <t>李宇豐外接螢幕</t>
    </r>
  </si>
  <si>
    <r>
      <rPr>
        <sz val="11"/>
        <color rgb="FF000000"/>
        <rFont val="Calibri"/>
        <family val="2"/>
        <scheme val="minor"/>
      </rPr>
      <t xml:space="preserve">27 </t>
    </r>
    <r>
      <rPr>
        <sz val="11"/>
        <color rgb="FF000000"/>
        <rFont val="Calibri"/>
        <family val="2"/>
        <charset val="136"/>
        <scheme val="minor"/>
      </rPr>
      <t>吋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Calibri"/>
        <family val="2"/>
        <charset val="136"/>
        <scheme val="minor"/>
      </rPr>
      <t>螢幕</t>
    </r>
    <r>
      <rPr>
        <sz val="11"/>
        <color rgb="FF000000"/>
        <rFont val="Calibri"/>
        <family val="2"/>
        <scheme val="minor"/>
      </rPr>
      <t xml:space="preserve"> Acer VA2FE-1F 1920x1080</t>
    </r>
  </si>
  <si>
    <r>
      <rPr>
        <sz val="11"/>
        <color rgb="FF000000"/>
        <rFont val="Calibri"/>
        <family val="2"/>
        <charset val="136"/>
        <scheme val="minor"/>
      </rPr>
      <t>李宇豐</t>
    </r>
  </si>
  <si>
    <r>
      <rPr>
        <sz val="11"/>
        <color rgb="FF000000"/>
        <rFont val="Calibri"/>
        <family val="2"/>
        <charset val="136"/>
        <scheme val="minor"/>
      </rPr>
      <t>黃酈圓外接螢幕</t>
    </r>
    <r>
      <rPr>
        <sz val="11"/>
        <color rgb="FF000000"/>
        <rFont val="Calibri"/>
        <family val="2"/>
        <scheme val="minor"/>
      </rPr>
      <t>#1</t>
    </r>
  </si>
  <si>
    <r>
      <rPr>
        <sz val="11"/>
        <color rgb="FF000000"/>
        <rFont val="Calibri"/>
        <family val="2"/>
        <scheme val="minor"/>
      </rPr>
      <t xml:space="preserve">27 </t>
    </r>
    <r>
      <rPr>
        <sz val="11"/>
        <color rgb="FF000000"/>
        <rFont val="Calibri"/>
        <family val="2"/>
        <charset val="136"/>
        <scheme val="minor"/>
      </rPr>
      <t>吋／</t>
    </r>
    <r>
      <rPr>
        <sz val="11"/>
        <color rgb="FF000000"/>
        <rFont val="Calibri"/>
        <family val="2"/>
        <scheme val="minor"/>
      </rPr>
      <t>1920 × 1080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IPS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100 Hz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1 ms MPRT</t>
    </r>
  </si>
  <si>
    <r>
      <rPr>
        <sz val="11"/>
        <color rgb="FF000000"/>
        <rFont val="Calibri"/>
        <family val="2"/>
        <charset val="136"/>
        <scheme val="minor"/>
      </rPr>
      <t>蘇柏丞外接螢幕</t>
    </r>
    <r>
      <rPr>
        <sz val="11"/>
        <color rgb="FF000000"/>
        <rFont val="Calibri"/>
        <family val="2"/>
        <scheme val="minor"/>
      </rPr>
      <t>1</t>
    </r>
  </si>
  <si>
    <r>
      <rPr>
        <sz val="11"/>
        <color rgb="FF000000"/>
        <rFont val="Calibri"/>
        <family val="2"/>
        <scheme val="minor"/>
      </rPr>
      <t>63061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156100018049</t>
    </r>
  </si>
  <si>
    <r>
      <rPr>
        <sz val="11"/>
        <color rgb="FF000000"/>
        <rFont val="Calibri"/>
        <family val="2"/>
        <charset val="136"/>
        <scheme val="minor"/>
      </rPr>
      <t>蘇柏丞外接螢幕</t>
    </r>
    <r>
      <rPr>
        <sz val="11"/>
        <color rgb="FF000000"/>
        <rFont val="Calibri"/>
        <family val="2"/>
        <scheme val="minor"/>
      </rPr>
      <t>2</t>
    </r>
  </si>
  <si>
    <r>
      <t>LAB</t>
    </r>
    <r>
      <rPr>
        <sz val="11"/>
        <color rgb="FF000000"/>
        <rFont val="Calibri"/>
        <family val="2"/>
        <charset val="136"/>
        <scheme val="minor"/>
      </rPr>
      <t>主機外接螢幕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</si>
  <si>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公司</t>
    </r>
    <r>
      <rPr>
        <sz val="11"/>
        <color rgb="FF000000"/>
        <rFont val="Calibri"/>
        <family val="2"/>
        <scheme val="minor"/>
      </rPr>
      <t>LAB/</t>
    </r>
    <r>
      <rPr>
        <sz val="11"/>
        <color rgb="FF000000"/>
        <rFont val="Calibri"/>
        <family val="2"/>
        <charset val="136"/>
        <scheme val="minor"/>
      </rPr>
      <t>機櫃</t>
    </r>
  </si>
  <si>
    <r>
      <rPr>
        <sz val="11"/>
        <color rgb="FF000000"/>
        <rFont val="Calibri"/>
        <family val="2"/>
        <charset val="136"/>
        <scheme val="minor"/>
      </rPr>
      <t>儲存設備</t>
    </r>
  </si>
  <si>
    <r>
      <rPr>
        <sz val="11"/>
        <color rgb="FF000000"/>
        <rFont val="Calibri"/>
        <family val="2"/>
        <charset val="136"/>
        <scheme val="minor"/>
      </rPr>
      <t>外接儲存裝置</t>
    </r>
  </si>
  <si>
    <r>
      <rPr>
        <sz val="11"/>
        <color rgb="FF000000"/>
        <rFont val="Calibri"/>
        <family val="2"/>
        <charset val="136"/>
        <scheme val="minor"/>
      </rPr>
      <t>李宇豐外接硬碟</t>
    </r>
  </si>
  <si>
    <r>
      <rPr>
        <sz val="11"/>
        <color rgb="FF000000"/>
        <rFont val="Calibri"/>
        <family val="2"/>
        <charset val="136"/>
        <scheme val="minor"/>
      </rPr>
      <t>伽利略</t>
    </r>
  </si>
  <si>
    <r>
      <rPr>
        <sz val="11"/>
        <color rgb="FF000000"/>
        <rFont val="Calibri"/>
        <family val="2"/>
        <scheme val="minor"/>
      </rPr>
      <t>NAS</t>
    </r>
    <r>
      <rPr>
        <sz val="11"/>
        <color rgb="FF000000"/>
        <rFont val="Calibri"/>
        <family val="2"/>
        <charset val="136"/>
        <scheme val="minor"/>
      </rPr>
      <t>／網路儲存設備</t>
    </r>
  </si>
  <si>
    <r>
      <rPr>
        <sz val="11"/>
        <color rgb="FF000000"/>
        <rFont val="Calibri"/>
        <family val="2"/>
        <charset val="136"/>
        <scheme val="minor"/>
      </rPr>
      <t>公司</t>
    </r>
    <r>
      <rPr>
        <sz val="11"/>
        <color rgb="FF000000"/>
        <rFont val="Calibri"/>
        <family val="2"/>
        <scheme val="minor"/>
      </rPr>
      <t xml:space="preserve"> NAS -DS723</t>
    </r>
    <phoneticPr fontId="3" type="noConversion"/>
  </si>
  <si>
    <r>
      <rPr>
        <sz val="11"/>
        <color rgb="FF000000"/>
        <rFont val="Calibri"/>
        <family val="2"/>
        <scheme val="minor"/>
      </rPr>
      <t>DSM 7.2.1-69057 Update 12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 xml:space="preserve">AMD Ryzen R1600 2.6 GHz(2 </t>
    </r>
    <r>
      <rPr>
        <sz val="11"/>
        <color rgb="FF000000"/>
        <rFont val="Calibri"/>
        <family val="2"/>
        <charset val="136"/>
        <scheme val="minor"/>
      </rPr>
      <t>核心</t>
    </r>
    <r>
      <rPr>
        <sz val="11"/>
        <color rgb="FF000000"/>
        <rFont val="Calibri"/>
        <family val="2"/>
        <scheme val="minor"/>
      </rPr>
      <t>)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RAM 2 GB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 xml:space="preserve">2 </t>
    </r>
    <r>
      <rPr>
        <sz val="11"/>
        <color rgb="FF000000"/>
        <rFont val="Calibri"/>
        <family val="2"/>
        <charset val="136"/>
        <scheme val="minor"/>
      </rPr>
      <t>槽</t>
    </r>
    <r>
      <rPr>
        <sz val="11"/>
        <color rgb="FF000000"/>
        <rFont val="Calibri"/>
        <family val="2"/>
        <scheme val="minor"/>
      </rPr>
      <t xml:space="preserve"> NAS</t>
    </r>
    <r>
      <rPr>
        <sz val="11"/>
        <color rgb="FF000000"/>
        <rFont val="Calibri"/>
        <family val="2"/>
        <charset val="136"/>
        <scheme val="minor"/>
      </rPr>
      <t>／散熱正常、低溫模式／</t>
    </r>
    <r>
      <rPr>
        <sz val="11"/>
        <color rgb="FF000000"/>
        <rFont val="Calibri"/>
        <family val="2"/>
        <scheme val="minor"/>
      </rPr>
      <t>USB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Delta UPS</t>
    </r>
    <r>
      <rPr>
        <sz val="11"/>
        <color rgb="FF000000"/>
        <rFont val="Calibri"/>
        <family val="2"/>
        <charset val="136"/>
        <scheme val="minor"/>
      </rPr>
      <t>／擴充裝置：</t>
    </r>
    <r>
      <rPr>
        <sz val="11"/>
        <color rgb="FF000000"/>
        <rFont val="Calibri"/>
        <family val="2"/>
        <scheme val="minor"/>
      </rPr>
      <t>Synology DX517</t>
    </r>
    <r>
      <rPr>
        <sz val="11"/>
        <color rgb="FF000000"/>
        <rFont val="Calibri"/>
        <family val="2"/>
        <charset val="136"/>
        <scheme val="minor"/>
      </rPr>
      <t>／主要用途：</t>
    </r>
    <r>
      <rPr>
        <sz val="11"/>
        <color rgb="FF000000"/>
        <rFont val="Calibri"/>
        <family val="2"/>
        <scheme val="minor"/>
      </rPr>
      <t>ISMS</t>
    </r>
    <r>
      <rPr>
        <sz val="11"/>
        <color rgb="FF000000"/>
        <rFont val="Calibri"/>
        <family val="2"/>
        <charset val="136"/>
        <scheme val="minor"/>
      </rPr>
      <t>、</t>
    </r>
    <r>
      <rPr>
        <sz val="11"/>
        <color rgb="FF000000"/>
        <rFont val="Calibri"/>
        <family val="2"/>
        <scheme val="minor"/>
      </rPr>
      <t>Tools</t>
    </r>
    <r>
      <rPr>
        <sz val="11"/>
        <color rgb="FF000000"/>
        <rFont val="Calibri"/>
        <family val="2"/>
        <charset val="136"/>
        <scheme val="minor"/>
      </rPr>
      <t>、</t>
    </r>
    <r>
      <rPr>
        <sz val="11"/>
        <color rgb="FF000000"/>
        <rFont val="Calibri"/>
        <family val="2"/>
        <scheme val="minor"/>
      </rPr>
      <t>VMWare</t>
    </r>
    <r>
      <rPr>
        <sz val="11"/>
        <color rgb="FF000000"/>
        <rFont val="Calibri"/>
        <family val="2"/>
        <charset val="136"/>
        <scheme val="minor"/>
      </rPr>
      <t>、</t>
    </r>
    <r>
      <rPr>
        <sz val="11"/>
        <color rgb="FF000000"/>
        <rFont val="Calibri"/>
        <family val="2"/>
        <scheme val="minor"/>
      </rPr>
      <t>WebAccess</t>
    </r>
    <r>
      <rPr>
        <sz val="11"/>
        <color rgb="FF000000"/>
        <rFont val="Calibri"/>
        <family val="2"/>
        <charset val="136"/>
        <scheme val="minor"/>
      </rPr>
      <t>、公告區、專案備份區、環控系統、芊妤備份區及說明文件</t>
    </r>
  </si>
  <si>
    <r>
      <rPr>
        <sz val="11"/>
        <color rgb="FF000000"/>
        <rFont val="Calibri"/>
        <family val="2"/>
        <charset val="136"/>
        <scheme val="minor"/>
      </rPr>
      <t>主機：</t>
    </r>
    <r>
      <rPr>
        <sz val="11"/>
        <color rgb="FF000000"/>
        <rFont val="Calibri"/>
        <family val="2"/>
        <scheme val="minor"/>
      </rPr>
      <t>SunforceDS723P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IP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192.168.123.175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QuickConnect ID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SunforceDS723P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 xml:space="preserve">Synology </t>
    </r>
    <r>
      <rPr>
        <sz val="11"/>
        <color rgb="FF000000"/>
        <rFont val="Calibri"/>
        <family val="2"/>
        <charset val="136"/>
        <scheme val="minor"/>
      </rPr>
      <t>帳戶：</t>
    </r>
    <r>
      <rPr>
        <sz val="11"/>
        <color rgb="FF000000"/>
        <rFont val="Calibri"/>
        <family val="2"/>
        <scheme val="minor"/>
      </rPr>
      <t>hlu@sunforce.com.tw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NTP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time.google.com</t>
    </r>
  </si>
  <si>
    <r>
      <rPr>
        <sz val="11"/>
        <color rgb="FF000000"/>
        <rFont val="Calibri"/>
        <family val="2"/>
        <charset val="136"/>
        <scheme val="minor"/>
      </rPr>
      <t>公司</t>
    </r>
    <r>
      <rPr>
        <sz val="11"/>
        <color rgb="FF000000"/>
        <rFont val="Calibri"/>
        <family val="2"/>
        <scheme val="minor"/>
      </rPr>
      <t xml:space="preserve"> NAS -DS214</t>
    </r>
    <phoneticPr fontId="3" type="noConversion"/>
  </si>
  <si>
    <r>
      <rPr>
        <sz val="11"/>
        <color rgb="FF000000"/>
        <rFont val="Calibri"/>
        <family val="2"/>
        <scheme val="minor"/>
      </rPr>
      <t>DSM 7.1.1-42962 Update 9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 xml:space="preserve">MARVELL Armada XP MV78230 1.33 GHz(2 </t>
    </r>
    <r>
      <rPr>
        <sz val="11"/>
        <color rgb="FF000000"/>
        <rFont val="Calibri"/>
        <family val="2"/>
        <charset val="136"/>
        <scheme val="minor"/>
      </rPr>
      <t>核心</t>
    </r>
    <r>
      <rPr>
        <sz val="11"/>
        <color rgb="FF000000"/>
        <rFont val="Calibri"/>
        <family val="2"/>
        <scheme val="minor"/>
      </rPr>
      <t>)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RAM 1 GB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 xml:space="preserve">2 </t>
    </r>
    <r>
      <rPr>
        <sz val="11"/>
        <color rgb="FF000000"/>
        <rFont val="Calibri"/>
        <family val="2"/>
        <charset val="136"/>
        <scheme val="minor"/>
      </rPr>
      <t>槽</t>
    </r>
    <r>
      <rPr>
        <sz val="11"/>
        <color rgb="FF000000"/>
        <rFont val="Calibri"/>
        <family val="2"/>
        <scheme val="minor"/>
      </rPr>
      <t xml:space="preserve"> NAS</t>
    </r>
    <r>
      <rPr>
        <sz val="11"/>
        <color rgb="FF000000"/>
        <rFont val="Calibri"/>
        <family val="2"/>
        <charset val="136"/>
        <scheme val="minor"/>
      </rPr>
      <t>／散熱正常、靜音模式／硬碟容量、</t>
    </r>
    <r>
      <rPr>
        <sz val="11"/>
        <color rgb="FF000000"/>
        <rFont val="Calibri"/>
        <family val="2"/>
        <scheme val="minor"/>
      </rPr>
      <t>RAID</t>
    </r>
    <r>
      <rPr>
        <sz val="11"/>
        <color rgb="FF000000"/>
        <rFont val="Calibri"/>
        <family val="2"/>
        <charset val="136"/>
        <scheme val="minor"/>
      </rPr>
      <t>及主要用途待補</t>
    </r>
  </si>
  <si>
    <r>
      <rPr>
        <sz val="11"/>
        <color rgb="FF000000"/>
        <rFont val="Calibri"/>
        <family val="2"/>
        <charset val="136"/>
        <scheme val="minor"/>
      </rPr>
      <t>主機：</t>
    </r>
    <r>
      <rPr>
        <sz val="11"/>
        <color rgb="FF000000"/>
        <rFont val="Calibri"/>
        <family val="2"/>
        <scheme val="minor"/>
      </rPr>
      <t>SF_NAS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>IP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192.168.123.215</t>
    </r>
    <r>
      <rPr>
        <sz val="11"/>
        <color rgb="FF000000"/>
        <rFont val="Calibri"/>
        <family val="2"/>
        <charset val="136"/>
        <scheme val="minor"/>
      </rPr>
      <t>；</t>
    </r>
    <r>
      <rPr>
        <sz val="11"/>
        <color rgb="FF000000"/>
        <rFont val="Calibri"/>
        <family val="2"/>
        <scheme val="minor"/>
      </rPr>
      <t xml:space="preserve">Synology </t>
    </r>
    <r>
      <rPr>
        <sz val="11"/>
        <color rgb="FF000000"/>
        <rFont val="Calibri"/>
        <family val="2"/>
        <charset val="136"/>
        <scheme val="minor"/>
      </rPr>
      <t>帳戶未設定；</t>
    </r>
    <r>
      <rPr>
        <sz val="11"/>
        <color rgb="FF000000"/>
        <rFont val="Calibri"/>
        <family val="2"/>
        <scheme val="minor"/>
      </rPr>
      <t xml:space="preserve">QuickConnect </t>
    </r>
    <r>
      <rPr>
        <sz val="11"/>
        <color rgb="FF000000"/>
        <rFont val="Calibri"/>
        <family val="2"/>
        <charset val="136"/>
        <scheme val="minor"/>
      </rPr>
      <t>未設定；</t>
    </r>
    <r>
      <rPr>
        <sz val="11"/>
        <color rgb="FF000000"/>
        <rFont val="Calibri"/>
        <family val="2"/>
        <scheme val="minor"/>
      </rPr>
      <t>NTP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time.google.com</t>
    </r>
  </si>
  <si>
    <r>
      <rPr>
        <sz val="11"/>
        <color rgb="FF000000"/>
        <rFont val="Calibri"/>
        <family val="2"/>
        <scheme val="minor"/>
      </rPr>
      <t>NAS</t>
    </r>
    <r>
      <rPr>
        <sz val="11"/>
        <color rgb="FF000000"/>
        <rFont val="Calibri"/>
        <family val="2"/>
        <charset val="136"/>
        <scheme val="minor"/>
      </rPr>
      <t>儲存擴充裝置</t>
    </r>
  </si>
  <si>
    <r>
      <rPr>
        <sz val="11"/>
        <color rgb="FF000000"/>
        <rFont val="Calibri"/>
        <family val="2"/>
        <charset val="136"/>
        <scheme val="minor"/>
      </rPr>
      <t>公司</t>
    </r>
    <r>
      <rPr>
        <sz val="11"/>
        <color rgb="FF000000"/>
        <rFont val="Calibri"/>
        <family val="2"/>
        <scheme val="minor"/>
      </rPr>
      <t xml:space="preserve"> Synology NAS DX517</t>
    </r>
    <r>
      <rPr>
        <sz val="11"/>
        <color rgb="FF000000"/>
        <rFont val="Calibri"/>
        <family val="2"/>
        <charset val="136"/>
        <scheme val="minor"/>
      </rPr>
      <t>儲存擴充裝置</t>
    </r>
    <phoneticPr fontId="3" type="noConversion"/>
  </si>
  <si>
    <r>
      <rPr>
        <sz val="11"/>
        <color rgb="FF000000"/>
        <rFont val="Calibri"/>
        <family val="2"/>
        <scheme val="minor"/>
      </rPr>
      <t xml:space="preserve">5 </t>
    </r>
    <r>
      <rPr>
        <sz val="11"/>
        <color rgb="FF000000"/>
        <rFont val="Calibri"/>
        <family val="2"/>
        <charset val="136"/>
        <scheme val="minor"/>
      </rPr>
      <t>槽儲存擴充裝置；已連接</t>
    </r>
    <r>
      <rPr>
        <sz val="11"/>
        <color rgb="FF000000"/>
        <rFont val="Calibri"/>
        <family val="2"/>
        <scheme val="minor"/>
      </rPr>
      <t xml:space="preserve"> SF-NAS-0001(DS723+)</t>
    </r>
    <r>
      <rPr>
        <sz val="11"/>
        <color rgb="FF000000"/>
        <rFont val="Calibri"/>
        <family val="2"/>
        <charset val="136"/>
        <scheme val="minor"/>
      </rPr>
      <t>；非獨立</t>
    </r>
    <r>
      <rPr>
        <sz val="11"/>
        <color rgb="FF000000"/>
        <rFont val="Calibri"/>
        <family val="2"/>
        <scheme val="minor"/>
      </rPr>
      <t xml:space="preserve"> NAS</t>
    </r>
    <r>
      <rPr>
        <sz val="11"/>
        <color rgb="FF000000"/>
        <rFont val="Calibri"/>
        <family val="2"/>
        <charset val="136"/>
        <scheme val="minor"/>
      </rPr>
      <t>，無獨立</t>
    </r>
    <r>
      <rPr>
        <sz val="11"/>
        <color rgb="FF000000"/>
        <rFont val="Calibri"/>
        <family val="2"/>
        <scheme val="minor"/>
      </rPr>
      <t xml:space="preserve"> DSM</t>
    </r>
    <r>
      <rPr>
        <sz val="11"/>
        <color rgb="FF000000"/>
        <rFont val="Calibri"/>
        <family val="2"/>
        <charset val="136"/>
        <scheme val="minor"/>
      </rPr>
      <t>、帳號及</t>
    </r>
    <r>
      <rPr>
        <sz val="11"/>
        <color rgb="FF000000"/>
        <rFont val="Calibri"/>
        <family val="2"/>
        <scheme val="minor"/>
      </rPr>
      <t xml:space="preserve"> IP</t>
    </r>
    <r>
      <rPr>
        <sz val="11"/>
        <color rgb="FF000000"/>
        <rFont val="Calibri"/>
        <family val="2"/>
        <charset val="136"/>
        <scheme val="minor"/>
      </rPr>
      <t>；硬碟容量與</t>
    </r>
    <r>
      <rPr>
        <sz val="11"/>
        <color rgb="FF000000"/>
        <rFont val="Calibri"/>
        <family val="2"/>
        <scheme val="minor"/>
      </rPr>
      <t xml:space="preserve"> RAID </t>
    </r>
    <r>
      <rPr>
        <sz val="11"/>
        <color rgb="FF000000"/>
        <rFont val="Calibri"/>
        <family val="2"/>
        <charset val="136"/>
        <scheme val="minor"/>
      </rPr>
      <t>配置待補</t>
    </r>
  </si>
  <si>
    <r>
      <rPr>
        <sz val="11"/>
        <color rgb="FF000000"/>
        <rFont val="Calibri"/>
        <family val="2"/>
        <charset val="136"/>
        <scheme val="minor"/>
      </rPr>
      <t>無獨立</t>
    </r>
    <r>
      <rPr>
        <sz val="11"/>
        <color rgb="FF000000"/>
        <rFont val="Calibri"/>
        <family val="2"/>
        <scheme val="minor"/>
      </rPr>
      <t xml:space="preserve"> IP</t>
    </r>
    <r>
      <rPr>
        <sz val="11"/>
        <color rgb="FF000000"/>
        <rFont val="Calibri"/>
        <family val="2"/>
        <charset val="136"/>
        <scheme val="minor"/>
      </rPr>
      <t>；連接</t>
    </r>
    <r>
      <rPr>
        <sz val="11"/>
        <color rgb="FF000000"/>
        <rFont val="Calibri"/>
        <family val="2"/>
        <scheme val="minor"/>
      </rPr>
      <t xml:space="preserve"> SF-NAS-0001(SunforceDS723P</t>
    </r>
    <r>
      <rPr>
        <sz val="11"/>
        <color rgb="FF000000"/>
        <rFont val="Calibri"/>
        <family val="2"/>
        <charset val="136"/>
        <scheme val="minor"/>
      </rPr>
      <t>／</t>
    </r>
    <r>
      <rPr>
        <sz val="11"/>
        <color rgb="FF000000"/>
        <rFont val="Calibri"/>
        <family val="2"/>
        <scheme val="minor"/>
      </rPr>
      <t>DS723+)</t>
    </r>
    <r>
      <rPr>
        <sz val="11"/>
        <color rgb="FF000000"/>
        <rFont val="Calibri"/>
        <family val="2"/>
        <charset val="136"/>
        <scheme val="minor"/>
      </rPr>
      <t>使用</t>
    </r>
  </si>
  <si>
    <r>
      <rPr>
        <sz val="11"/>
        <color rgb="FF000000"/>
        <rFont val="Calibri"/>
        <family val="2"/>
        <charset val="136"/>
        <scheme val="minor"/>
      </rPr>
      <t>輸入設備</t>
    </r>
  </si>
  <si>
    <r>
      <rPr>
        <sz val="11"/>
        <color rgb="FF000000"/>
        <rFont val="Calibri"/>
        <family val="2"/>
        <charset val="136"/>
        <scheme val="minor"/>
      </rPr>
      <t>鍵盤</t>
    </r>
  </si>
  <si>
    <r>
      <rPr>
        <sz val="11"/>
        <color rgb="FF000000"/>
        <rFont val="Calibri"/>
        <family val="2"/>
        <charset val="136"/>
        <scheme val="minor"/>
      </rPr>
      <t>羅福枝鍵盤</t>
    </r>
  </si>
  <si>
    <r>
      <rPr>
        <sz val="11"/>
        <color rgb="FF000000"/>
        <rFont val="Calibri"/>
        <family val="2"/>
        <scheme val="minor"/>
      </rPr>
      <t>LAB</t>
    </r>
    <r>
      <rPr>
        <sz val="11"/>
        <color rgb="FF000000"/>
        <rFont val="Calibri"/>
        <family val="2"/>
        <charset val="136"/>
        <scheme val="minor"/>
      </rPr>
      <t>鍵盤</t>
    </r>
  </si>
  <si>
    <r>
      <rPr>
        <sz val="11"/>
        <color rgb="FF000000"/>
        <rFont val="Calibri"/>
        <family val="2"/>
        <charset val="136"/>
        <scheme val="minor"/>
      </rPr>
      <t>李芊妤鍵盤</t>
    </r>
  </si>
  <si>
    <r>
      <rPr>
        <sz val="11"/>
        <color rgb="FF000000"/>
        <rFont val="Calibri"/>
        <family val="2"/>
        <charset val="136"/>
        <scheme val="minor"/>
      </rPr>
      <t>陳宥君鍵盤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</si>
  <si>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曹桓豪鍵盤</t>
    </r>
  </si>
  <si>
    <r>
      <rPr>
        <sz val="11"/>
        <color rgb="FF000000"/>
        <rFont val="Calibri"/>
        <family val="2"/>
        <charset val="136"/>
        <scheme val="minor"/>
      </rPr>
      <t>林承偉鍵盤</t>
    </r>
  </si>
  <si>
    <r>
      <rPr>
        <sz val="11"/>
        <color rgb="FF000000"/>
        <rFont val="Calibri"/>
        <family val="2"/>
        <charset val="136"/>
        <scheme val="minor"/>
      </rPr>
      <t>曹哲維滑鼠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</si>
  <si>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曹哲維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</si>
  <si>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研發部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</si>
  <si>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曹哲維鍵盤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</si>
  <si>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滑鼠</t>
    </r>
  </si>
  <si>
    <r>
      <rPr>
        <sz val="11"/>
        <color rgb="FF000000"/>
        <rFont val="Calibri"/>
        <family val="2"/>
        <charset val="136"/>
        <scheme val="minor"/>
      </rPr>
      <t>陳宥君滑鼠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</si>
  <si>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備用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目前無使用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</si>
  <si>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rgb="FF000000"/>
        <rFont val="Calibri"/>
        <family val="2"/>
        <charset val="136"/>
        <scheme val="minor"/>
      </rPr>
      <t>李芊妤滑鼠</t>
    </r>
  </si>
  <si>
    <r>
      <rPr>
        <sz val="11"/>
        <color rgb="FF000000"/>
        <rFont val="Calibri"/>
        <family val="2"/>
        <charset val="136"/>
        <scheme val="minor"/>
      </rPr>
      <t>薛宇舜鍵盤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</si>
  <si>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薛宇舜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</si>
  <si>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辦公區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分機</t>
    </r>
    <r>
      <rPr>
        <sz val="11"/>
        <color rgb="FF000000"/>
        <rFont val="Calibri"/>
        <family val="2"/>
        <scheme val="minor"/>
      </rPr>
      <t>8215</t>
    </r>
    <r>
      <rPr>
        <sz val="11"/>
        <color rgb="FF000000"/>
        <rFont val="Calibri"/>
        <family val="2"/>
        <charset val="136"/>
        <scheme val="minor"/>
      </rPr>
      <t>座位</t>
    </r>
    <r>
      <rPr>
        <sz val="11"/>
        <color rgb="FF000000"/>
        <rFont val="Calibri"/>
        <family val="2"/>
        <scheme val="minor"/>
      </rPr>
      <t>)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</si>
  <si>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林承偉滑鼠</t>
    </r>
  </si>
  <si>
    <r>
      <rPr>
        <sz val="11"/>
        <color rgb="FF000000"/>
        <rFont val="Calibri"/>
        <family val="2"/>
        <charset val="136"/>
        <scheme val="minor"/>
      </rPr>
      <t>黃鴻喬滑鼠</t>
    </r>
  </si>
  <si>
    <r>
      <rPr>
        <sz val="11"/>
        <color rgb="FF000000"/>
        <rFont val="Calibri"/>
        <family val="2"/>
        <charset val="136"/>
        <scheme val="minor"/>
      </rPr>
      <t>羅福枝滑鼠</t>
    </r>
  </si>
  <si>
    <r>
      <rPr>
        <sz val="11"/>
        <color rgb="FF000000"/>
        <rFont val="Calibri"/>
        <family val="2"/>
        <scheme val="minor"/>
      </rPr>
      <t>LAB</t>
    </r>
    <r>
      <rPr>
        <sz val="11"/>
        <color rgb="FF000000"/>
        <rFont val="Calibri"/>
        <family val="2"/>
        <charset val="136"/>
        <scheme val="minor"/>
      </rPr>
      <t>主機滑鼠</t>
    </r>
  </si>
  <si>
    <r>
      <rPr>
        <sz val="11"/>
        <color rgb="FF000000"/>
        <rFont val="Calibri"/>
        <family val="2"/>
        <charset val="136"/>
        <scheme val="minor"/>
      </rPr>
      <t>網路設備</t>
    </r>
  </si>
  <si>
    <r>
      <rPr>
        <sz val="11"/>
        <color rgb="FF000000"/>
        <rFont val="Calibri"/>
        <family val="2"/>
        <scheme val="minor"/>
      </rPr>
      <t xml:space="preserve">USB </t>
    </r>
    <r>
      <rPr>
        <sz val="11"/>
        <color rgb="FF000000"/>
        <rFont val="Calibri"/>
        <family val="2"/>
        <charset val="136"/>
        <scheme val="minor"/>
      </rPr>
      <t>有線網路卡</t>
    </r>
  </si>
  <si>
    <r>
      <rPr>
        <sz val="11"/>
        <color rgb="FF000000"/>
        <rFont val="Calibri"/>
        <family val="2"/>
        <scheme val="minor"/>
      </rPr>
      <t>LAB</t>
    </r>
    <r>
      <rPr>
        <sz val="11"/>
        <color rgb="FF000000"/>
        <rFont val="Calibri"/>
        <family val="2"/>
        <charset val="136"/>
        <scheme val="minor"/>
      </rPr>
      <t>主機</t>
    </r>
    <r>
      <rPr>
        <sz val="11"/>
        <color rgb="FF000000"/>
        <rFont val="Calibri"/>
        <family val="2"/>
        <scheme val="minor"/>
      </rPr>
      <t xml:space="preserve">#2 USB </t>
    </r>
    <r>
      <rPr>
        <sz val="11"/>
        <color rgb="FF000000"/>
        <rFont val="Calibri"/>
        <family val="2"/>
        <charset val="136"/>
        <scheme val="minor"/>
      </rPr>
      <t>有線網路卡</t>
    </r>
  </si>
  <si>
    <r>
      <rPr>
        <sz val="11"/>
        <color rgb="FF000000"/>
        <rFont val="Calibri"/>
        <family val="2"/>
        <scheme val="minor"/>
      </rPr>
      <t>MAC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50-91-E3-C4-70-16</t>
    </r>
  </si>
  <si>
    <r>
      <rPr>
        <sz val="11"/>
        <color rgb="FF000000"/>
        <rFont val="Calibri"/>
        <family val="2"/>
        <charset val="136"/>
        <scheme val="minor"/>
      </rPr>
      <t>公司</t>
    </r>
    <r>
      <rPr>
        <sz val="11"/>
        <color rgb="FF000000"/>
        <rFont val="Calibri"/>
        <family val="2"/>
        <scheme val="minor"/>
      </rPr>
      <t>LAB/</t>
    </r>
    <r>
      <rPr>
        <sz val="11"/>
        <color rgb="FF000000"/>
        <rFont val="Calibri"/>
        <family val="2"/>
        <charset val="136"/>
        <scheme val="minor"/>
      </rPr>
      <t>機房</t>
    </r>
  </si>
  <si>
    <r>
      <t>ISP</t>
    </r>
    <r>
      <rPr>
        <sz val="11"/>
        <color rgb="FF000000"/>
        <rFont val="Calibri"/>
        <family val="2"/>
        <charset val="136"/>
        <scheme val="minor"/>
      </rPr>
      <t>終端設備／光纖數據機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</si>
  <si>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中華電信光纖數據機／</t>
    </r>
    <r>
      <rPr>
        <sz val="11"/>
        <color rgb="FF000000"/>
        <rFont val="Calibri"/>
        <family val="2"/>
        <scheme val="minor"/>
      </rPr>
      <t>MOD</t>
    </r>
  </si>
  <si>
    <r>
      <rPr>
        <sz val="11"/>
        <color rgb="FF000000"/>
        <rFont val="Calibri"/>
        <family val="2"/>
        <charset val="136"/>
        <scheme val="minor"/>
      </rPr>
      <t>中華電信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</si>
  <si>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光纖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charset val="136"/>
        <scheme val="minor"/>
      </rPr>
      <t>雙向</t>
    </r>
    <r>
      <rPr>
        <sz val="11"/>
        <color rgb="FF000000"/>
        <rFont val="Calibri"/>
        <family val="2"/>
        <scheme val="minor"/>
      </rPr>
      <t>300M(</t>
    </r>
    <r>
      <rPr>
        <sz val="11"/>
        <color rgb="FF000000"/>
        <rFont val="Calibri"/>
        <family val="2"/>
        <charset val="136"/>
        <scheme val="minor"/>
      </rPr>
      <t>提供</t>
    </r>
    <r>
      <rPr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charset val="136"/>
        <scheme val="minor"/>
      </rPr>
      <t>個固定</t>
    </r>
    <r>
      <rPr>
        <sz val="11"/>
        <color rgb="FF000000"/>
        <rFont val="Calibri"/>
        <family val="2"/>
        <scheme val="minor"/>
      </rPr>
      <t>IP)</t>
    </r>
    <phoneticPr fontId="3" type="noConversion"/>
  </si>
  <si>
    <r>
      <rPr>
        <sz val="11"/>
        <color rgb="FF000000"/>
        <rFont val="Calibri"/>
        <family val="2"/>
        <charset val="136"/>
        <scheme val="minor"/>
      </rPr>
      <t>大樓機房</t>
    </r>
  </si>
  <si>
    <r>
      <rPr>
        <sz val="11"/>
        <color rgb="FF000000"/>
        <rFont val="Calibri"/>
        <family val="2"/>
        <charset val="136"/>
        <scheme val="minor"/>
      </rPr>
      <t>對外固定</t>
    </r>
    <r>
      <rPr>
        <sz val="11"/>
        <color rgb="FF000000"/>
        <rFont val="Calibri"/>
        <family val="2"/>
        <scheme val="minor"/>
      </rPr>
      <t xml:space="preserve"> IP </t>
    </r>
    <r>
      <rPr>
        <sz val="11"/>
        <color rgb="FF000000"/>
        <rFont val="Calibri"/>
        <family val="2"/>
        <charset val="136"/>
        <scheme val="minor"/>
      </rPr>
      <t>配置依圖面／清單</t>
    </r>
  </si>
  <si>
    <r>
      <rPr>
        <sz val="11"/>
        <color rgb="FF000000"/>
        <rFont val="Calibri"/>
        <family val="2"/>
        <charset val="136"/>
        <scheme val="minor"/>
      </rPr>
      <t>路由器</t>
    </r>
  </si>
  <si>
    <r>
      <rPr>
        <sz val="11"/>
        <color rgb="FF000000"/>
        <rFont val="Calibri"/>
        <family val="2"/>
        <charset val="136"/>
        <scheme val="minor"/>
      </rPr>
      <t>路由器</t>
    </r>
    <r>
      <rPr>
        <sz val="11"/>
        <color rgb="FF000000"/>
        <rFont val="Calibri"/>
        <family val="2"/>
        <scheme val="minor"/>
      </rPr>
      <t>A</t>
    </r>
    <r>
      <rPr>
        <sz val="11"/>
        <color rgb="FF000000"/>
        <rFont val="Calibri"/>
        <family val="2"/>
        <charset val="136"/>
        <scheme val="minor"/>
      </rPr>
      <t>－公司網路</t>
    </r>
  </si>
  <si>
    <r>
      <rPr>
        <sz val="11"/>
        <color rgb="FF000000"/>
        <rFont val="Calibri"/>
        <family val="2"/>
        <charset val="136"/>
        <scheme val="minor"/>
      </rPr>
      <t>公司內部網路主路由器</t>
    </r>
  </si>
  <si>
    <r>
      <rPr>
        <sz val="11"/>
        <color rgb="FF000000"/>
        <rFont val="Calibri"/>
        <family val="2"/>
        <charset val="136"/>
        <scheme val="minor"/>
      </rPr>
      <t>對外</t>
    </r>
    <r>
      <rPr>
        <sz val="11"/>
        <color rgb="FF000000"/>
        <rFont val="Calibri"/>
        <family val="2"/>
        <scheme val="minor"/>
      </rPr>
      <t>IP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60.248.24.88</t>
    </r>
    <r>
      <rPr>
        <sz val="11"/>
        <color rgb="FF000000"/>
        <rFont val="Calibri"/>
        <family val="2"/>
        <charset val="136"/>
        <scheme val="minor"/>
      </rPr>
      <t>；內網</t>
    </r>
    <r>
      <rPr>
        <sz val="11"/>
        <color rgb="FF000000"/>
        <rFont val="Calibri"/>
        <family val="2"/>
        <scheme val="minor"/>
      </rPr>
      <t>IP</t>
    </r>
    <r>
      <rPr>
        <sz val="11"/>
        <color rgb="FF000000"/>
        <rFont val="Calibri"/>
        <family val="2"/>
        <charset val="136"/>
        <scheme val="minor"/>
      </rPr>
      <t>：</t>
    </r>
    <r>
      <rPr>
        <sz val="11"/>
        <color rgb="FF000000"/>
        <rFont val="Calibri"/>
        <family val="2"/>
        <scheme val="minor"/>
      </rPr>
      <t>192.168.123.1</t>
    </r>
  </si>
  <si>
    <r>
      <rPr>
        <sz val="11"/>
        <color theme="1"/>
        <rFont val="Calibri"/>
        <family val="2"/>
        <charset val="136"/>
        <scheme val="minor"/>
      </rPr>
      <t>網路設備</t>
    </r>
  </si>
  <si>
    <r>
      <rPr>
        <sz val="11"/>
        <color theme="1"/>
        <rFont val="Calibri"/>
        <family val="2"/>
        <charset val="136"/>
        <scheme val="minor"/>
      </rPr>
      <t>無線基地台／路由器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</si>
  <si>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辦公室</t>
    </r>
    <r>
      <rPr>
        <sz val="11"/>
        <color theme="1"/>
        <rFont val="Calibri"/>
        <family val="2"/>
        <scheme val="minor"/>
      </rPr>
      <t xml:space="preserve"> Wi-Fi</t>
    </r>
  </si>
  <si>
    <r>
      <rPr>
        <sz val="11"/>
        <color theme="1"/>
        <rFont val="Calibri"/>
        <family val="2"/>
        <charset val="136"/>
        <scheme val="minor"/>
      </rPr>
      <t>辦公室無線網路設備</t>
    </r>
  </si>
  <si>
    <r>
      <rPr>
        <sz val="11"/>
        <color theme="1"/>
        <rFont val="Calibri"/>
        <family val="2"/>
        <charset val="136"/>
        <scheme val="minor"/>
      </rPr>
      <t>公司</t>
    </r>
  </si>
  <si>
    <r>
      <rPr>
        <sz val="11"/>
        <color theme="1"/>
        <rFont val="Calibri"/>
        <family val="2"/>
        <charset val="136"/>
        <scheme val="minor"/>
      </rPr>
      <t>內網</t>
    </r>
    <r>
      <rPr>
        <sz val="11"/>
        <color theme="1"/>
        <rFont val="Calibri"/>
        <family val="2"/>
        <scheme val="minor"/>
      </rPr>
      <t>IP</t>
    </r>
    <r>
      <rPr>
        <sz val="11"/>
        <color theme="1"/>
        <rFont val="Calibri"/>
        <family val="2"/>
        <charset val="136"/>
        <scheme val="minor"/>
      </rPr>
      <t>：</t>
    </r>
    <r>
      <rPr>
        <sz val="11"/>
        <color theme="1"/>
        <rFont val="Calibri"/>
        <family val="2"/>
        <scheme val="minor"/>
      </rPr>
      <t>192.168.123.191</t>
    </r>
    <r>
      <rPr>
        <sz val="11"/>
        <color theme="1"/>
        <rFont val="Calibri"/>
        <family val="2"/>
        <charset val="136"/>
        <scheme val="minor"/>
      </rPr>
      <t>；對外線路：</t>
    </r>
    <r>
      <rPr>
        <sz val="11"/>
        <color theme="1"/>
        <rFont val="Calibri"/>
        <family val="2"/>
        <scheme val="minor"/>
      </rPr>
      <t>60.248.24.88</t>
    </r>
  </si>
  <si>
    <r>
      <rPr>
        <sz val="11"/>
        <color theme="1"/>
        <rFont val="Calibri"/>
        <family val="2"/>
        <charset val="136"/>
        <scheme val="minor"/>
      </rPr>
      <t>無線基地台／路由器</t>
    </r>
  </si>
  <si>
    <r>
      <rPr>
        <sz val="11"/>
        <color theme="1"/>
        <rFont val="Calibri"/>
        <family val="2"/>
        <charset val="136"/>
        <scheme val="minor"/>
      </rPr>
      <t>實驗室</t>
    </r>
    <r>
      <rPr>
        <sz val="11"/>
        <color theme="1"/>
        <rFont val="Calibri"/>
        <family val="2"/>
        <scheme val="minor"/>
      </rPr>
      <t xml:space="preserve"> Wi-Fi</t>
    </r>
  </si>
  <si>
    <r>
      <rPr>
        <sz val="11"/>
        <color theme="1"/>
        <rFont val="Calibri"/>
        <family val="2"/>
        <charset val="136"/>
        <scheme val="minor"/>
      </rPr>
      <t>實驗室無線網路設備</t>
    </r>
  </si>
  <si>
    <r>
      <rPr>
        <sz val="11"/>
        <color theme="1"/>
        <rFont val="Calibri"/>
        <family val="2"/>
        <charset val="136"/>
        <scheme val="minor"/>
      </rPr>
      <t>內網</t>
    </r>
    <r>
      <rPr>
        <sz val="11"/>
        <color theme="1"/>
        <rFont val="Calibri"/>
        <family val="2"/>
        <scheme val="minor"/>
      </rPr>
      <t>IP</t>
    </r>
    <r>
      <rPr>
        <sz val="11"/>
        <color theme="1"/>
        <rFont val="Calibri"/>
        <family val="2"/>
        <charset val="136"/>
        <scheme val="minor"/>
      </rPr>
      <t>：</t>
    </r>
    <r>
      <rPr>
        <sz val="11"/>
        <color theme="1"/>
        <rFont val="Calibri"/>
        <family val="2"/>
        <scheme val="minor"/>
      </rPr>
      <t>192.168.123.101</t>
    </r>
    <r>
      <rPr>
        <sz val="11"/>
        <color theme="1"/>
        <rFont val="Calibri"/>
        <family val="2"/>
        <charset val="136"/>
        <scheme val="minor"/>
      </rPr>
      <t>；對外線路：</t>
    </r>
    <r>
      <rPr>
        <sz val="11"/>
        <color theme="1"/>
        <rFont val="Calibri"/>
        <family val="2"/>
        <scheme val="minor"/>
      </rPr>
      <t>60.248.24.88</t>
    </r>
  </si>
  <si>
    <r>
      <rPr>
        <sz val="11"/>
        <color theme="1"/>
        <rFont val="Calibri"/>
        <family val="2"/>
        <charset val="136"/>
        <scheme val="minor"/>
      </rPr>
      <t>網路交換器／</t>
    </r>
    <r>
      <rPr>
        <sz val="11"/>
        <color theme="1"/>
        <rFont val="Calibri"/>
        <family val="2"/>
        <scheme val="minor"/>
      </rPr>
      <t>HUB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</si>
  <si>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辦公室</t>
    </r>
    <r>
      <rPr>
        <sz val="11"/>
        <color theme="1"/>
        <rFont val="Calibri"/>
        <family val="2"/>
        <scheme val="minor"/>
      </rPr>
      <t xml:space="preserve"> HUB</t>
    </r>
  </si>
  <si>
    <r>
      <rPr>
        <sz val="11"/>
        <color theme="1"/>
        <rFont val="Calibri"/>
        <family val="2"/>
        <charset val="136"/>
        <scheme val="minor"/>
      </rPr>
      <t>辦公室有線網路交換設備</t>
    </r>
  </si>
  <si>
    <r>
      <rPr>
        <sz val="11"/>
        <color theme="1"/>
        <rFont val="Calibri"/>
        <family val="2"/>
        <charset val="136"/>
        <scheme val="minor"/>
      </rPr>
      <t>無管理</t>
    </r>
    <r>
      <rPr>
        <sz val="11"/>
        <color theme="1"/>
        <rFont val="Calibri"/>
        <family val="2"/>
        <scheme val="minor"/>
      </rPr>
      <t xml:space="preserve"> IP</t>
    </r>
    <r>
      <rPr>
        <sz val="11"/>
        <color theme="1"/>
        <rFont val="Calibri"/>
        <family val="2"/>
        <charset val="136"/>
        <scheme val="minor"/>
      </rPr>
      <t>／待確認</t>
    </r>
  </si>
  <si>
    <r>
      <rPr>
        <sz val="11"/>
        <color theme="1"/>
        <rFont val="Calibri"/>
        <family val="2"/>
        <charset val="136"/>
        <scheme val="minor"/>
      </rPr>
      <t>網路交換器／</t>
    </r>
    <r>
      <rPr>
        <sz val="11"/>
        <color theme="1"/>
        <rFont val="Calibri"/>
        <family val="2"/>
        <scheme val="minor"/>
      </rPr>
      <t>HUB</t>
    </r>
  </si>
  <si>
    <r>
      <rPr>
        <sz val="11"/>
        <color theme="1"/>
        <rFont val="Calibri"/>
        <family val="2"/>
        <charset val="136"/>
        <scheme val="minor"/>
      </rPr>
      <t>機櫃</t>
    </r>
    <r>
      <rPr>
        <sz val="11"/>
        <color theme="1"/>
        <rFont val="Calibri"/>
        <family val="2"/>
        <scheme val="minor"/>
      </rPr>
      <t xml:space="preserve"> HUB</t>
    </r>
  </si>
  <si>
    <r>
      <rPr>
        <sz val="11"/>
        <color theme="1"/>
        <rFont val="Calibri"/>
        <family val="2"/>
        <charset val="136"/>
        <scheme val="minor"/>
      </rPr>
      <t>機櫃有線網路交換設備</t>
    </r>
  </si>
  <si>
    <r>
      <rPr>
        <sz val="11"/>
        <color theme="1"/>
        <rFont val="Calibri"/>
        <family val="2"/>
        <charset val="136"/>
        <scheme val="minor"/>
      </rPr>
      <t>對外</t>
    </r>
    <r>
      <rPr>
        <sz val="11"/>
        <color theme="1"/>
        <rFont val="Calibri"/>
        <family val="2"/>
        <scheme val="minor"/>
      </rPr>
      <t xml:space="preserve"> HUB</t>
    </r>
  </si>
  <si>
    <r>
      <rPr>
        <sz val="11"/>
        <color theme="1"/>
        <rFont val="Calibri"/>
        <family val="2"/>
        <charset val="136"/>
        <scheme val="minor"/>
      </rPr>
      <t>對外線路交換器，連接</t>
    </r>
    <r>
      <rPr>
        <sz val="11"/>
        <color theme="1"/>
        <rFont val="Calibri"/>
        <family val="2"/>
        <scheme val="minor"/>
      </rPr>
      <t xml:space="preserve"> Router B</t>
    </r>
    <r>
      <rPr>
        <sz val="11"/>
        <color theme="1"/>
        <rFont val="Calibri"/>
        <family val="2"/>
        <charset val="136"/>
        <scheme val="minor"/>
      </rPr>
      <t>／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charset val="136"/>
        <scheme val="minor"/>
      </rPr>
      <t>／</t>
    </r>
    <r>
      <rPr>
        <sz val="11"/>
        <color theme="1"/>
        <rFont val="Calibri"/>
        <family val="2"/>
        <scheme val="minor"/>
      </rPr>
      <t>D</t>
    </r>
  </si>
  <si>
    <r>
      <rPr>
        <sz val="11"/>
        <color theme="1"/>
        <rFont val="Calibri"/>
        <family val="2"/>
        <charset val="136"/>
        <scheme val="minor"/>
      </rPr>
      <t>對外線路：</t>
    </r>
    <r>
      <rPr>
        <sz val="11"/>
        <color theme="1"/>
        <rFont val="Calibri"/>
        <family val="2"/>
        <scheme val="minor"/>
      </rPr>
      <t>60.248.24.89</t>
    </r>
    <r>
      <rPr>
        <sz val="11"/>
        <color theme="1"/>
        <rFont val="Calibri"/>
        <family val="2"/>
        <charset val="136"/>
        <scheme val="minor"/>
      </rPr>
      <t>／</t>
    </r>
    <r>
      <rPr>
        <sz val="11"/>
        <color theme="1"/>
        <rFont val="Calibri"/>
        <family val="2"/>
        <scheme val="minor"/>
      </rPr>
      <t>60.248.24.92</t>
    </r>
    <r>
      <rPr>
        <sz val="11"/>
        <color theme="1"/>
        <rFont val="Calibri"/>
        <family val="2"/>
        <charset val="136"/>
        <scheme val="minor"/>
      </rPr>
      <t>／</t>
    </r>
    <r>
      <rPr>
        <sz val="11"/>
        <color theme="1"/>
        <rFont val="Calibri"/>
        <family val="2"/>
        <scheme val="minor"/>
      </rPr>
      <t>60.248.24.93</t>
    </r>
  </si>
  <si>
    <r>
      <rPr>
        <sz val="11"/>
        <color theme="1"/>
        <rFont val="Calibri"/>
        <family val="2"/>
        <charset val="136"/>
        <scheme val="minor"/>
      </rPr>
      <t>路由器／無線基地台</t>
    </r>
  </si>
  <si>
    <r>
      <rPr>
        <sz val="11"/>
        <color theme="1"/>
        <rFont val="Calibri"/>
        <family val="2"/>
        <charset val="136"/>
        <scheme val="minor"/>
      </rPr>
      <t>路由器</t>
    </r>
    <r>
      <rPr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charset val="136"/>
        <scheme val="minor"/>
      </rPr>
      <t>－公司系統</t>
    </r>
  </si>
  <si>
    <r>
      <rPr>
        <sz val="11"/>
        <color theme="1"/>
        <rFont val="Calibri"/>
        <family val="2"/>
        <charset val="136"/>
        <scheme val="minor"/>
      </rPr>
      <t>公司系統網段路由器</t>
    </r>
  </si>
  <si>
    <r>
      <rPr>
        <sz val="11"/>
        <color theme="1"/>
        <rFont val="Calibri"/>
        <family val="2"/>
        <charset val="136"/>
        <scheme val="minor"/>
      </rPr>
      <t>對外</t>
    </r>
    <r>
      <rPr>
        <sz val="11"/>
        <color theme="1"/>
        <rFont val="Calibri"/>
        <family val="2"/>
        <scheme val="minor"/>
      </rPr>
      <t>IP</t>
    </r>
    <r>
      <rPr>
        <sz val="11"/>
        <color theme="1"/>
        <rFont val="Calibri"/>
        <family val="2"/>
        <charset val="136"/>
        <scheme val="minor"/>
      </rPr>
      <t>：</t>
    </r>
    <r>
      <rPr>
        <sz val="11"/>
        <color theme="1"/>
        <rFont val="Calibri"/>
        <family val="2"/>
        <scheme val="minor"/>
      </rPr>
      <t>60.248.24.89</t>
    </r>
    <r>
      <rPr>
        <sz val="11"/>
        <color theme="1"/>
        <rFont val="Calibri"/>
        <family val="2"/>
        <charset val="136"/>
        <scheme val="minor"/>
      </rPr>
      <t>；內網</t>
    </r>
    <r>
      <rPr>
        <sz val="11"/>
        <color theme="1"/>
        <rFont val="Calibri"/>
        <family val="2"/>
        <scheme val="minor"/>
      </rPr>
      <t>IP</t>
    </r>
    <r>
      <rPr>
        <sz val="11"/>
        <color theme="1"/>
        <rFont val="Calibri"/>
        <family val="2"/>
        <charset val="136"/>
        <scheme val="minor"/>
      </rPr>
      <t>：</t>
    </r>
    <r>
      <rPr>
        <sz val="11"/>
        <color theme="1"/>
        <rFont val="Calibri"/>
        <family val="2"/>
        <scheme val="minor"/>
      </rPr>
      <t>192.168.2.1</t>
    </r>
  </si>
  <si>
    <r>
      <rPr>
        <sz val="11"/>
        <color theme="1"/>
        <rFont val="Calibri"/>
        <family val="2"/>
        <charset val="136"/>
        <scheme val="minor"/>
      </rPr>
      <t>路由器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charset val="136"/>
        <scheme val="minor"/>
      </rPr>
      <t>－對外線路</t>
    </r>
    <r>
      <rPr>
        <sz val="11"/>
        <color theme="1"/>
        <rFont val="Calibri"/>
        <family val="2"/>
        <scheme val="minor"/>
      </rPr>
      <t>#1</t>
    </r>
  </si>
  <si>
    <r>
      <rPr>
        <sz val="11"/>
        <color theme="1"/>
        <rFont val="Calibri"/>
        <family val="2"/>
        <charset val="136"/>
        <scheme val="minor"/>
      </rPr>
      <t>客戶／水門跳板網段路由器</t>
    </r>
  </si>
  <si>
    <r>
      <rPr>
        <sz val="11"/>
        <color theme="1"/>
        <rFont val="Calibri"/>
        <family val="2"/>
        <charset val="136"/>
        <scheme val="minor"/>
      </rPr>
      <t>對外</t>
    </r>
    <r>
      <rPr>
        <sz val="11"/>
        <color theme="1"/>
        <rFont val="Calibri"/>
        <family val="2"/>
        <scheme val="minor"/>
      </rPr>
      <t>IP</t>
    </r>
    <r>
      <rPr>
        <sz val="11"/>
        <color theme="1"/>
        <rFont val="Calibri"/>
        <family val="2"/>
        <charset val="136"/>
        <scheme val="minor"/>
      </rPr>
      <t>：</t>
    </r>
    <r>
      <rPr>
        <sz val="11"/>
        <color theme="1"/>
        <rFont val="Calibri"/>
        <family val="2"/>
        <scheme val="minor"/>
      </rPr>
      <t>60.248.24.92</t>
    </r>
    <r>
      <rPr>
        <sz val="11"/>
        <color theme="1"/>
        <rFont val="Calibri"/>
        <family val="2"/>
        <charset val="136"/>
        <scheme val="minor"/>
      </rPr>
      <t>；內網</t>
    </r>
    <r>
      <rPr>
        <sz val="11"/>
        <color theme="1"/>
        <rFont val="Calibri"/>
        <family val="2"/>
        <scheme val="minor"/>
      </rPr>
      <t>IP</t>
    </r>
    <r>
      <rPr>
        <sz val="11"/>
        <color theme="1"/>
        <rFont val="Calibri"/>
        <family val="2"/>
        <charset val="136"/>
        <scheme val="minor"/>
      </rPr>
      <t>：</t>
    </r>
    <r>
      <rPr>
        <sz val="11"/>
        <color theme="1"/>
        <rFont val="Calibri"/>
        <family val="2"/>
        <scheme val="minor"/>
      </rPr>
      <t>192.168.92.1</t>
    </r>
  </si>
  <si>
    <r>
      <rPr>
        <sz val="11"/>
        <color theme="1"/>
        <rFont val="Calibri"/>
        <family val="2"/>
        <charset val="136"/>
        <scheme val="minor"/>
      </rPr>
      <t>路由器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charset val="136"/>
        <scheme val="minor"/>
      </rPr>
      <t>－對外線路</t>
    </r>
    <r>
      <rPr>
        <sz val="11"/>
        <color theme="1"/>
        <rFont val="Calibri"/>
        <family val="2"/>
        <scheme val="minor"/>
      </rPr>
      <t>#2</t>
    </r>
  </si>
  <si>
    <r>
      <rPr>
        <sz val="11"/>
        <color theme="1"/>
        <rFont val="Calibri"/>
        <family val="2"/>
        <charset val="136"/>
        <scheme val="minor"/>
      </rPr>
      <t>台電專案模擬網段路由器</t>
    </r>
  </si>
  <si>
    <r>
      <rPr>
        <sz val="11"/>
        <color theme="1"/>
        <rFont val="Calibri"/>
        <family val="2"/>
        <charset val="136"/>
        <scheme val="minor"/>
      </rPr>
      <t>對外</t>
    </r>
    <r>
      <rPr>
        <sz val="11"/>
        <color theme="1"/>
        <rFont val="Calibri"/>
        <family val="2"/>
        <scheme val="minor"/>
      </rPr>
      <t>IP</t>
    </r>
    <r>
      <rPr>
        <sz val="11"/>
        <color theme="1"/>
        <rFont val="Calibri"/>
        <family val="2"/>
        <charset val="136"/>
        <scheme val="minor"/>
      </rPr>
      <t>：</t>
    </r>
    <r>
      <rPr>
        <sz val="11"/>
        <color theme="1"/>
        <rFont val="Calibri"/>
        <family val="2"/>
        <scheme val="minor"/>
      </rPr>
      <t>60.248.24.93</t>
    </r>
    <r>
      <rPr>
        <sz val="11"/>
        <color theme="1"/>
        <rFont val="Calibri"/>
        <family val="2"/>
        <charset val="136"/>
        <scheme val="minor"/>
      </rPr>
      <t>；內網</t>
    </r>
    <r>
      <rPr>
        <sz val="11"/>
        <color theme="1"/>
        <rFont val="Calibri"/>
        <family val="2"/>
        <scheme val="minor"/>
      </rPr>
      <t>IP</t>
    </r>
    <r>
      <rPr>
        <sz val="11"/>
        <color theme="1"/>
        <rFont val="Calibri"/>
        <family val="2"/>
        <charset val="136"/>
        <scheme val="minor"/>
      </rPr>
      <t>：</t>
    </r>
    <r>
      <rPr>
        <sz val="11"/>
        <color theme="1"/>
        <rFont val="Calibri"/>
        <family val="2"/>
        <scheme val="minor"/>
      </rPr>
      <t>192.168.1.1</t>
    </r>
  </si>
  <si>
    <r>
      <rPr>
        <sz val="11"/>
        <color theme="1"/>
        <rFont val="Calibri"/>
        <family val="2"/>
        <charset val="136"/>
        <scheme val="minor"/>
      </rPr>
      <t>列印設備</t>
    </r>
  </si>
  <si>
    <r>
      <rPr>
        <sz val="11"/>
        <color theme="1"/>
        <rFont val="Calibri"/>
        <family val="2"/>
        <charset val="136"/>
        <scheme val="minor"/>
      </rPr>
      <t>多功能印表機</t>
    </r>
  </si>
  <si>
    <r>
      <rPr>
        <sz val="11"/>
        <color theme="1"/>
        <rFont val="Calibri"/>
        <family val="2"/>
        <charset val="136"/>
        <scheme val="minor"/>
      </rPr>
      <t>公司公用印表機－</t>
    </r>
    <r>
      <rPr>
        <sz val="11"/>
        <color theme="1"/>
        <rFont val="Calibri"/>
        <family val="2"/>
        <scheme val="minor"/>
      </rPr>
      <t>Brother(MFC-L2750DW)</t>
    </r>
  </si>
  <si>
    <r>
      <rPr>
        <sz val="11"/>
        <color rgb="FF000000"/>
        <rFont val="Calibri"/>
        <family val="2"/>
        <charset val="136"/>
        <scheme val="minor"/>
      </rPr>
      <t>辦公區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2"/>
        <charset val="136"/>
        <scheme val="minor"/>
      </rPr>
      <t>分機</t>
    </r>
    <r>
      <rPr>
        <sz val="11"/>
        <color rgb="FF000000"/>
        <rFont val="Calibri"/>
        <family val="2"/>
        <scheme val="minor"/>
      </rPr>
      <t>8213</t>
    </r>
    <r>
      <rPr>
        <sz val="11"/>
        <color rgb="FF000000"/>
        <rFont val="Calibri"/>
        <family val="2"/>
        <charset val="136"/>
        <scheme val="minor"/>
      </rPr>
      <t>座位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</si>
  <si>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color theme="1"/>
        <rFont val="Calibri"/>
        <family val="2"/>
        <scheme val="minor"/>
      </rPr>
      <t>IP</t>
    </r>
    <r>
      <rPr>
        <sz val="11"/>
        <color theme="1"/>
        <rFont val="Calibri"/>
        <family val="2"/>
        <charset val="136"/>
        <scheme val="minor"/>
      </rPr>
      <t>：</t>
    </r>
    <r>
      <rPr>
        <sz val="11"/>
        <color theme="1"/>
        <rFont val="Calibri"/>
        <family val="2"/>
        <scheme val="minor"/>
      </rPr>
      <t>192.168.123.100</t>
    </r>
  </si>
  <si>
    <r>
      <rPr>
        <sz val="11"/>
        <color theme="1"/>
        <rFont val="Calibri"/>
        <family val="2"/>
        <charset val="136"/>
        <scheme val="minor"/>
      </rPr>
      <t>公司公用印表機－</t>
    </r>
    <r>
      <rPr>
        <sz val="11"/>
        <color theme="1"/>
        <rFont val="Calibri"/>
        <family val="2"/>
        <scheme val="minor"/>
      </rPr>
      <t>HP(SmartTank-610)</t>
    </r>
  </si>
  <si>
    <r>
      <rPr>
        <sz val="11"/>
        <color theme="1"/>
        <rFont val="Calibri"/>
        <family val="2"/>
        <charset val="136"/>
        <scheme val="minor"/>
      </rPr>
      <t>主機：</t>
    </r>
    <r>
      <rPr>
        <sz val="11"/>
        <color theme="1"/>
        <rFont val="Calibri"/>
        <family val="2"/>
        <scheme val="minor"/>
      </rPr>
      <t>HPC6810B</t>
    </r>
    <r>
      <rPr>
        <sz val="11"/>
        <color theme="1"/>
        <rFont val="Calibri"/>
        <family val="2"/>
        <charset val="136"/>
        <scheme val="minor"/>
      </rPr>
      <t>；</t>
    </r>
    <r>
      <rPr>
        <sz val="11"/>
        <color theme="1"/>
        <rFont val="Calibri"/>
        <family val="2"/>
        <scheme val="minor"/>
      </rPr>
      <t>IP</t>
    </r>
    <r>
      <rPr>
        <sz val="11"/>
        <color theme="1"/>
        <rFont val="Calibri"/>
        <family val="2"/>
        <charset val="136"/>
        <scheme val="minor"/>
      </rPr>
      <t>：</t>
    </r>
    <r>
      <rPr>
        <sz val="11"/>
        <color theme="1"/>
        <rFont val="Calibri"/>
        <family val="2"/>
        <scheme val="minor"/>
      </rPr>
      <t>192.168.123.199</t>
    </r>
  </si>
  <si>
    <r>
      <rPr>
        <sz val="11"/>
        <rFont val="Calibri"/>
        <family val="2"/>
        <charset val="136"/>
        <scheme val="minor"/>
      </rPr>
      <t>辦公設備</t>
    </r>
    <phoneticPr fontId="3" type="noConversion"/>
  </si>
  <si>
    <r>
      <rPr>
        <sz val="11"/>
        <rFont val="Calibri"/>
        <family val="2"/>
        <charset val="136"/>
        <scheme val="minor"/>
      </rPr>
      <t>門禁控制</t>
    </r>
    <phoneticPr fontId="3" type="noConversion"/>
  </si>
  <si>
    <r>
      <rPr>
        <sz val="11"/>
        <color theme="1"/>
        <rFont val="Calibri"/>
        <family val="2"/>
        <scheme val="minor"/>
      </rPr>
      <t>LAB</t>
    </r>
    <r>
      <rPr>
        <sz val="11"/>
        <color theme="1"/>
        <rFont val="Calibri"/>
        <family val="2"/>
        <charset val="136"/>
        <scheme val="minor"/>
      </rPr>
      <t>門禁控制器</t>
    </r>
    <phoneticPr fontId="3" type="noConversion"/>
  </si>
  <si>
    <r>
      <t>LAB</t>
    </r>
    <r>
      <rPr>
        <sz val="11"/>
        <color theme="1"/>
        <rFont val="Calibri"/>
        <family val="2"/>
        <charset val="136"/>
        <scheme val="minor"/>
      </rPr>
      <t>門禁設備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</si>
  <si>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羅福枝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</si>
  <si>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總經理室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</si>
  <si>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監控設備</t>
    </r>
    <phoneticPr fontId="3" type="noConversion"/>
  </si>
  <si>
    <r>
      <t>LAB</t>
    </r>
    <r>
      <rPr>
        <sz val="11"/>
        <color theme="1"/>
        <rFont val="Calibri"/>
        <family val="2"/>
        <charset val="136"/>
        <scheme val="minor"/>
      </rPr>
      <t>攝影機</t>
    </r>
    <phoneticPr fontId="3" type="noConversion"/>
  </si>
  <si>
    <r>
      <t>LAB</t>
    </r>
    <r>
      <rPr>
        <sz val="11"/>
        <color theme="1"/>
        <rFont val="Calibri"/>
        <family val="2"/>
        <charset val="136"/>
        <scheme val="minor"/>
      </rPr>
      <t>監控設備</t>
    </r>
    <phoneticPr fontId="3" type="noConversion"/>
  </si>
  <si>
    <t>財務管理部</t>
    <phoneticPr fontId="3" type="noConversion"/>
  </si>
  <si>
    <r>
      <rPr>
        <sz val="12"/>
        <color rgb="FF000000"/>
        <rFont val="微軟正黑體"/>
        <family val="2"/>
        <charset val="136"/>
      </rPr>
      <t>曹桓豪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微軟正黑體"/>
        <family val="2"/>
        <charset val="136"/>
      </rPr>
      <t>薛宇舜</t>
    </r>
    <phoneticPr fontId="3" type="noConversion"/>
  </si>
  <si>
    <t>曹桓豪
薛宇舜</t>
    <phoneticPr fontId="3" type="noConversion"/>
  </si>
  <si>
    <t>IT202610002</t>
    <phoneticPr fontId="3" type="noConversion"/>
  </si>
  <si>
    <t>IT202609004</t>
    <phoneticPr fontId="3" type="noConversion"/>
  </si>
  <si>
    <t>10+18</t>
    <phoneticPr fontId="3" type="noConversion"/>
  </si>
  <si>
    <t>ACTi/A820</t>
    <phoneticPr fontId="3" type="noConversion"/>
  </si>
  <si>
    <r>
      <rPr>
        <sz val="11"/>
        <color theme="1"/>
        <rFont val="Calibri"/>
        <family val="2"/>
        <charset val="136"/>
        <scheme val="minor"/>
      </rPr>
      <t>長榮航空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</si>
  <si>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環控氧氣濃度偵測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</si>
  <si>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永嘉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2"/>
        <charset val="136"/>
        <scheme val="minor"/>
      </rPr>
      <t>看板</t>
    </r>
    <r>
      <rPr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charset val="136"/>
        <scheme val="minor"/>
      </rPr>
      <t>空氣品質偵測器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</si>
  <si>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台灣中油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</si>
  <si>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更換</t>
    </r>
    <r>
      <rPr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charset val="136"/>
        <scheme val="minor"/>
      </rPr>
      <t>組溫濕度感測器</t>
    </r>
    <r>
      <rPr>
        <sz val="11"/>
        <color theme="1"/>
        <rFont val="Calibri"/>
        <family val="2"/>
        <scheme val="minor"/>
      </rPr>
      <t xml:space="preserve"> (AI /RS-485)</t>
    </r>
    <phoneticPr fontId="3" type="noConversion"/>
  </si>
  <si>
    <r>
      <rPr>
        <sz val="11"/>
        <color theme="1"/>
        <rFont val="Calibri"/>
        <family val="2"/>
        <charset val="136"/>
        <scheme val="minor"/>
      </rPr>
      <t>永嘉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2"/>
        <charset val="136"/>
        <scheme val="minor"/>
      </rPr>
      <t>溫溼度傳送器</t>
    </r>
    <phoneticPr fontId="3" type="noConversion"/>
  </si>
  <si>
    <r>
      <rPr>
        <sz val="11"/>
        <color rgb="FFFF0000"/>
        <rFont val="Calibri"/>
        <family val="2"/>
        <charset val="136"/>
        <scheme val="minor"/>
      </rPr>
      <t>借下包使用</t>
    </r>
    <phoneticPr fontId="3" type="noConversion"/>
  </si>
  <si>
    <r>
      <rPr>
        <sz val="11"/>
        <color rgb="FFFF0000"/>
        <rFont val="Calibri"/>
        <family val="2"/>
        <charset val="136"/>
        <scheme val="minor"/>
      </rPr>
      <t>借料</t>
    </r>
    <phoneticPr fontId="3" type="noConversion"/>
  </si>
  <si>
    <r>
      <rPr>
        <sz val="11"/>
        <color rgb="FFFF0000"/>
        <rFont val="Calibri"/>
        <family val="2"/>
        <charset val="136"/>
        <scheme val="minor"/>
      </rPr>
      <t>畫圖使用</t>
    </r>
    <phoneticPr fontId="3" type="noConversion"/>
  </si>
  <si>
    <r>
      <rPr>
        <sz val="11"/>
        <color rgb="FFFF0000"/>
        <rFont val="Calibri"/>
        <family val="2"/>
        <charset val="136"/>
        <scheme val="minor"/>
      </rPr>
      <t>林承偉</t>
    </r>
    <phoneticPr fontId="3" type="noConversion"/>
  </si>
  <si>
    <r>
      <t>LAB</t>
    </r>
    <r>
      <rPr>
        <sz val="11"/>
        <color theme="1"/>
        <rFont val="Calibri"/>
        <family val="2"/>
        <charset val="136"/>
        <scheme val="minor"/>
      </rPr>
      <t>用</t>
    </r>
    <phoneticPr fontId="3" type="noConversion"/>
  </si>
  <si>
    <t>KVA UPS</t>
    <phoneticPr fontId="3" type="noConversion"/>
  </si>
  <si>
    <r>
      <rPr>
        <sz val="11"/>
        <color rgb="FFFF0000"/>
        <rFont val="Calibri"/>
        <family val="2"/>
        <charset val="136"/>
        <scheme val="minor"/>
      </rPr>
      <t>預計歸還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charset val="136"/>
        <scheme val="minor"/>
      </rPr>
      <t>個</t>
    </r>
    <phoneticPr fontId="3" type="noConversion"/>
  </si>
  <si>
    <r>
      <rPr>
        <sz val="10"/>
        <color theme="1"/>
        <rFont val="微軟正黑體"/>
        <family val="2"/>
        <charset val="136"/>
      </rPr>
      <t>軍情局</t>
    </r>
    <r>
      <rPr>
        <sz val="10"/>
        <color theme="1"/>
        <rFont val="Calibri"/>
        <family val="2"/>
        <scheme val="minor"/>
      </rPr>
      <t>x7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</si>
</sst>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0.00_);[Red]\(0.00\)"/>
    <numFmt numFmtId="178" formatCode="0_);[Red]\(0\)"/>
    <numFmt numFmtId="179" formatCode="#,##0_ "/>
    <numFmt numFmtId="180" formatCode="yyyy\-mm\-dd"/>
  </numFmts>
  <fonts count="51">
    <font>
      <sz val="12"/>
      <color theme="1"/>
      <name val="新細明體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9"/>
      <name val="細明體"/>
      <family val="3"/>
      <charset val="136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u/>
      <sz val="10"/>
      <color rgb="FF000000"/>
      <name val="Calibri"/>
      <family val="2"/>
      <charset val="136"/>
      <scheme val="minor"/>
    </font>
    <font>
      <b/>
      <sz val="10"/>
      <color theme="7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rgb="FF000000"/>
      <name val="Calibri"/>
      <family val="2"/>
      <charset val="136"/>
      <scheme val="minor"/>
    </font>
    <font>
      <sz val="10"/>
      <color rgb="FFFF0000"/>
      <name val="Calibri"/>
      <family val="2"/>
      <charset val="136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charset val="136"/>
      <scheme val="minor"/>
    </font>
    <font>
      <sz val="10"/>
      <color theme="1"/>
      <name val="Calibri"/>
      <family val="2"/>
      <charset val="136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微軟正黑體"/>
      <family val="2"/>
      <charset val="136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charset val="136"/>
      <scheme val="minor"/>
    </font>
    <font>
      <b/>
      <sz val="12"/>
      <color rgb="FFFF0000"/>
      <name val="Calibri"/>
      <family val="2"/>
      <scheme val="minor"/>
    </font>
    <font>
      <b/>
      <sz val="12"/>
      <color theme="7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rgb="FF000000"/>
      <name val="Calibri"/>
      <family val="2"/>
      <charset val="136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Microsoft JhengHei"/>
      <family val="2"/>
    </font>
    <font>
      <sz val="12"/>
      <color rgb="FF000000"/>
      <name val="微軟正黑體"/>
      <family val="2"/>
      <charset val="136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b/>
      <sz val="10"/>
      <color rgb="FF000000"/>
      <name val="Calibri"/>
      <family val="2"/>
    </font>
    <font>
      <b/>
      <sz val="10"/>
      <color rgb="FF000000"/>
      <name val="微軟正黑體"/>
      <family val="2"/>
      <charset val="136"/>
    </font>
    <font>
      <b/>
      <sz val="10"/>
      <color rgb="FF000000"/>
      <name val="Microsoft JhengHei"/>
      <family val="2"/>
      <charset val="136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36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charset val="136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36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136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36"/>
      <scheme val="minor"/>
    </font>
    <font>
      <sz val="10"/>
      <color theme="1"/>
      <name val="微軟正黑體"/>
      <family val="2"/>
      <charset val="136"/>
    </font>
  </fonts>
  <fills count="2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theme="9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rgb="FF92D050"/>
      </patternFill>
    </fill>
    <fill>
      <patternFill patternType="solid">
        <fgColor theme="3" tint="0.59996337778862885"/>
        <bgColor indexed="65"/>
      </patternFill>
    </fill>
    <fill>
      <patternFill patternType="solid">
        <fgColor theme="0"/>
      </patternFill>
    </fill>
    <fill>
      <patternFill patternType="solid">
        <fgColor rgb="FF002060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9" fontId="2" fillId="0" borderId="0" applyFont="0" applyFill="0" applyBorder="0" applyAlignment="0" applyProtection="0">
      <alignment vertical="center"/>
    </xf>
  </cellStyleXfs>
  <cellXfs count="185">
    <xf numFmtId="0" fontId="0" fillId="0" borderId="0" xfId="0">
      <alignment vertical="center"/>
    </xf>
    <xf numFmtId="176" fontId="4" fillId="0" borderId="1" xfId="0" applyNumberFormat="1" applyFont="1" applyBorder="1" applyAlignment="1">
      <alignment horizontal="left" vertical="center"/>
    </xf>
    <xf numFmtId="176" fontId="7" fillId="3" borderId="1" xfId="0" applyNumberFormat="1" applyFont="1" applyFill="1" applyBorder="1" applyAlignment="1">
      <alignment horizontal="left" vertical="center"/>
    </xf>
    <xf numFmtId="176" fontId="4" fillId="13" borderId="1" xfId="0" applyNumberFormat="1" applyFont="1" applyFill="1" applyBorder="1" applyAlignment="1">
      <alignment horizontal="right" vertical="center"/>
    </xf>
    <xf numFmtId="176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9" fontId="4" fillId="0" borderId="0" xfId="2" applyFont="1" applyAlignment="1">
      <alignment horizontal="center" vertical="center"/>
    </xf>
    <xf numFmtId="9" fontId="8" fillId="0" borderId="0" xfId="2" applyFont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>
      <alignment vertical="center"/>
    </xf>
    <xf numFmtId="14" fontId="4" fillId="0" borderId="1" xfId="0" applyNumberFormat="1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center" vertical="center"/>
    </xf>
    <xf numFmtId="179" fontId="9" fillId="0" borderId="1" xfId="2" applyNumberFormat="1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/>
    </xf>
    <xf numFmtId="178" fontId="4" fillId="9" borderId="1" xfId="0" applyNumberFormat="1" applyFont="1" applyFill="1" applyBorder="1" applyAlignment="1">
      <alignment horizontal="center" vertical="center" wrapText="1"/>
    </xf>
    <xf numFmtId="176" fontId="4" fillId="10" borderId="1" xfId="0" applyNumberFormat="1" applyFont="1" applyFill="1" applyBorder="1" applyAlignment="1">
      <alignment horizontal="center" vertical="center" wrapText="1"/>
    </xf>
    <xf numFmtId="178" fontId="4" fillId="4" borderId="1" xfId="0" applyNumberFormat="1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176" fontId="4" fillId="8" borderId="1" xfId="0" applyNumberFormat="1" applyFont="1" applyFill="1" applyBorder="1" applyAlignment="1">
      <alignment horizontal="center" vertical="center" wrapText="1"/>
    </xf>
    <xf numFmtId="176" fontId="4" fillId="7" borderId="1" xfId="0" applyNumberFormat="1" applyFont="1" applyFill="1" applyBorder="1" applyAlignment="1">
      <alignment horizontal="center" vertical="center" wrapText="1"/>
    </xf>
    <xf numFmtId="176" fontId="8" fillId="7" borderId="1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right" vertical="center"/>
    </xf>
    <xf numFmtId="176" fontId="9" fillId="0" borderId="1" xfId="0" applyNumberFormat="1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177" fontId="9" fillId="16" borderId="1" xfId="0" applyNumberFormat="1" applyFont="1" applyFill="1" applyBorder="1" applyAlignment="1">
      <alignment horizontal="left" vertical="center" wrapText="1"/>
    </xf>
    <xf numFmtId="176" fontId="9" fillId="16" borderId="1" xfId="0" applyNumberFormat="1" applyFont="1" applyFill="1" applyBorder="1" applyAlignment="1">
      <alignment horizontal="right" vertical="center"/>
    </xf>
    <xf numFmtId="176" fontId="9" fillId="16" borderId="1" xfId="0" applyNumberFormat="1" applyFont="1" applyFill="1" applyBorder="1" applyAlignment="1">
      <alignment horizontal="center" vertical="center"/>
    </xf>
    <xf numFmtId="176" fontId="9" fillId="16" borderId="1" xfId="0" applyNumberFormat="1" applyFont="1" applyFill="1" applyBorder="1" applyAlignment="1">
      <alignment horizontal="center" vertical="center" wrapText="1"/>
    </xf>
    <xf numFmtId="176" fontId="9" fillId="16" borderId="1" xfId="0" applyNumberFormat="1" applyFont="1" applyFill="1" applyBorder="1" applyAlignment="1">
      <alignment horizontal="right" vertical="center" wrapText="1"/>
    </xf>
    <xf numFmtId="176" fontId="8" fillId="16" borderId="1" xfId="0" applyNumberFormat="1" applyFont="1" applyFill="1" applyBorder="1" applyAlignment="1">
      <alignment horizontal="right" vertical="center"/>
    </xf>
    <xf numFmtId="176" fontId="9" fillId="16" borderId="1" xfId="0" applyNumberFormat="1" applyFont="1" applyFill="1" applyBorder="1">
      <alignment vertical="center"/>
    </xf>
    <xf numFmtId="176" fontId="9" fillId="16" borderId="1" xfId="0" applyNumberFormat="1" applyFont="1" applyFill="1" applyBorder="1" applyAlignment="1">
      <alignment horizontal="left" vertical="center"/>
    </xf>
    <xf numFmtId="176" fontId="9" fillId="16" borderId="1" xfId="0" quotePrefix="1" applyNumberFormat="1" applyFont="1" applyFill="1" applyBorder="1" applyAlignment="1">
      <alignment horizontal="center" vertical="center"/>
    </xf>
    <xf numFmtId="177" fontId="9" fillId="16" borderId="1" xfId="0" applyNumberFormat="1" applyFont="1" applyFill="1" applyBorder="1" applyAlignment="1">
      <alignment horizontal="center" vertical="center" wrapText="1"/>
    </xf>
    <xf numFmtId="177" fontId="9" fillId="16" borderId="1" xfId="0" applyNumberFormat="1" applyFont="1" applyFill="1" applyBorder="1" applyAlignment="1">
      <alignment horizontal="right" vertical="center" wrapText="1"/>
    </xf>
    <xf numFmtId="177" fontId="16" fillId="16" borderId="1" xfId="0" applyNumberFormat="1" applyFont="1" applyFill="1" applyBorder="1" applyAlignment="1">
      <alignment horizontal="left" vertical="center" wrapText="1"/>
    </xf>
    <xf numFmtId="176" fontId="17" fillId="16" borderId="1" xfId="0" applyNumberFormat="1" applyFont="1" applyFill="1" applyBorder="1" applyAlignment="1">
      <alignment horizontal="left" vertical="center"/>
    </xf>
    <xf numFmtId="176" fontId="5" fillId="0" borderId="1" xfId="0" applyNumberFormat="1" applyFont="1" applyBorder="1" applyAlignment="1">
      <alignment horizontal="left" vertical="center"/>
    </xf>
    <xf numFmtId="177" fontId="9" fillId="16" borderId="1" xfId="0" applyNumberFormat="1" applyFont="1" applyFill="1" applyBorder="1" applyAlignment="1">
      <alignment horizontal="left" vertical="center"/>
    </xf>
    <xf numFmtId="177" fontId="9" fillId="16" borderId="1" xfId="0" applyNumberFormat="1" applyFont="1" applyFill="1" applyBorder="1" applyAlignment="1">
      <alignment horizontal="center" vertical="center"/>
    </xf>
    <xf numFmtId="176" fontId="9" fillId="16" borderId="2" xfId="0" applyNumberFormat="1" applyFont="1" applyFill="1" applyBorder="1" applyAlignment="1">
      <alignment horizontal="right" vertical="center"/>
    </xf>
    <xf numFmtId="176" fontId="9" fillId="16" borderId="2" xfId="0" applyNumberFormat="1" applyFont="1" applyFill="1" applyBorder="1" applyAlignment="1">
      <alignment horizontal="right" vertical="center" wrapText="1"/>
    </xf>
    <xf numFmtId="176" fontId="9" fillId="16" borderId="2" xfId="0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 wrapText="1"/>
    </xf>
    <xf numFmtId="176" fontId="13" fillId="16" borderId="1" xfId="0" applyNumberFormat="1" applyFont="1" applyFill="1" applyBorder="1" applyAlignment="1">
      <alignment horizontal="center" vertical="center" wrapText="1"/>
    </xf>
    <xf numFmtId="176" fontId="13" fillId="16" borderId="1" xfId="0" applyNumberFormat="1" applyFont="1" applyFill="1" applyBorder="1" applyAlignment="1">
      <alignment horizontal="right" vertical="center" wrapText="1"/>
    </xf>
    <xf numFmtId="176" fontId="13" fillId="16" borderId="1" xfId="0" applyNumberFormat="1" applyFont="1" applyFill="1" applyBorder="1" applyAlignment="1">
      <alignment horizontal="center" vertical="center"/>
    </xf>
    <xf numFmtId="176" fontId="14" fillId="16" borderId="1" xfId="0" applyNumberFormat="1" applyFont="1" applyFill="1" applyBorder="1" applyAlignment="1">
      <alignment horizontal="center" vertical="center" wrapText="1"/>
    </xf>
    <xf numFmtId="176" fontId="19" fillId="0" borderId="1" xfId="0" applyNumberFormat="1" applyFont="1" applyBorder="1" applyAlignment="1">
      <alignment horizontal="left" vertical="center"/>
    </xf>
    <xf numFmtId="176" fontId="19" fillId="0" borderId="1" xfId="0" applyNumberFormat="1" applyFont="1" applyBorder="1" applyAlignment="1">
      <alignment horizontal="center" vertical="center"/>
    </xf>
    <xf numFmtId="178" fontId="19" fillId="0" borderId="1" xfId="0" applyNumberFormat="1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176" fontId="23" fillId="0" borderId="1" xfId="0" applyNumberFormat="1" applyFont="1" applyBorder="1" applyAlignment="1">
      <alignment horizontal="right" vertical="center"/>
    </xf>
    <xf numFmtId="14" fontId="19" fillId="0" borderId="1" xfId="0" applyNumberFormat="1" applyFont="1" applyBorder="1" applyAlignment="1">
      <alignment horizontal="right" vertical="center"/>
    </xf>
    <xf numFmtId="176" fontId="24" fillId="0" borderId="1" xfId="0" applyNumberFormat="1" applyFont="1" applyBorder="1">
      <alignment vertical="center"/>
    </xf>
    <xf numFmtId="176" fontId="24" fillId="3" borderId="1" xfId="0" applyNumberFormat="1" applyFont="1" applyFill="1" applyBorder="1">
      <alignment vertical="center"/>
    </xf>
    <xf numFmtId="0" fontId="19" fillId="2" borderId="1" xfId="1" applyFont="1" applyFill="1" applyBorder="1" applyAlignment="1">
      <alignment horizontal="center" vertical="center" wrapText="1"/>
    </xf>
    <xf numFmtId="176" fontId="19" fillId="4" borderId="1" xfId="0" applyNumberFormat="1" applyFont="1" applyFill="1" applyBorder="1" applyAlignment="1">
      <alignment horizontal="center" vertical="center" wrapText="1"/>
    </xf>
    <xf numFmtId="176" fontId="19" fillId="4" borderId="1" xfId="0" applyNumberFormat="1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/>
    </xf>
    <xf numFmtId="178" fontId="19" fillId="4" borderId="1" xfId="1" applyNumberFormat="1" applyFont="1" applyFill="1" applyBorder="1" applyAlignment="1">
      <alignment horizontal="center" vertical="center" wrapText="1"/>
    </xf>
    <xf numFmtId="176" fontId="19" fillId="4" borderId="1" xfId="1" applyNumberFormat="1" applyFont="1" applyFill="1" applyBorder="1" applyAlignment="1">
      <alignment horizontal="center" vertical="center"/>
    </xf>
    <xf numFmtId="176" fontId="19" fillId="4" borderId="1" xfId="1" applyNumberFormat="1" applyFont="1" applyFill="1" applyBorder="1" applyAlignment="1">
      <alignment horizontal="center" vertical="center" wrapText="1"/>
    </xf>
    <xf numFmtId="178" fontId="19" fillId="4" borderId="1" xfId="0" applyNumberFormat="1" applyFont="1" applyFill="1" applyBorder="1" applyAlignment="1">
      <alignment horizontal="center" vertical="center" wrapText="1"/>
    </xf>
    <xf numFmtId="14" fontId="19" fillId="4" borderId="1" xfId="0" applyNumberFormat="1" applyFont="1" applyFill="1" applyBorder="1" applyAlignment="1">
      <alignment horizontal="center" vertical="center" wrapText="1"/>
    </xf>
    <xf numFmtId="176" fontId="19" fillId="2" borderId="1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177" fontId="24" fillId="3" borderId="1" xfId="0" applyNumberFormat="1" applyFont="1" applyFill="1" applyBorder="1" applyAlignment="1">
      <alignment horizontal="left" vertical="center" wrapText="1"/>
    </xf>
    <xf numFmtId="177" fontId="24" fillId="3" borderId="1" xfId="0" applyNumberFormat="1" applyFont="1" applyFill="1" applyBorder="1" applyAlignment="1">
      <alignment horizontal="left" vertical="center"/>
    </xf>
    <xf numFmtId="177" fontId="24" fillId="3" borderId="1" xfId="0" applyNumberFormat="1" applyFont="1" applyFill="1" applyBorder="1" applyAlignment="1">
      <alignment horizontal="center" vertical="center" wrapText="1"/>
    </xf>
    <xf numFmtId="178" fontId="24" fillId="3" borderId="1" xfId="0" applyNumberFormat="1" applyFont="1" applyFill="1" applyBorder="1" applyAlignment="1">
      <alignment horizontal="center" vertical="center"/>
    </xf>
    <xf numFmtId="176" fontId="24" fillId="3" borderId="1" xfId="0" applyNumberFormat="1" applyFont="1" applyFill="1" applyBorder="1" applyAlignment="1">
      <alignment horizontal="right" vertical="center"/>
    </xf>
    <xf numFmtId="176" fontId="24" fillId="3" borderId="1" xfId="0" applyNumberFormat="1" applyFont="1" applyFill="1" applyBorder="1" applyAlignment="1">
      <alignment horizontal="center" vertical="center" wrapText="1"/>
    </xf>
    <xf numFmtId="14" fontId="24" fillId="3" borderId="1" xfId="0" applyNumberFormat="1" applyFont="1" applyFill="1" applyBorder="1" applyAlignment="1">
      <alignment horizontal="center" vertical="center" wrapText="1"/>
    </xf>
    <xf numFmtId="178" fontId="24" fillId="3" borderId="1" xfId="0" applyNumberFormat="1" applyFont="1" applyFill="1" applyBorder="1" applyAlignment="1">
      <alignment horizontal="center" vertical="center" wrapText="1"/>
    </xf>
    <xf numFmtId="176" fontId="24" fillId="3" borderId="1" xfId="0" applyNumberFormat="1" applyFont="1" applyFill="1" applyBorder="1" applyAlignment="1">
      <alignment vertical="center" wrapText="1"/>
    </xf>
    <xf numFmtId="178" fontId="24" fillId="3" borderId="1" xfId="0" applyNumberFormat="1" applyFont="1" applyFill="1" applyBorder="1" applyAlignment="1">
      <alignment horizontal="right" vertical="center" wrapText="1"/>
    </xf>
    <xf numFmtId="176" fontId="24" fillId="3" borderId="1" xfId="0" applyNumberFormat="1" applyFont="1" applyFill="1" applyBorder="1" applyAlignment="1">
      <alignment horizontal="right" vertical="center" wrapText="1"/>
    </xf>
    <xf numFmtId="176" fontId="24" fillId="2" borderId="1" xfId="0" applyNumberFormat="1" applyFont="1" applyFill="1" applyBorder="1">
      <alignment vertical="center"/>
    </xf>
    <xf numFmtId="177" fontId="24" fillId="2" borderId="1" xfId="0" applyNumberFormat="1" applyFont="1" applyFill="1" applyBorder="1" applyAlignment="1">
      <alignment horizontal="left" vertical="center" wrapText="1"/>
    </xf>
    <xf numFmtId="177" fontId="24" fillId="2" borderId="1" xfId="0" applyNumberFormat="1" applyFont="1" applyFill="1" applyBorder="1" applyAlignment="1">
      <alignment horizontal="left" vertical="center"/>
    </xf>
    <xf numFmtId="177" fontId="24" fillId="2" borderId="1" xfId="0" applyNumberFormat="1" applyFont="1" applyFill="1" applyBorder="1" applyAlignment="1">
      <alignment horizontal="center" vertical="center" wrapText="1"/>
    </xf>
    <xf numFmtId="178" fontId="24" fillId="2" borderId="1" xfId="0" applyNumberFormat="1" applyFont="1" applyFill="1" applyBorder="1" applyAlignment="1">
      <alignment horizontal="center" vertical="center"/>
    </xf>
    <xf numFmtId="176" fontId="24" fillId="2" borderId="1" xfId="0" applyNumberFormat="1" applyFont="1" applyFill="1" applyBorder="1" applyAlignment="1">
      <alignment horizontal="right" vertical="center"/>
    </xf>
    <xf numFmtId="176" fontId="24" fillId="2" borderId="1" xfId="0" applyNumberFormat="1" applyFont="1" applyFill="1" applyBorder="1" applyAlignment="1">
      <alignment horizontal="center" vertical="center" wrapText="1"/>
    </xf>
    <xf numFmtId="14" fontId="24" fillId="2" borderId="1" xfId="0" applyNumberFormat="1" applyFont="1" applyFill="1" applyBorder="1" applyAlignment="1">
      <alignment horizontal="center" vertical="center" wrapText="1"/>
    </xf>
    <xf numFmtId="178" fontId="24" fillId="2" borderId="1" xfId="0" applyNumberFormat="1" applyFont="1" applyFill="1" applyBorder="1" applyAlignment="1">
      <alignment horizontal="center" vertical="center" wrapText="1"/>
    </xf>
    <xf numFmtId="176" fontId="24" fillId="3" borderId="1" xfId="0" applyNumberFormat="1" applyFont="1" applyFill="1" applyBorder="1" applyAlignment="1">
      <alignment horizontal="center" vertical="center"/>
    </xf>
    <xf numFmtId="177" fontId="24" fillId="3" borderId="0" xfId="0" applyNumberFormat="1" applyFont="1" applyFill="1" applyAlignment="1">
      <alignment horizontal="left" vertical="center" wrapText="1"/>
    </xf>
    <xf numFmtId="0" fontId="24" fillId="0" borderId="1" xfId="0" applyFont="1" applyBorder="1">
      <alignment vertical="center"/>
    </xf>
    <xf numFmtId="177" fontId="28" fillId="3" borderId="1" xfId="0" applyNumberFormat="1" applyFont="1" applyFill="1" applyBorder="1" applyAlignment="1">
      <alignment horizontal="center" vertical="center" wrapText="1"/>
    </xf>
    <xf numFmtId="177" fontId="24" fillId="3" borderId="3" xfId="0" applyNumberFormat="1" applyFont="1" applyFill="1" applyBorder="1" applyAlignment="1">
      <alignment horizontal="left" vertical="center" wrapText="1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178" fontId="24" fillId="0" borderId="0" xfId="0" applyNumberFormat="1" applyFont="1" applyAlignment="1">
      <alignment horizontal="center" vertical="center"/>
    </xf>
    <xf numFmtId="14" fontId="24" fillId="0" borderId="0" xfId="0" applyNumberFormat="1" applyFont="1" applyAlignment="1">
      <alignment horizontal="center" vertical="center"/>
    </xf>
    <xf numFmtId="177" fontId="28" fillId="3" borderId="1" xfId="0" applyNumberFormat="1" applyFont="1" applyFill="1" applyBorder="1" applyAlignment="1">
      <alignment horizontal="left" vertical="center"/>
    </xf>
    <xf numFmtId="176" fontId="24" fillId="20" borderId="1" xfId="0" applyNumberFormat="1" applyFont="1" applyFill="1" applyBorder="1" applyAlignment="1">
      <alignment horizontal="right" vertical="center"/>
    </xf>
    <xf numFmtId="14" fontId="24" fillId="20" borderId="1" xfId="0" applyNumberFormat="1" applyFont="1" applyFill="1" applyBorder="1" applyAlignment="1">
      <alignment horizontal="center" vertical="center" wrapText="1"/>
    </xf>
    <xf numFmtId="176" fontId="4" fillId="21" borderId="0" xfId="0" applyNumberFormat="1" applyFont="1" applyFill="1" applyAlignment="1">
      <alignment horizontal="center" vertical="center"/>
    </xf>
    <xf numFmtId="176" fontId="4" fillId="17" borderId="1" xfId="0" applyNumberFormat="1" applyFont="1" applyFill="1" applyBorder="1" applyAlignment="1">
      <alignment horizontal="right" vertical="center"/>
    </xf>
    <xf numFmtId="176" fontId="4" fillId="17" borderId="0" xfId="0" applyNumberFormat="1" applyFont="1" applyFill="1" applyAlignment="1">
      <alignment horizontal="center" vertical="center"/>
    </xf>
    <xf numFmtId="14" fontId="31" fillId="3" borderId="1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32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32" fillId="0" borderId="0" xfId="0" quotePrefix="1" applyFont="1" applyAlignment="1">
      <alignment horizontal="center" vertical="center"/>
    </xf>
    <xf numFmtId="0" fontId="32" fillId="0" borderId="0" xfId="0" quotePrefix="1" applyFont="1" applyAlignment="1">
      <alignment horizontal="left" vertical="center"/>
    </xf>
    <xf numFmtId="0" fontId="19" fillId="22" borderId="0" xfId="0" applyFont="1" applyFill="1" applyAlignment="1">
      <alignment horizontal="center" vertical="center"/>
    </xf>
    <xf numFmtId="14" fontId="32" fillId="0" borderId="0" xfId="0" applyNumberFormat="1" applyFont="1" applyAlignment="1">
      <alignment horizontal="left" vertical="center"/>
    </xf>
    <xf numFmtId="179" fontId="32" fillId="0" borderId="0" xfId="0" applyNumberFormat="1" applyFont="1" applyAlignment="1">
      <alignment horizontal="center" vertical="center"/>
    </xf>
    <xf numFmtId="179" fontId="24" fillId="0" borderId="0" xfId="0" applyNumberFormat="1" applyFont="1" applyAlignment="1">
      <alignment horizontal="center" vertical="center"/>
    </xf>
    <xf numFmtId="179" fontId="19" fillId="22" borderId="0" xfId="0" applyNumberFormat="1" applyFont="1" applyFill="1" applyAlignment="1">
      <alignment horizontal="center" vertical="center"/>
    </xf>
    <xf numFmtId="14" fontId="24" fillId="3" borderId="1" xfId="0" quotePrefix="1" applyNumberFormat="1" applyFont="1" applyFill="1" applyBorder="1" applyAlignment="1">
      <alignment horizontal="center" vertical="center" wrapText="1"/>
    </xf>
    <xf numFmtId="14" fontId="37" fillId="0" borderId="0" xfId="0" applyNumberFormat="1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7" fillId="0" borderId="0" xfId="0" quotePrefix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4" fontId="37" fillId="0" borderId="0" xfId="0" applyNumberFormat="1" applyFont="1" applyAlignment="1">
      <alignment horizontal="center" vertical="center"/>
    </xf>
    <xf numFmtId="179" fontId="37" fillId="0" borderId="0" xfId="0" applyNumberFormat="1" applyFont="1" applyAlignment="1">
      <alignment horizontal="center" vertical="center"/>
    </xf>
    <xf numFmtId="0" fontId="37" fillId="0" borderId="0" xfId="0" applyFont="1">
      <alignment vertical="center"/>
    </xf>
    <xf numFmtId="177" fontId="27" fillId="3" borderId="1" xfId="0" applyNumberFormat="1" applyFont="1" applyFill="1" applyBorder="1" applyAlignment="1">
      <alignment horizontal="left" vertical="center"/>
    </xf>
    <xf numFmtId="0" fontId="39" fillId="12" borderId="0" xfId="0" applyFont="1" applyFill="1" applyAlignment="1">
      <alignment vertical="center" wrapText="1"/>
    </xf>
    <xf numFmtId="0" fontId="39" fillId="12" borderId="0" xfId="0" applyFont="1" applyFill="1">
      <alignment vertical="center"/>
    </xf>
    <xf numFmtId="0" fontId="42" fillId="19" borderId="0" xfId="0" applyFont="1" applyFill="1" applyAlignment="1">
      <alignment vertical="center" wrapText="1"/>
    </xf>
    <xf numFmtId="0" fontId="32" fillId="19" borderId="0" xfId="0" applyFont="1" applyFill="1" applyAlignment="1">
      <alignment vertical="center" wrapText="1"/>
    </xf>
    <xf numFmtId="180" fontId="32" fillId="19" borderId="0" xfId="0" applyNumberFormat="1" applyFont="1" applyFill="1" applyAlignment="1">
      <alignment vertical="center" wrapText="1"/>
    </xf>
    <xf numFmtId="0" fontId="32" fillId="19" borderId="0" xfId="0" applyFont="1" applyFill="1">
      <alignment vertical="center"/>
    </xf>
    <xf numFmtId="0" fontId="32" fillId="16" borderId="0" xfId="0" applyFont="1" applyFill="1">
      <alignment vertical="center"/>
    </xf>
    <xf numFmtId="0" fontId="44" fillId="19" borderId="0" xfId="0" applyFont="1" applyFill="1" applyAlignment="1">
      <alignment vertical="center" wrapText="1"/>
    </xf>
    <xf numFmtId="0" fontId="42" fillId="22" borderId="0" xfId="0" applyFont="1" applyFill="1" applyAlignment="1">
      <alignment vertical="center" wrapText="1"/>
    </xf>
    <xf numFmtId="0" fontId="32" fillId="22" borderId="0" xfId="0" applyFont="1" applyFill="1" applyAlignment="1">
      <alignment vertical="center" wrapText="1"/>
    </xf>
    <xf numFmtId="0" fontId="44" fillId="22" borderId="0" xfId="0" applyFont="1" applyFill="1" applyAlignment="1">
      <alignment vertical="center" wrapText="1"/>
    </xf>
    <xf numFmtId="180" fontId="32" fillId="22" borderId="0" xfId="0" applyNumberFormat="1" applyFont="1" applyFill="1" applyAlignment="1">
      <alignment vertical="center" wrapText="1"/>
    </xf>
    <xf numFmtId="0" fontId="32" fillId="22" borderId="0" xfId="0" applyFont="1" applyFill="1">
      <alignment vertical="center"/>
    </xf>
    <xf numFmtId="0" fontId="45" fillId="16" borderId="0" xfId="0" applyFont="1" applyFill="1">
      <alignment vertical="center"/>
    </xf>
    <xf numFmtId="0" fontId="42" fillId="18" borderId="0" xfId="0" applyFont="1" applyFill="1" applyAlignment="1">
      <alignment vertical="center" wrapText="1"/>
    </xf>
    <xf numFmtId="0" fontId="32" fillId="18" borderId="0" xfId="0" applyFont="1" applyFill="1" applyAlignment="1">
      <alignment vertical="center" wrapText="1"/>
    </xf>
    <xf numFmtId="0" fontId="44" fillId="18" borderId="0" xfId="0" applyFont="1" applyFill="1" applyAlignment="1">
      <alignment vertical="center" wrapText="1"/>
    </xf>
    <xf numFmtId="180" fontId="32" fillId="18" borderId="0" xfId="0" applyNumberFormat="1" applyFont="1" applyFill="1" applyAlignment="1">
      <alignment vertical="center" wrapText="1"/>
    </xf>
    <xf numFmtId="0" fontId="32" fillId="18" borderId="0" xfId="0" applyFont="1" applyFill="1">
      <alignment vertical="center"/>
    </xf>
    <xf numFmtId="0" fontId="42" fillId="14" borderId="0" xfId="0" applyFont="1" applyFill="1" applyAlignment="1">
      <alignment vertical="center" wrapText="1"/>
    </xf>
    <xf numFmtId="0" fontId="32" fillId="14" borderId="0" xfId="0" applyFont="1" applyFill="1" applyAlignment="1">
      <alignment vertical="center" wrapText="1"/>
    </xf>
    <xf numFmtId="180" fontId="32" fillId="14" borderId="0" xfId="0" applyNumberFormat="1" applyFont="1" applyFill="1" applyAlignment="1">
      <alignment vertical="center" wrapText="1"/>
    </xf>
    <xf numFmtId="0" fontId="32" fillId="14" borderId="0" xfId="0" applyFont="1" applyFill="1">
      <alignment vertical="center"/>
    </xf>
    <xf numFmtId="0" fontId="32" fillId="3" borderId="0" xfId="0" applyFont="1" applyFill="1">
      <alignment vertical="center"/>
    </xf>
    <xf numFmtId="0" fontId="42" fillId="17" borderId="0" xfId="0" applyFont="1" applyFill="1" applyAlignment="1">
      <alignment vertical="center" wrapText="1"/>
    </xf>
    <xf numFmtId="0" fontId="32" fillId="17" borderId="0" xfId="0" applyFont="1" applyFill="1" applyAlignment="1">
      <alignment vertical="center" wrapText="1"/>
    </xf>
    <xf numFmtId="180" fontId="32" fillId="17" borderId="0" xfId="0" applyNumberFormat="1" applyFont="1" applyFill="1" applyAlignment="1">
      <alignment vertical="center" wrapText="1"/>
    </xf>
    <xf numFmtId="0" fontId="32" fillId="17" borderId="0" xfId="0" applyFont="1" applyFill="1">
      <alignment vertical="center"/>
    </xf>
    <xf numFmtId="0" fontId="42" fillId="15" borderId="0" xfId="0" applyFont="1" applyFill="1" applyAlignment="1">
      <alignment vertical="center" wrapText="1"/>
    </xf>
    <xf numFmtId="0" fontId="32" fillId="15" borderId="0" xfId="0" applyFont="1" applyFill="1" applyAlignment="1">
      <alignment vertical="center" wrapText="1"/>
    </xf>
    <xf numFmtId="180" fontId="32" fillId="15" borderId="0" xfId="0" applyNumberFormat="1" applyFont="1" applyFill="1" applyAlignment="1">
      <alignment vertical="center" wrapText="1"/>
    </xf>
    <xf numFmtId="0" fontId="32" fillId="15" borderId="0" xfId="0" applyFont="1" applyFill="1">
      <alignment vertical="center"/>
    </xf>
    <xf numFmtId="0" fontId="32" fillId="11" borderId="0" xfId="0" applyFont="1" applyFill="1">
      <alignment vertical="center"/>
    </xf>
    <xf numFmtId="0" fontId="42" fillId="11" borderId="0" xfId="0" applyFont="1" applyFill="1" applyAlignment="1">
      <alignment vertical="center" wrapText="1"/>
    </xf>
    <xf numFmtId="0" fontId="32" fillId="11" borderId="0" xfId="0" applyFont="1" applyFill="1" applyAlignment="1">
      <alignment vertical="center" wrapText="1"/>
    </xf>
    <xf numFmtId="180" fontId="32" fillId="11" borderId="0" xfId="0" applyNumberFormat="1" applyFont="1" applyFill="1" applyAlignment="1">
      <alignment vertical="center" wrapText="1"/>
    </xf>
    <xf numFmtId="0" fontId="42" fillId="3" borderId="0" xfId="0" applyFont="1" applyFill="1" applyAlignment="1">
      <alignment vertical="center" wrapText="1"/>
    </xf>
    <xf numFmtId="0" fontId="32" fillId="3" borderId="0" xfId="0" applyFont="1" applyFill="1" applyAlignment="1">
      <alignment vertical="center" wrapText="1"/>
    </xf>
    <xf numFmtId="180" fontId="32" fillId="3" borderId="0" xfId="0" applyNumberFormat="1" applyFont="1" applyFill="1" applyAlignment="1">
      <alignment vertical="center" wrapText="1"/>
    </xf>
    <xf numFmtId="0" fontId="44" fillId="11" borderId="0" xfId="0" applyFont="1" applyFill="1" applyAlignment="1">
      <alignment vertical="center" wrapText="1"/>
    </xf>
    <xf numFmtId="0" fontId="42" fillId="16" borderId="0" xfId="0" applyFont="1" applyFill="1" applyAlignment="1">
      <alignment vertical="center" wrapText="1"/>
    </xf>
    <xf numFmtId="0" fontId="32" fillId="16" borderId="0" xfId="0" applyFont="1" applyFill="1" applyAlignment="1">
      <alignment vertical="center" wrapText="1"/>
    </xf>
    <xf numFmtId="180" fontId="32" fillId="16" borderId="0" xfId="0" applyNumberFormat="1" applyFont="1" applyFill="1" applyAlignment="1">
      <alignment vertical="center" wrapText="1"/>
    </xf>
    <xf numFmtId="0" fontId="44" fillId="14" borderId="0" xfId="0" applyFont="1" applyFill="1" applyAlignment="1">
      <alignment vertical="center" wrapText="1"/>
    </xf>
    <xf numFmtId="0" fontId="47" fillId="3" borderId="0" xfId="0" applyFont="1" applyFill="1" applyAlignment="1">
      <alignment vertical="center" wrapText="1"/>
    </xf>
    <xf numFmtId="0" fontId="48" fillId="3" borderId="0" xfId="0" applyFont="1" applyFill="1" applyAlignment="1">
      <alignment vertical="center" wrapText="1"/>
    </xf>
    <xf numFmtId="180" fontId="48" fillId="3" borderId="0" xfId="0" applyNumberFormat="1" applyFont="1" applyFill="1" applyAlignment="1">
      <alignment vertical="center" wrapText="1"/>
    </xf>
    <xf numFmtId="0" fontId="42" fillId="3" borderId="0" xfId="0" applyFont="1" applyFill="1">
      <alignment vertical="center"/>
    </xf>
    <xf numFmtId="176" fontId="30" fillId="3" borderId="1" xfId="0" applyNumberFormat="1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176" fontId="15" fillId="16" borderId="1" xfId="0" applyNumberFormat="1" applyFont="1" applyFill="1" applyBorder="1" applyAlignment="1">
      <alignment horizontal="center" vertical="center"/>
    </xf>
  </cellXfs>
  <cellStyles count="3">
    <cellStyle name="Normal" xfId="1" xr:uid="{00000000-0005-0000-0000-000000000000}"/>
    <cellStyle name="一般" xfId="0" builtinId="0"/>
    <cellStyle name="百分比" xfId="2" xr:uid="{00000000-0005-0000-0000-000002000000}"/>
  </cellStyles>
  <dxfs count="25"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HardwareAssetMasterTable34" displayName="HardwareAssetMasterTable34" ref="A1:R97" headerRowDxfId="24" dataDxfId="23" totalsRowDxfId="22">
  <autoFilter ref="A1:R97" xr:uid="{00000000-0009-0000-0100-000003000000}"/>
  <tableColumns count="18">
    <tableColumn id="1" xr3:uid="{00000000-0010-0000-0000-000001000000}" name="資產編號" dataDxfId="21"/>
    <tableColumn id="2" xr3:uid="{00000000-0010-0000-0000-000002000000}" name="管理層級" dataDxfId="20"/>
    <tableColumn id="3" xr3:uid="{00000000-0010-0000-0000-000003000000}" name="資產類" dataDxfId="19"/>
    <tableColumn id="4" xr3:uid="{00000000-0010-0000-0000-000004000000}" name="設備類型" dataDxfId="18"/>
    <tableColumn id="5" xr3:uid="{00000000-0010-0000-0000-000005000000}" name="資產名稱" dataDxfId="17"/>
    <tableColumn id="6" xr3:uid="{00000000-0010-0000-0000-000006000000}" name="品牌" dataDxfId="16"/>
    <tableColumn id="7" xr3:uid="{00000000-0010-0000-0000-000007000000}" name="型號" dataDxfId="15"/>
    <tableColumn id="8" xr3:uid="{00000000-0010-0000-0000-000008000000}" name="規格／容量" dataDxfId="14"/>
    <tableColumn id="9" xr3:uid="{00000000-0010-0000-0000-000009000000}" name="序號／識別碼" dataDxfId="13"/>
    <tableColumn id="10" xr3:uid="{00000000-0010-0000-0000-00000A000000}" name="數量" dataDxfId="12"/>
    <tableColumn id="11" xr3:uid="{00000000-0010-0000-0000-00000B000000}" name="資產歸屬" dataDxfId="11"/>
    <tableColumn id="12" xr3:uid="{00000000-0010-0000-0000-00000C000000}" name="保管人／使用人" dataDxfId="10"/>
    <tableColumn id="13" xr3:uid="{00000000-0010-0000-0000-00000D000000}" name="部門" dataDxfId="9"/>
    <tableColumn id="14" xr3:uid="{00000000-0010-0000-0000-00000E000000}" name="放置地點" dataDxfId="8"/>
    <tableColumn id="15" xr3:uid="{00000000-0010-0000-0000-00000F000000}" name="購入日期" dataDxfId="7"/>
    <tableColumn id="16" xr3:uid="{00000000-0010-0000-0000-000010000000}" name="設備狀況" dataDxfId="6"/>
    <tableColumn id="17" xr3:uid="{00000000-0010-0000-0000-000011000000}" name="主機名稱／IP" dataDxfId="5"/>
    <tableColumn id="18" xr3:uid="{00000000-0010-0000-0000-000012000000}" name="欄1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8"/>
  <sheetViews>
    <sheetView tabSelected="1" zoomScaleNormal="100" workbookViewId="0">
      <pane ySplit="3" topLeftCell="A4" activePane="bottomLeft" state="frozen"/>
      <selection activeCell="A3" sqref="A3"/>
      <selection pane="bottomLeft" activeCell="A24" sqref="A24"/>
    </sheetView>
  </sheetViews>
  <sheetFormatPr defaultRowHeight="12.75"/>
  <cols>
    <col min="1" max="1" width="23.25" style="30" bestFit="1" customWidth="1"/>
    <col min="2" max="2" width="39.875" style="30" customWidth="1"/>
    <col min="3" max="3" width="7.875" style="17" customWidth="1"/>
    <col min="4" max="4" width="11.375" style="29" bestFit="1" customWidth="1"/>
    <col min="5" max="5" width="5.875" style="17" bestFit="1" customWidth="1"/>
    <col min="6" max="6" width="5" style="17" bestFit="1" customWidth="1"/>
    <col min="7" max="7" width="5.875" style="17" bestFit="1" customWidth="1"/>
    <col min="8" max="8" width="9.75" style="8" customWidth="1"/>
    <col min="9" max="9" width="9.875" style="8" bestFit="1" customWidth="1"/>
    <col min="10" max="10" width="10.75" style="8" customWidth="1"/>
    <col min="11" max="11" width="9.625" style="17" bestFit="1" customWidth="1"/>
    <col min="12" max="17" width="9.5" style="17" customWidth="1"/>
    <col min="18" max="19" width="9" style="17" customWidth="1"/>
    <col min="20" max="20" width="9.625" style="17" bestFit="1" customWidth="1"/>
    <col min="21" max="21" width="5.375" style="17" bestFit="1" customWidth="1"/>
    <col min="22" max="22" width="9.625" style="17" bestFit="1" customWidth="1"/>
    <col min="23" max="23" width="10" style="17" bestFit="1" customWidth="1"/>
    <col min="24" max="24" width="7.5" style="17" customWidth="1"/>
    <col min="25" max="25" width="11.375" style="17" bestFit="1" customWidth="1"/>
    <col min="26" max="26" width="4.75" style="31" bestFit="1" customWidth="1"/>
    <col min="27" max="27" width="11.625" style="8" customWidth="1"/>
    <col min="28" max="28" width="5" style="8" bestFit="1" customWidth="1"/>
    <col min="29" max="29" width="6.375" style="8" bestFit="1" customWidth="1"/>
    <col min="30" max="30" width="16" style="8" bestFit="1" customWidth="1"/>
    <col min="31" max="16384" width="9" style="9"/>
  </cols>
  <sheetData>
    <row r="1" spans="1:30">
      <c r="A1" s="45" t="s">
        <v>1291</v>
      </c>
      <c r="B1" s="1"/>
      <c r="C1" s="2"/>
      <c r="D1" s="5">
        <f>SUM(K2:T2)+Y2</f>
        <v>6914709</v>
      </c>
      <c r="E1" s="4"/>
      <c r="F1" s="1"/>
      <c r="G1" s="4"/>
      <c r="H1" s="5"/>
      <c r="I1" s="110">
        <f>K2+V2+W2</f>
        <v>3185917.9456099458</v>
      </c>
      <c r="J1" s="108">
        <f>SUM(L2:T2)</f>
        <v>3728791.0543900547</v>
      </c>
      <c r="K1" s="6">
        <f t="shared" ref="K1:T1" si="0">K2/$D$2</f>
        <v>0.13109855849295429</v>
      </c>
      <c r="L1" s="6">
        <f t="shared" si="0"/>
        <v>0.37895141657037562</v>
      </c>
      <c r="M1" s="6">
        <f t="shared" si="0"/>
        <v>1.1874090775611986E-4</v>
      </c>
      <c r="N1" s="6">
        <f t="shared" si="0"/>
        <v>1.270650987363578E-3</v>
      </c>
      <c r="O1" s="6">
        <f t="shared" si="0"/>
        <v>3.4581498657427233E-2</v>
      </c>
      <c r="P1" s="6">
        <f t="shared" si="0"/>
        <v>3.6255519015531042E-3</v>
      </c>
      <c r="Q1" s="6">
        <f t="shared" si="0"/>
        <v>2.8771132317463772E-2</v>
      </c>
      <c r="R1" s="6">
        <f t="shared" si="0"/>
        <v>2.8342034795234776E-2</v>
      </c>
      <c r="S1" s="6">
        <f t="shared" si="0"/>
        <v>2.8085057520135701E-3</v>
      </c>
      <c r="T1" s="6">
        <f t="shared" si="0"/>
        <v>6.0785417869371083E-2</v>
      </c>
      <c r="U1" s="6"/>
      <c r="V1" s="6">
        <f>V2/$D$2</f>
        <v>4.6485784210809955E-2</v>
      </c>
      <c r="W1" s="6">
        <f>W2/$D$2</f>
        <v>0.28316070753767697</v>
      </c>
      <c r="X1" s="6"/>
      <c r="Y1" s="3">
        <f>SUM(Y4:Y5000)</f>
        <v>6914709</v>
      </c>
      <c r="Z1" s="7"/>
      <c r="AA1" s="6"/>
      <c r="AB1" s="5"/>
    </row>
    <row r="2" spans="1:30" s="17" customFormat="1">
      <c r="A2" s="10"/>
      <c r="B2" s="11"/>
      <c r="C2" s="11">
        <f>SUM(C4:C4973)</f>
        <v>13799</v>
      </c>
      <c r="D2" s="12">
        <f>SUM(D4:D4973)</f>
        <v>6914709</v>
      </c>
      <c r="E2" s="11">
        <f>SUM(E4:E369)</f>
        <v>776</v>
      </c>
      <c r="F2" s="11">
        <f>SUM(F4:F369)</f>
        <v>22</v>
      </c>
      <c r="G2" s="11">
        <f>SUM(G4:G369)</f>
        <v>754</v>
      </c>
      <c r="H2" s="5"/>
      <c r="I2" s="11">
        <f>SUM(I4:I369)</f>
        <v>11887</v>
      </c>
      <c r="J2" s="5"/>
      <c r="K2" s="109">
        <f t="shared" ref="K2:T2" si="1">SUM(K4:K906)</f>
        <v>906508.38229825743</v>
      </c>
      <c r="L2" s="3">
        <f t="shared" si="1"/>
        <v>2620338.7707219254</v>
      </c>
      <c r="M2" s="3">
        <f t="shared" si="1"/>
        <v>821.05882352941182</v>
      </c>
      <c r="N2" s="3">
        <f t="shared" si="1"/>
        <v>8786.181818181818</v>
      </c>
      <c r="O2" s="3">
        <f t="shared" si="1"/>
        <v>239121</v>
      </c>
      <c r="P2" s="3">
        <f t="shared" si="1"/>
        <v>25069.636363636364</v>
      </c>
      <c r="Q2" s="3">
        <f t="shared" si="1"/>
        <v>198944.0075757576</v>
      </c>
      <c r="R2" s="3">
        <f t="shared" si="1"/>
        <v>195976.92307692306</v>
      </c>
      <c r="S2" s="3">
        <f t="shared" si="1"/>
        <v>19420</v>
      </c>
      <c r="T2" s="3">
        <f t="shared" si="1"/>
        <v>420313.47601010103</v>
      </c>
      <c r="U2" s="11"/>
      <c r="V2" s="109">
        <f>SUM(V4:V906)</f>
        <v>321435.67045454547</v>
      </c>
      <c r="W2" s="109">
        <f>SUM(W4:W906)</f>
        <v>1957973.8928571427</v>
      </c>
      <c r="X2" s="13"/>
      <c r="Y2" s="3">
        <f>V2+W2</f>
        <v>2279409.5633116881</v>
      </c>
      <c r="Z2" s="14"/>
      <c r="AA2" s="15"/>
      <c r="AB2" s="15"/>
      <c r="AC2" s="16"/>
      <c r="AD2" s="8"/>
    </row>
    <row r="3" spans="1:30" s="28" customFormat="1" ht="25.5">
      <c r="A3" s="18" t="s">
        <v>891</v>
      </c>
      <c r="B3" s="19" t="s">
        <v>892</v>
      </c>
      <c r="C3" s="18" t="s">
        <v>893</v>
      </c>
      <c r="D3" s="18" t="s">
        <v>894</v>
      </c>
      <c r="E3" s="20" t="s">
        <v>895</v>
      </c>
      <c r="F3" s="21" t="s">
        <v>896</v>
      </c>
      <c r="G3" s="22" t="s">
        <v>897</v>
      </c>
      <c r="H3" s="18" t="s">
        <v>898</v>
      </c>
      <c r="I3" s="20" t="s">
        <v>899</v>
      </c>
      <c r="J3" s="23" t="s">
        <v>900</v>
      </c>
      <c r="K3" s="23" t="s">
        <v>894</v>
      </c>
      <c r="L3" s="23" t="s">
        <v>901</v>
      </c>
      <c r="M3" s="23" t="s">
        <v>902</v>
      </c>
      <c r="N3" s="23" t="s">
        <v>903</v>
      </c>
      <c r="O3" s="23" t="s">
        <v>904</v>
      </c>
      <c r="P3" s="51" t="s">
        <v>1292</v>
      </c>
      <c r="Q3" s="51" t="s">
        <v>1293</v>
      </c>
      <c r="R3" s="51" t="s">
        <v>1294</v>
      </c>
      <c r="S3" s="51" t="s">
        <v>1295</v>
      </c>
      <c r="T3" s="23" t="s">
        <v>905</v>
      </c>
      <c r="U3" s="20" t="s">
        <v>906</v>
      </c>
      <c r="V3" s="24" t="s">
        <v>907</v>
      </c>
      <c r="W3" s="24" t="s">
        <v>908</v>
      </c>
      <c r="X3" s="24" t="s">
        <v>909</v>
      </c>
      <c r="Y3" s="25" t="s">
        <v>910</v>
      </c>
      <c r="Z3" s="26" t="s">
        <v>911</v>
      </c>
      <c r="AA3" s="21" t="s">
        <v>912</v>
      </c>
      <c r="AB3" s="21" t="s">
        <v>896</v>
      </c>
      <c r="AC3" s="21" t="s">
        <v>913</v>
      </c>
      <c r="AD3" s="27" t="s">
        <v>914</v>
      </c>
    </row>
    <row r="4" spans="1:30" s="38" customFormat="1">
      <c r="A4" s="46" t="s">
        <v>0</v>
      </c>
      <c r="B4" s="46" t="s">
        <v>915</v>
      </c>
      <c r="C4" s="33">
        <v>4</v>
      </c>
      <c r="D4" s="33">
        <v>8760</v>
      </c>
      <c r="E4" s="33">
        <v>2</v>
      </c>
      <c r="F4" s="33">
        <v>0</v>
      </c>
      <c r="G4" s="33">
        <f t="shared" ref="G4:G10" si="2">E4-F4</f>
        <v>2</v>
      </c>
      <c r="H4" s="34" t="s">
        <v>1</v>
      </c>
      <c r="I4" s="34">
        <v>2</v>
      </c>
      <c r="J4" s="35" t="s">
        <v>916</v>
      </c>
      <c r="K4" s="33">
        <f>(D4/C4)*2</f>
        <v>4380</v>
      </c>
      <c r="L4" s="33"/>
      <c r="M4" s="33"/>
      <c r="N4" s="33"/>
      <c r="O4" s="33"/>
      <c r="P4" s="33"/>
      <c r="Q4" s="33">
        <f>(D4/C4)*2</f>
        <v>4380</v>
      </c>
      <c r="R4" s="33"/>
      <c r="S4" s="33"/>
      <c r="T4" s="33"/>
      <c r="U4" s="33">
        <f>C4-E4-I4</f>
        <v>0</v>
      </c>
      <c r="V4" s="33"/>
      <c r="W4" s="33"/>
      <c r="X4" s="33"/>
      <c r="Y4" s="33">
        <f t="shared" ref="Y4:Y67" si="3">SUM(K4:T4)+SUM(V4:W4)</f>
        <v>8760</v>
      </c>
      <c r="Z4" s="37" t="str">
        <f t="shared" ref="Z4:Z67" si="4">IF(D4=Y4,"","錯")</f>
        <v/>
      </c>
      <c r="AA4" s="34"/>
      <c r="AB4" s="34"/>
      <c r="AC4" s="47"/>
      <c r="AD4" s="41"/>
    </row>
    <row r="5" spans="1:30" s="38" customFormat="1">
      <c r="A5" s="46" t="s">
        <v>2</v>
      </c>
      <c r="B5" s="32" t="s">
        <v>917</v>
      </c>
      <c r="C5" s="33">
        <v>1</v>
      </c>
      <c r="D5" s="33">
        <v>1580</v>
      </c>
      <c r="E5" s="33">
        <v>1</v>
      </c>
      <c r="F5" s="33">
        <v>0</v>
      </c>
      <c r="G5" s="33">
        <f t="shared" si="2"/>
        <v>1</v>
      </c>
      <c r="H5" s="34" t="s">
        <v>3</v>
      </c>
      <c r="I5" s="34">
        <v>0</v>
      </c>
      <c r="J5" s="34"/>
      <c r="K5" s="33">
        <f>D5</f>
        <v>1580</v>
      </c>
      <c r="L5" s="33"/>
      <c r="M5" s="33"/>
      <c r="N5" s="33"/>
      <c r="O5" s="33"/>
      <c r="P5" s="33"/>
      <c r="Q5" s="33"/>
      <c r="R5" s="33"/>
      <c r="S5" s="33"/>
      <c r="T5" s="33"/>
      <c r="U5" s="33">
        <f>C5-E5-I5</f>
        <v>0</v>
      </c>
      <c r="V5" s="36"/>
      <c r="W5" s="36"/>
      <c r="X5" s="36"/>
      <c r="Y5" s="33">
        <f t="shared" si="3"/>
        <v>1580</v>
      </c>
      <c r="Z5" s="37" t="str">
        <f t="shared" si="4"/>
        <v/>
      </c>
      <c r="AA5" s="34"/>
      <c r="AB5" s="34"/>
      <c r="AC5" s="47"/>
      <c r="AD5" s="47"/>
    </row>
    <row r="6" spans="1:30" s="38" customFormat="1" ht="25.5">
      <c r="A6" s="32" t="s">
        <v>4</v>
      </c>
      <c r="B6" s="32" t="s">
        <v>918</v>
      </c>
      <c r="C6" s="33">
        <v>2</v>
      </c>
      <c r="D6" s="33">
        <v>130</v>
      </c>
      <c r="E6" s="33">
        <v>0</v>
      </c>
      <c r="F6" s="33">
        <v>0</v>
      </c>
      <c r="G6" s="33">
        <f t="shared" si="2"/>
        <v>0</v>
      </c>
      <c r="H6" s="34" t="s">
        <v>5</v>
      </c>
      <c r="I6" s="34">
        <v>0</v>
      </c>
      <c r="J6" s="34"/>
      <c r="K6" s="33"/>
      <c r="L6" s="33"/>
      <c r="M6" s="33"/>
      <c r="N6" s="33"/>
      <c r="O6" s="33"/>
      <c r="P6" s="33"/>
      <c r="Q6" s="33"/>
      <c r="R6" s="33"/>
      <c r="S6" s="33"/>
      <c r="T6" s="33"/>
      <c r="U6" s="33">
        <f>C6-E6-I6</f>
        <v>2</v>
      </c>
      <c r="V6" s="36"/>
      <c r="W6" s="36">
        <f>(D6/C6)*2</f>
        <v>130</v>
      </c>
      <c r="X6" s="36" t="s">
        <v>919</v>
      </c>
      <c r="Y6" s="33">
        <f t="shared" si="3"/>
        <v>130</v>
      </c>
      <c r="Z6" s="37" t="str">
        <f t="shared" si="4"/>
        <v/>
      </c>
      <c r="AA6" s="34"/>
      <c r="AB6" s="34"/>
      <c r="AC6" s="47"/>
      <c r="AD6" s="47"/>
    </row>
    <row r="7" spans="1:30" s="38" customFormat="1">
      <c r="A7" s="32" t="s">
        <v>6</v>
      </c>
      <c r="B7" s="32" t="s">
        <v>920</v>
      </c>
      <c r="C7" s="33">
        <v>16</v>
      </c>
      <c r="D7" s="33">
        <v>251</v>
      </c>
      <c r="E7" s="33">
        <v>36</v>
      </c>
      <c r="F7" s="33">
        <v>0</v>
      </c>
      <c r="G7" s="33">
        <f t="shared" si="2"/>
        <v>36</v>
      </c>
      <c r="H7" s="34" t="s">
        <v>7</v>
      </c>
      <c r="I7" s="34">
        <v>0</v>
      </c>
      <c r="J7" s="34"/>
      <c r="K7" s="33">
        <f>D7</f>
        <v>251</v>
      </c>
      <c r="L7" s="33"/>
      <c r="M7" s="33"/>
      <c r="N7" s="33"/>
      <c r="O7" s="33"/>
      <c r="P7" s="33"/>
      <c r="Q7" s="33"/>
      <c r="R7" s="33"/>
      <c r="S7" s="33"/>
      <c r="T7" s="33"/>
      <c r="U7" s="33">
        <v>0</v>
      </c>
      <c r="V7" s="33"/>
      <c r="W7" s="33"/>
      <c r="X7" s="33"/>
      <c r="Y7" s="33">
        <f t="shared" si="3"/>
        <v>251</v>
      </c>
      <c r="Z7" s="37" t="str">
        <f t="shared" si="4"/>
        <v/>
      </c>
      <c r="AA7" s="34"/>
      <c r="AB7" s="34"/>
      <c r="AC7" s="47"/>
      <c r="AD7" s="47"/>
    </row>
    <row r="8" spans="1:30" s="38" customFormat="1">
      <c r="A8" s="39" t="s">
        <v>8</v>
      </c>
      <c r="B8" s="39" t="s">
        <v>921</v>
      </c>
      <c r="C8" s="33">
        <v>20</v>
      </c>
      <c r="D8" s="33">
        <v>800</v>
      </c>
      <c r="E8" s="33">
        <v>0</v>
      </c>
      <c r="F8" s="33">
        <v>0</v>
      </c>
      <c r="G8" s="33">
        <f t="shared" si="2"/>
        <v>0</v>
      </c>
      <c r="H8" s="34"/>
      <c r="I8" s="34">
        <v>20</v>
      </c>
      <c r="J8" s="34" t="s">
        <v>922</v>
      </c>
      <c r="K8" s="33"/>
      <c r="L8" s="33">
        <f>(D8/C8)*20</f>
        <v>800</v>
      </c>
      <c r="M8" s="33"/>
      <c r="N8" s="33"/>
      <c r="O8" s="33"/>
      <c r="P8" s="33"/>
      <c r="Q8" s="33"/>
      <c r="R8" s="33"/>
      <c r="S8" s="33"/>
      <c r="T8" s="33"/>
      <c r="U8" s="33">
        <f t="shared" ref="U8:U13" si="5">C8-E8-I8</f>
        <v>0</v>
      </c>
      <c r="V8" s="36"/>
      <c r="W8" s="36"/>
      <c r="X8" s="36"/>
      <c r="Y8" s="33">
        <f t="shared" si="3"/>
        <v>800</v>
      </c>
      <c r="Z8" s="37" t="str">
        <f t="shared" si="4"/>
        <v/>
      </c>
      <c r="AA8" s="34"/>
      <c r="AB8" s="34"/>
      <c r="AC8" s="34"/>
      <c r="AD8" s="34"/>
    </row>
    <row r="9" spans="1:30" s="38" customFormat="1">
      <c r="A9" s="39" t="s">
        <v>9</v>
      </c>
      <c r="B9" s="39" t="s">
        <v>923</v>
      </c>
      <c r="C9" s="33">
        <v>1</v>
      </c>
      <c r="D9" s="33">
        <v>16385</v>
      </c>
      <c r="E9" s="33">
        <v>0</v>
      </c>
      <c r="F9" s="33">
        <v>0</v>
      </c>
      <c r="G9" s="33">
        <f t="shared" si="2"/>
        <v>0</v>
      </c>
      <c r="H9" s="34"/>
      <c r="I9" s="34">
        <v>1</v>
      </c>
      <c r="J9" s="34" t="s">
        <v>924</v>
      </c>
      <c r="K9" s="33"/>
      <c r="L9" s="33">
        <f>(D9/C9)*1</f>
        <v>16385</v>
      </c>
      <c r="M9" s="33"/>
      <c r="N9" s="33"/>
      <c r="O9" s="33"/>
      <c r="P9" s="33"/>
      <c r="Q9" s="33"/>
      <c r="R9" s="33"/>
      <c r="S9" s="33"/>
      <c r="T9" s="33"/>
      <c r="U9" s="33">
        <f t="shared" si="5"/>
        <v>0</v>
      </c>
      <c r="V9" s="36"/>
      <c r="W9" s="36"/>
      <c r="X9" s="36"/>
      <c r="Y9" s="33">
        <f t="shared" si="3"/>
        <v>16385</v>
      </c>
      <c r="Z9" s="37" t="str">
        <f t="shared" si="4"/>
        <v/>
      </c>
      <c r="AA9" s="34"/>
      <c r="AB9" s="34"/>
      <c r="AC9" s="47"/>
      <c r="AD9" s="47"/>
    </row>
    <row r="10" spans="1:30" s="38" customFormat="1" ht="25.5">
      <c r="A10" s="46" t="s">
        <v>10</v>
      </c>
      <c r="B10" s="46" t="s">
        <v>925</v>
      </c>
      <c r="C10" s="33">
        <v>2</v>
      </c>
      <c r="D10" s="33">
        <v>600</v>
      </c>
      <c r="E10" s="33">
        <v>0</v>
      </c>
      <c r="F10" s="33">
        <v>0</v>
      </c>
      <c r="G10" s="33">
        <f t="shared" si="2"/>
        <v>0</v>
      </c>
      <c r="H10" s="34"/>
      <c r="I10" s="34">
        <v>2</v>
      </c>
      <c r="J10" s="35" t="s">
        <v>926</v>
      </c>
      <c r="K10" s="33"/>
      <c r="L10" s="33"/>
      <c r="M10" s="33"/>
      <c r="N10" s="33"/>
      <c r="O10" s="33"/>
      <c r="P10" s="33"/>
      <c r="Q10" s="33"/>
      <c r="R10" s="33"/>
      <c r="S10" s="33"/>
      <c r="T10" s="33">
        <f>(D10/C10)*2</f>
        <v>600</v>
      </c>
      <c r="U10" s="33">
        <f t="shared" si="5"/>
        <v>0</v>
      </c>
      <c r="V10" s="36"/>
      <c r="W10" s="36"/>
      <c r="X10" s="36"/>
      <c r="Y10" s="33">
        <f t="shared" si="3"/>
        <v>600</v>
      </c>
      <c r="Z10" s="37" t="str">
        <f t="shared" si="4"/>
        <v/>
      </c>
      <c r="AA10" s="34"/>
      <c r="AB10" s="34"/>
      <c r="AC10" s="47"/>
      <c r="AD10" s="41"/>
    </row>
    <row r="11" spans="1:30" s="38" customFormat="1">
      <c r="A11" s="39" t="s">
        <v>1227</v>
      </c>
      <c r="B11" s="39" t="s">
        <v>1296</v>
      </c>
      <c r="C11" s="33">
        <v>1</v>
      </c>
      <c r="D11" s="33">
        <v>140</v>
      </c>
      <c r="E11" s="33">
        <v>0</v>
      </c>
      <c r="F11" s="33">
        <v>0</v>
      </c>
      <c r="G11" s="33">
        <v>0</v>
      </c>
      <c r="H11" s="34"/>
      <c r="I11" s="34">
        <v>1</v>
      </c>
      <c r="J11" s="34" t="s">
        <v>1297</v>
      </c>
      <c r="K11" s="33"/>
      <c r="L11" s="33"/>
      <c r="M11" s="33"/>
      <c r="N11" s="33"/>
      <c r="O11" s="33"/>
      <c r="P11" s="33">
        <f>D11</f>
        <v>140</v>
      </c>
      <c r="Q11" s="33"/>
      <c r="R11" s="33"/>
      <c r="S11" s="33"/>
      <c r="T11" s="33"/>
      <c r="U11" s="33">
        <f t="shared" si="5"/>
        <v>0</v>
      </c>
      <c r="V11" s="33"/>
      <c r="W11" s="33"/>
      <c r="X11" s="33"/>
      <c r="Y11" s="33">
        <f t="shared" si="3"/>
        <v>140</v>
      </c>
      <c r="Z11" s="37" t="str">
        <f t="shared" si="4"/>
        <v/>
      </c>
      <c r="AA11" s="34"/>
      <c r="AB11" s="34"/>
      <c r="AC11" s="34"/>
      <c r="AD11" s="34"/>
    </row>
    <row r="12" spans="1:30" s="38" customFormat="1">
      <c r="A12" s="39" t="s">
        <v>1228</v>
      </c>
      <c r="B12" s="39" t="s">
        <v>1298</v>
      </c>
      <c r="C12" s="33">
        <v>1</v>
      </c>
      <c r="D12" s="33">
        <v>90</v>
      </c>
      <c r="E12" s="33">
        <v>0</v>
      </c>
      <c r="F12" s="33">
        <v>0</v>
      </c>
      <c r="G12" s="33">
        <v>0</v>
      </c>
      <c r="H12" s="34"/>
      <c r="I12" s="34">
        <v>1</v>
      </c>
      <c r="J12" s="34" t="s">
        <v>1297</v>
      </c>
      <c r="K12" s="33"/>
      <c r="L12" s="33"/>
      <c r="M12" s="33"/>
      <c r="N12" s="33"/>
      <c r="O12" s="33"/>
      <c r="P12" s="33">
        <f>D12</f>
        <v>90</v>
      </c>
      <c r="Q12" s="33"/>
      <c r="R12" s="33"/>
      <c r="S12" s="33"/>
      <c r="T12" s="33"/>
      <c r="U12" s="33">
        <f t="shared" si="5"/>
        <v>0</v>
      </c>
      <c r="V12" s="33"/>
      <c r="W12" s="33"/>
      <c r="X12" s="33"/>
      <c r="Y12" s="33">
        <f t="shared" si="3"/>
        <v>90</v>
      </c>
      <c r="Z12" s="37" t="str">
        <f t="shared" si="4"/>
        <v/>
      </c>
      <c r="AA12" s="34"/>
      <c r="AB12" s="34"/>
      <c r="AC12" s="34"/>
      <c r="AD12" s="34"/>
    </row>
    <row r="13" spans="1:30" s="38" customFormat="1">
      <c r="A13" s="32" t="s">
        <v>11</v>
      </c>
      <c r="B13" s="32" t="s">
        <v>927</v>
      </c>
      <c r="C13" s="33">
        <v>2</v>
      </c>
      <c r="D13" s="33">
        <v>13532</v>
      </c>
      <c r="E13" s="33">
        <v>0</v>
      </c>
      <c r="F13" s="33">
        <v>0</v>
      </c>
      <c r="G13" s="33">
        <f t="shared" ref="G13:G44" si="6">E13-F13</f>
        <v>0</v>
      </c>
      <c r="H13" s="34"/>
      <c r="I13" s="34">
        <v>2</v>
      </c>
      <c r="J13" s="34" t="s">
        <v>928</v>
      </c>
      <c r="K13" s="33"/>
      <c r="L13" s="33"/>
      <c r="M13" s="33"/>
      <c r="N13" s="33"/>
      <c r="O13" s="33"/>
      <c r="P13" s="33"/>
      <c r="Q13" s="33"/>
      <c r="R13" s="33"/>
      <c r="S13" s="33"/>
      <c r="T13" s="33">
        <f>(D13/C13)*I13</f>
        <v>13532</v>
      </c>
      <c r="U13" s="33">
        <f t="shared" si="5"/>
        <v>0</v>
      </c>
      <c r="V13" s="36"/>
      <c r="W13" s="36"/>
      <c r="X13" s="36"/>
      <c r="Y13" s="33">
        <f t="shared" si="3"/>
        <v>13532</v>
      </c>
      <c r="Z13" s="37" t="str">
        <f t="shared" si="4"/>
        <v/>
      </c>
      <c r="AA13" s="34"/>
      <c r="AB13" s="34"/>
      <c r="AC13" s="34"/>
      <c r="AD13" s="34"/>
    </row>
    <row r="14" spans="1:30" s="38" customFormat="1">
      <c r="A14" s="39" t="s">
        <v>1290</v>
      </c>
      <c r="B14" s="39" t="s">
        <v>12</v>
      </c>
      <c r="C14" s="33">
        <v>6</v>
      </c>
      <c r="D14" s="33">
        <v>96702</v>
      </c>
      <c r="E14" s="33">
        <v>2</v>
      </c>
      <c r="F14" s="33">
        <v>0</v>
      </c>
      <c r="G14" s="33">
        <f t="shared" si="6"/>
        <v>2</v>
      </c>
      <c r="H14" s="34" t="s">
        <v>13</v>
      </c>
      <c r="I14" s="34">
        <v>3</v>
      </c>
      <c r="J14" s="35" t="s">
        <v>1299</v>
      </c>
      <c r="K14" s="33">
        <f>(D14/C14)*2</f>
        <v>32234</v>
      </c>
      <c r="L14" s="33"/>
      <c r="M14" s="33"/>
      <c r="N14" s="33"/>
      <c r="O14" s="33">
        <f>(D14/C14)*3</f>
        <v>48351</v>
      </c>
      <c r="P14" s="33"/>
      <c r="Q14" s="33"/>
      <c r="R14" s="33"/>
      <c r="S14" s="33"/>
      <c r="T14" s="33"/>
      <c r="U14" s="33">
        <v>1</v>
      </c>
      <c r="V14" s="36">
        <f>(D14/C14)*1</f>
        <v>16117</v>
      </c>
      <c r="W14" s="36"/>
      <c r="X14" s="36"/>
      <c r="Y14" s="33">
        <f t="shared" si="3"/>
        <v>96702</v>
      </c>
      <c r="Z14" s="37" t="str">
        <f t="shared" si="4"/>
        <v/>
      </c>
      <c r="AA14" s="34"/>
      <c r="AB14" s="34"/>
      <c r="AC14" s="34"/>
      <c r="AD14" s="35"/>
    </row>
    <row r="15" spans="1:30" s="38" customFormat="1">
      <c r="A15" s="32" t="s">
        <v>14</v>
      </c>
      <c r="B15" s="32" t="s">
        <v>929</v>
      </c>
      <c r="C15" s="33">
        <v>2</v>
      </c>
      <c r="D15" s="33">
        <v>8443</v>
      </c>
      <c r="E15" s="33">
        <v>2</v>
      </c>
      <c r="F15" s="33">
        <v>0</v>
      </c>
      <c r="G15" s="33">
        <f t="shared" si="6"/>
        <v>2</v>
      </c>
      <c r="H15" s="34" t="s">
        <v>15</v>
      </c>
      <c r="I15" s="34">
        <v>0</v>
      </c>
      <c r="J15" s="34"/>
      <c r="K15" s="33">
        <f>D15</f>
        <v>8443</v>
      </c>
      <c r="L15" s="33"/>
      <c r="M15" s="33"/>
      <c r="N15" s="33"/>
      <c r="O15" s="33"/>
      <c r="P15" s="33"/>
      <c r="Q15" s="33"/>
      <c r="R15" s="33"/>
      <c r="S15" s="33"/>
      <c r="T15" s="33"/>
      <c r="U15" s="33">
        <f>C15-E15-I15</f>
        <v>0</v>
      </c>
      <c r="V15" s="33"/>
      <c r="W15" s="33"/>
      <c r="X15" s="33"/>
      <c r="Y15" s="33">
        <f t="shared" si="3"/>
        <v>8443</v>
      </c>
      <c r="Z15" s="37" t="str">
        <f t="shared" si="4"/>
        <v/>
      </c>
      <c r="AA15" s="34"/>
      <c r="AB15" s="34"/>
      <c r="AC15" s="34"/>
      <c r="AD15" s="34"/>
    </row>
    <row r="16" spans="1:30" s="38" customFormat="1">
      <c r="A16" s="32" t="s">
        <v>16</v>
      </c>
      <c r="B16" s="32" t="s">
        <v>17</v>
      </c>
      <c r="C16" s="33">
        <v>9</v>
      </c>
      <c r="D16" s="33">
        <v>24390</v>
      </c>
      <c r="E16" s="33">
        <v>1</v>
      </c>
      <c r="F16" s="33">
        <v>1</v>
      </c>
      <c r="G16" s="33">
        <f t="shared" si="6"/>
        <v>0</v>
      </c>
      <c r="H16" s="34" t="s">
        <v>15</v>
      </c>
      <c r="I16" s="34">
        <v>0</v>
      </c>
      <c r="J16" s="34"/>
      <c r="K16" s="33">
        <f>(D16/C16)*E16</f>
        <v>2710</v>
      </c>
      <c r="L16" s="33"/>
      <c r="M16" s="33"/>
      <c r="N16" s="33"/>
      <c r="O16" s="33"/>
      <c r="P16" s="33"/>
      <c r="Q16" s="33"/>
      <c r="R16" s="33"/>
      <c r="S16" s="33"/>
      <c r="T16" s="33"/>
      <c r="U16" s="33">
        <v>8</v>
      </c>
      <c r="V16" s="36"/>
      <c r="W16" s="36">
        <f>(D16/C16)*U16</f>
        <v>21680</v>
      </c>
      <c r="X16" s="34" t="s">
        <v>930</v>
      </c>
      <c r="Y16" s="33">
        <f t="shared" si="3"/>
        <v>24390</v>
      </c>
      <c r="Z16" s="37" t="str">
        <f t="shared" si="4"/>
        <v/>
      </c>
      <c r="AA16" s="34" t="s">
        <v>18</v>
      </c>
      <c r="AB16" s="34">
        <v>1</v>
      </c>
      <c r="AC16" s="34" t="s">
        <v>931</v>
      </c>
      <c r="AD16" s="34"/>
    </row>
    <row r="17" spans="1:30" s="38" customFormat="1">
      <c r="A17" s="32" t="s">
        <v>19</v>
      </c>
      <c r="B17" s="32" t="s">
        <v>19</v>
      </c>
      <c r="C17" s="33">
        <v>4</v>
      </c>
      <c r="D17" s="33">
        <v>13000</v>
      </c>
      <c r="E17" s="33">
        <v>4</v>
      </c>
      <c r="F17" s="33">
        <v>0</v>
      </c>
      <c r="G17" s="33">
        <f t="shared" si="6"/>
        <v>4</v>
      </c>
      <c r="H17" s="34" t="s">
        <v>15</v>
      </c>
      <c r="I17" s="34">
        <v>0</v>
      </c>
      <c r="J17" s="34"/>
      <c r="K17" s="33">
        <f t="shared" ref="K17:K23" si="7">D17</f>
        <v>13000</v>
      </c>
      <c r="L17" s="33"/>
      <c r="M17" s="33"/>
      <c r="N17" s="33"/>
      <c r="O17" s="33"/>
      <c r="P17" s="33"/>
      <c r="Q17" s="33"/>
      <c r="R17" s="33"/>
      <c r="S17" s="33"/>
      <c r="T17" s="33"/>
      <c r="U17" s="33">
        <f>C17-E17-I17</f>
        <v>0</v>
      </c>
      <c r="V17" s="36"/>
      <c r="W17" s="36"/>
      <c r="X17" s="36"/>
      <c r="Y17" s="33">
        <f t="shared" si="3"/>
        <v>13000</v>
      </c>
      <c r="Z17" s="37" t="str">
        <f t="shared" si="4"/>
        <v/>
      </c>
      <c r="AA17" s="34"/>
      <c r="AB17" s="34"/>
      <c r="AC17" s="34"/>
      <c r="AD17" s="34"/>
    </row>
    <row r="18" spans="1:30" s="38" customFormat="1">
      <c r="A18" s="32" t="s">
        <v>20</v>
      </c>
      <c r="B18" s="32" t="s">
        <v>21</v>
      </c>
      <c r="C18" s="33">
        <v>2</v>
      </c>
      <c r="D18" s="33">
        <v>2900</v>
      </c>
      <c r="E18" s="33">
        <f>5+9</f>
        <v>14</v>
      </c>
      <c r="F18" s="33">
        <v>0</v>
      </c>
      <c r="G18" s="33">
        <f t="shared" si="6"/>
        <v>14</v>
      </c>
      <c r="H18" s="34" t="s">
        <v>15</v>
      </c>
      <c r="I18" s="34">
        <v>0</v>
      </c>
      <c r="J18" s="34"/>
      <c r="K18" s="33">
        <f t="shared" si="7"/>
        <v>2900</v>
      </c>
      <c r="L18" s="33"/>
      <c r="M18" s="33"/>
      <c r="N18" s="33"/>
      <c r="O18" s="33"/>
      <c r="P18" s="33"/>
      <c r="Q18" s="33"/>
      <c r="R18" s="33"/>
      <c r="S18" s="33"/>
      <c r="T18" s="33"/>
      <c r="U18" s="33">
        <v>0</v>
      </c>
      <c r="V18" s="36"/>
      <c r="W18" s="36"/>
      <c r="X18" s="36"/>
      <c r="Y18" s="33">
        <f t="shared" si="3"/>
        <v>2900</v>
      </c>
      <c r="Z18" s="37" t="str">
        <f t="shared" si="4"/>
        <v/>
      </c>
      <c r="AA18" s="34"/>
      <c r="AB18" s="34"/>
      <c r="AC18" s="34"/>
      <c r="AD18" s="34"/>
    </row>
    <row r="19" spans="1:30" s="38" customFormat="1">
      <c r="A19" s="32" t="s">
        <v>22</v>
      </c>
      <c r="B19" s="32" t="s">
        <v>22</v>
      </c>
      <c r="C19" s="33">
        <v>2</v>
      </c>
      <c r="D19" s="33">
        <v>39220</v>
      </c>
      <c r="E19" s="33">
        <v>2</v>
      </c>
      <c r="F19" s="33">
        <v>0</v>
      </c>
      <c r="G19" s="33">
        <f t="shared" si="6"/>
        <v>2</v>
      </c>
      <c r="H19" s="34" t="s">
        <v>23</v>
      </c>
      <c r="I19" s="34">
        <v>0</v>
      </c>
      <c r="J19" s="34"/>
      <c r="K19" s="33">
        <f t="shared" si="7"/>
        <v>39220</v>
      </c>
      <c r="L19" s="33"/>
      <c r="M19" s="33"/>
      <c r="N19" s="33"/>
      <c r="O19" s="33"/>
      <c r="P19" s="33"/>
      <c r="Q19" s="33"/>
      <c r="R19" s="33"/>
      <c r="S19" s="33"/>
      <c r="T19" s="33"/>
      <c r="U19" s="33">
        <f>C19-E19-I19</f>
        <v>0</v>
      </c>
      <c r="V19" s="36"/>
      <c r="W19" s="36"/>
      <c r="X19" s="36"/>
      <c r="Y19" s="33">
        <f t="shared" si="3"/>
        <v>39220</v>
      </c>
      <c r="Z19" s="37" t="str">
        <f t="shared" si="4"/>
        <v/>
      </c>
      <c r="AA19" s="34"/>
      <c r="AB19" s="34"/>
      <c r="AC19" s="34"/>
      <c r="AD19" s="34"/>
    </row>
    <row r="20" spans="1:30" s="38" customFormat="1">
      <c r="A20" s="32" t="s">
        <v>24</v>
      </c>
      <c r="B20" s="32" t="s">
        <v>932</v>
      </c>
      <c r="C20" s="33">
        <v>1</v>
      </c>
      <c r="D20" s="33">
        <v>150</v>
      </c>
      <c r="E20" s="33">
        <v>1</v>
      </c>
      <c r="F20" s="33">
        <v>0</v>
      </c>
      <c r="G20" s="33">
        <f t="shared" si="6"/>
        <v>1</v>
      </c>
      <c r="H20" s="34" t="s">
        <v>25</v>
      </c>
      <c r="I20" s="34">
        <v>0</v>
      </c>
      <c r="J20" s="34"/>
      <c r="K20" s="33">
        <f t="shared" si="7"/>
        <v>150</v>
      </c>
      <c r="L20" s="33"/>
      <c r="M20" s="33"/>
      <c r="N20" s="33"/>
      <c r="O20" s="33"/>
      <c r="P20" s="33"/>
      <c r="Q20" s="33"/>
      <c r="R20" s="33"/>
      <c r="S20" s="33"/>
      <c r="T20" s="33"/>
      <c r="U20" s="33">
        <f>C20-E20-I20</f>
        <v>0</v>
      </c>
      <c r="V20" s="33"/>
      <c r="W20" s="33"/>
      <c r="X20" s="33"/>
      <c r="Y20" s="33">
        <f t="shared" si="3"/>
        <v>150</v>
      </c>
      <c r="Z20" s="37" t="str">
        <f t="shared" si="4"/>
        <v/>
      </c>
      <c r="AA20" s="34"/>
      <c r="AB20" s="34"/>
      <c r="AC20" s="34"/>
      <c r="AD20" s="34"/>
    </row>
    <row r="21" spans="1:30" s="38" customFormat="1">
      <c r="A21" s="32" t="s">
        <v>26</v>
      </c>
      <c r="B21" s="32" t="s">
        <v>933</v>
      </c>
      <c r="C21" s="33">
        <v>1</v>
      </c>
      <c r="D21" s="33">
        <v>200</v>
      </c>
      <c r="E21" s="33">
        <v>1</v>
      </c>
      <c r="F21" s="33">
        <v>0</v>
      </c>
      <c r="G21" s="33">
        <f t="shared" si="6"/>
        <v>1</v>
      </c>
      <c r="H21" s="34" t="s">
        <v>25</v>
      </c>
      <c r="I21" s="34">
        <v>0</v>
      </c>
      <c r="J21" s="34"/>
      <c r="K21" s="33">
        <f t="shared" si="7"/>
        <v>200</v>
      </c>
      <c r="L21" s="33"/>
      <c r="M21" s="33"/>
      <c r="N21" s="33"/>
      <c r="O21" s="33"/>
      <c r="P21" s="33"/>
      <c r="Q21" s="33"/>
      <c r="R21" s="33"/>
      <c r="S21" s="33"/>
      <c r="T21" s="33"/>
      <c r="U21" s="33">
        <f>C21-E21-I21</f>
        <v>0</v>
      </c>
      <c r="V21" s="33"/>
      <c r="W21" s="33"/>
      <c r="X21" s="33"/>
      <c r="Y21" s="33">
        <f t="shared" si="3"/>
        <v>200</v>
      </c>
      <c r="Z21" s="37" t="str">
        <f t="shared" si="4"/>
        <v/>
      </c>
      <c r="AA21" s="34"/>
      <c r="AB21" s="34"/>
      <c r="AC21" s="34"/>
      <c r="AD21" s="34"/>
    </row>
    <row r="22" spans="1:30" s="38" customFormat="1">
      <c r="A22" s="39" t="s">
        <v>27</v>
      </c>
      <c r="B22" s="39" t="s">
        <v>934</v>
      </c>
      <c r="C22" s="33">
        <v>1</v>
      </c>
      <c r="D22" s="33">
        <v>1280</v>
      </c>
      <c r="E22" s="33">
        <v>1</v>
      </c>
      <c r="F22" s="33">
        <v>0</v>
      </c>
      <c r="G22" s="33">
        <f t="shared" si="6"/>
        <v>1</v>
      </c>
      <c r="H22" s="34" t="s">
        <v>25</v>
      </c>
      <c r="I22" s="34">
        <v>0</v>
      </c>
      <c r="J22" s="34"/>
      <c r="K22" s="33">
        <f t="shared" si="7"/>
        <v>1280</v>
      </c>
      <c r="L22" s="33"/>
      <c r="M22" s="33"/>
      <c r="N22" s="33"/>
      <c r="O22" s="33"/>
      <c r="P22" s="33"/>
      <c r="Q22" s="33"/>
      <c r="R22" s="33"/>
      <c r="S22" s="33"/>
      <c r="T22" s="33"/>
      <c r="U22" s="33">
        <f>C22-E22-I22</f>
        <v>0</v>
      </c>
      <c r="V22" s="36"/>
      <c r="W22" s="36"/>
      <c r="X22" s="36"/>
      <c r="Y22" s="33">
        <f t="shared" si="3"/>
        <v>1280</v>
      </c>
      <c r="Z22" s="37" t="str">
        <f t="shared" si="4"/>
        <v/>
      </c>
      <c r="AA22" s="34"/>
      <c r="AB22" s="34"/>
      <c r="AC22" s="34"/>
      <c r="AD22" s="34"/>
    </row>
    <row r="23" spans="1:30" s="38" customFormat="1">
      <c r="A23" s="32" t="s">
        <v>28</v>
      </c>
      <c r="B23" s="32" t="s">
        <v>935</v>
      </c>
      <c r="C23" s="33">
        <v>1</v>
      </c>
      <c r="D23" s="33">
        <v>550</v>
      </c>
      <c r="E23" s="33">
        <v>4</v>
      </c>
      <c r="F23" s="33">
        <v>0</v>
      </c>
      <c r="G23" s="33">
        <f t="shared" si="6"/>
        <v>4</v>
      </c>
      <c r="H23" s="34" t="s">
        <v>3</v>
      </c>
      <c r="I23" s="34">
        <v>0</v>
      </c>
      <c r="J23" s="34"/>
      <c r="K23" s="33">
        <f t="shared" si="7"/>
        <v>550</v>
      </c>
      <c r="L23" s="33"/>
      <c r="M23" s="33"/>
      <c r="N23" s="33"/>
      <c r="O23" s="33"/>
      <c r="P23" s="33"/>
      <c r="Q23" s="33"/>
      <c r="R23" s="33"/>
      <c r="S23" s="33"/>
      <c r="T23" s="33"/>
      <c r="U23" s="33">
        <v>0</v>
      </c>
      <c r="V23" s="36"/>
      <c r="W23" s="36"/>
      <c r="X23" s="36"/>
      <c r="Y23" s="33">
        <f t="shared" si="3"/>
        <v>550</v>
      </c>
      <c r="Z23" s="37" t="str">
        <f t="shared" si="4"/>
        <v/>
      </c>
      <c r="AA23" s="34"/>
      <c r="AB23" s="34"/>
      <c r="AC23" s="34"/>
      <c r="AD23" s="34"/>
    </row>
    <row r="24" spans="1:30" s="38" customFormat="1" ht="13.5">
      <c r="A24" s="32" t="s">
        <v>29</v>
      </c>
      <c r="B24" s="32" t="s">
        <v>936</v>
      </c>
      <c r="C24" s="33">
        <v>7</v>
      </c>
      <c r="D24" s="33">
        <v>5760</v>
      </c>
      <c r="E24" s="33">
        <v>0</v>
      </c>
      <c r="F24" s="33">
        <v>0</v>
      </c>
      <c r="G24" s="33">
        <f t="shared" si="6"/>
        <v>0</v>
      </c>
      <c r="H24" s="34" t="s">
        <v>7</v>
      </c>
      <c r="I24" s="34">
        <f>4+2</f>
        <v>6</v>
      </c>
      <c r="J24" s="184" t="s">
        <v>2270</v>
      </c>
      <c r="K24" s="33">
        <f>(D24/C24)*E24</f>
        <v>0</v>
      </c>
      <c r="L24" s="33"/>
      <c r="M24" s="33"/>
      <c r="N24" s="33"/>
      <c r="O24" s="33"/>
      <c r="P24" s="33"/>
      <c r="Q24" s="33"/>
      <c r="R24" s="33">
        <f>(D24/C24)*7</f>
        <v>5760</v>
      </c>
      <c r="S24" s="33"/>
      <c r="T24" s="33"/>
      <c r="U24" s="33">
        <v>0</v>
      </c>
      <c r="V24" s="36"/>
      <c r="W24" s="36"/>
      <c r="X24" s="36"/>
      <c r="Y24" s="33">
        <f t="shared" si="3"/>
        <v>5760</v>
      </c>
      <c r="Z24" s="37" t="str">
        <f t="shared" si="4"/>
        <v/>
      </c>
      <c r="AA24" s="34"/>
      <c r="AB24" s="34"/>
      <c r="AC24" s="34"/>
      <c r="AD24" s="35" t="s">
        <v>1300</v>
      </c>
    </row>
    <row r="25" spans="1:30" s="38" customFormat="1">
      <c r="A25" s="32" t="s">
        <v>30</v>
      </c>
      <c r="B25" s="32" t="s">
        <v>937</v>
      </c>
      <c r="C25" s="33">
        <v>4</v>
      </c>
      <c r="D25" s="33">
        <v>1000</v>
      </c>
      <c r="E25" s="33">
        <v>1</v>
      </c>
      <c r="F25" s="33">
        <v>0</v>
      </c>
      <c r="G25" s="33">
        <f t="shared" si="6"/>
        <v>1</v>
      </c>
      <c r="H25" s="34" t="s">
        <v>3</v>
      </c>
      <c r="I25" s="34">
        <v>3</v>
      </c>
      <c r="J25" s="34" t="s">
        <v>938</v>
      </c>
      <c r="K25" s="33">
        <f>(D25/C25)*E25</f>
        <v>250</v>
      </c>
      <c r="L25" s="33"/>
      <c r="M25" s="33"/>
      <c r="N25" s="33"/>
      <c r="O25" s="33"/>
      <c r="P25" s="33"/>
      <c r="Q25" s="33"/>
      <c r="R25" s="33"/>
      <c r="S25" s="33"/>
      <c r="T25" s="33">
        <f>(D25/C25)*I25</f>
        <v>750</v>
      </c>
      <c r="U25" s="33">
        <f>C25-E25-I25</f>
        <v>0</v>
      </c>
      <c r="V25" s="36"/>
      <c r="W25" s="36"/>
      <c r="X25" s="36"/>
      <c r="Y25" s="33">
        <f t="shared" si="3"/>
        <v>1000</v>
      </c>
      <c r="Z25" s="37" t="str">
        <f t="shared" si="4"/>
        <v/>
      </c>
      <c r="AA25" s="34"/>
      <c r="AB25" s="34"/>
      <c r="AC25" s="34"/>
      <c r="AD25" s="34"/>
    </row>
    <row r="26" spans="1:30" s="38" customFormat="1">
      <c r="A26" s="39" t="s">
        <v>31</v>
      </c>
      <c r="B26" s="39" t="s">
        <v>939</v>
      </c>
      <c r="C26" s="33">
        <v>40</v>
      </c>
      <c r="D26" s="33">
        <v>480</v>
      </c>
      <c r="E26" s="33">
        <v>30</v>
      </c>
      <c r="F26" s="33">
        <v>0</v>
      </c>
      <c r="G26" s="33">
        <f t="shared" si="6"/>
        <v>30</v>
      </c>
      <c r="H26" s="34" t="s">
        <v>7</v>
      </c>
      <c r="I26" s="34">
        <v>10</v>
      </c>
      <c r="J26" s="34" t="s">
        <v>940</v>
      </c>
      <c r="K26" s="33">
        <f>(D26/C26)*E26</f>
        <v>360</v>
      </c>
      <c r="L26" s="33"/>
      <c r="M26" s="33"/>
      <c r="N26" s="33"/>
      <c r="O26" s="33"/>
      <c r="P26" s="33"/>
      <c r="Q26" s="33"/>
      <c r="R26" s="33"/>
      <c r="S26" s="33">
        <f>(D26/C26)*I26</f>
        <v>120</v>
      </c>
      <c r="T26" s="33"/>
      <c r="U26" s="33">
        <f>C26-E26-I26</f>
        <v>0</v>
      </c>
      <c r="V26" s="36"/>
      <c r="W26" s="36"/>
      <c r="X26" s="36"/>
      <c r="Y26" s="33">
        <f t="shared" si="3"/>
        <v>480</v>
      </c>
      <c r="Z26" s="37" t="str">
        <f t="shared" si="4"/>
        <v/>
      </c>
      <c r="AA26" s="34"/>
      <c r="AB26" s="34"/>
      <c r="AC26" s="34"/>
      <c r="AD26" s="34"/>
    </row>
    <row r="27" spans="1:30" s="38" customFormat="1">
      <c r="A27" s="39" t="s">
        <v>32</v>
      </c>
      <c r="B27" s="39" t="s">
        <v>941</v>
      </c>
      <c r="C27" s="33">
        <v>22</v>
      </c>
      <c r="D27" s="33">
        <v>72600</v>
      </c>
      <c r="E27" s="33">
        <v>21</v>
      </c>
      <c r="F27" s="33">
        <v>0</v>
      </c>
      <c r="G27" s="33">
        <f t="shared" si="6"/>
        <v>21</v>
      </c>
      <c r="H27" s="34" t="s">
        <v>7</v>
      </c>
      <c r="I27" s="34">
        <v>0</v>
      </c>
      <c r="J27" s="34"/>
      <c r="K27" s="33">
        <f>(D27/C27)*E27</f>
        <v>69300</v>
      </c>
      <c r="L27" s="33"/>
      <c r="M27" s="33"/>
      <c r="N27" s="33"/>
      <c r="O27" s="33"/>
      <c r="P27" s="33"/>
      <c r="Q27" s="33"/>
      <c r="R27" s="33"/>
      <c r="S27" s="33"/>
      <c r="T27" s="33"/>
      <c r="U27" s="33">
        <f>C27-E27-I27</f>
        <v>1</v>
      </c>
      <c r="V27" s="36">
        <f>(D27/C27)*U27</f>
        <v>3300</v>
      </c>
      <c r="W27" s="36"/>
      <c r="X27" s="36"/>
      <c r="Y27" s="33">
        <f t="shared" si="3"/>
        <v>72600</v>
      </c>
      <c r="Z27" s="37" t="str">
        <f t="shared" si="4"/>
        <v/>
      </c>
      <c r="AA27" s="34"/>
      <c r="AB27" s="34"/>
      <c r="AC27" s="34"/>
      <c r="AD27" s="34"/>
    </row>
    <row r="28" spans="1:30" s="38" customFormat="1">
      <c r="A28" s="39" t="s">
        <v>33</v>
      </c>
      <c r="B28" s="39" t="s">
        <v>942</v>
      </c>
      <c r="C28" s="33">
        <v>56</v>
      </c>
      <c r="D28" s="33">
        <v>17080</v>
      </c>
      <c r="E28" s="33">
        <v>0</v>
      </c>
      <c r="F28" s="33">
        <v>0</v>
      </c>
      <c r="G28" s="33">
        <f t="shared" si="6"/>
        <v>0</v>
      </c>
      <c r="H28" s="34"/>
      <c r="I28" s="34">
        <v>56</v>
      </c>
      <c r="J28" s="34" t="s">
        <v>943</v>
      </c>
      <c r="K28" s="33"/>
      <c r="L28" s="33">
        <f>(D28/C28)*56</f>
        <v>17080</v>
      </c>
      <c r="M28" s="33"/>
      <c r="N28" s="33"/>
      <c r="O28" s="33"/>
      <c r="P28" s="33"/>
      <c r="Q28" s="33"/>
      <c r="R28" s="33"/>
      <c r="S28" s="33"/>
      <c r="T28" s="33"/>
      <c r="U28" s="33">
        <v>0</v>
      </c>
      <c r="V28" s="33"/>
      <c r="W28" s="33"/>
      <c r="X28" s="33"/>
      <c r="Y28" s="33">
        <f t="shared" si="3"/>
        <v>17080</v>
      </c>
      <c r="Z28" s="37" t="str">
        <f t="shared" si="4"/>
        <v/>
      </c>
      <c r="AA28" s="34"/>
      <c r="AB28" s="34"/>
      <c r="AC28" s="34"/>
      <c r="AD28" s="35"/>
    </row>
    <row r="29" spans="1:30" s="38" customFormat="1">
      <c r="A29" s="39" t="s">
        <v>34</v>
      </c>
      <c r="B29" s="39" t="s">
        <v>944</v>
      </c>
      <c r="C29" s="33">
        <v>26</v>
      </c>
      <c r="D29" s="33">
        <v>2860</v>
      </c>
      <c r="E29" s="33">
        <v>0</v>
      </c>
      <c r="F29" s="33">
        <v>0</v>
      </c>
      <c r="G29" s="33">
        <f t="shared" si="6"/>
        <v>0</v>
      </c>
      <c r="H29" s="34"/>
      <c r="I29" s="34">
        <v>26</v>
      </c>
      <c r="J29" s="34" t="s">
        <v>945</v>
      </c>
      <c r="K29" s="33"/>
      <c r="L29" s="48">
        <f>(D29/C29)*C29</f>
        <v>2860</v>
      </c>
      <c r="M29" s="48"/>
      <c r="N29" s="48"/>
      <c r="O29" s="48"/>
      <c r="P29" s="48"/>
      <c r="Q29" s="48"/>
      <c r="R29" s="48"/>
      <c r="S29" s="48"/>
      <c r="T29" s="48"/>
      <c r="U29" s="33">
        <f t="shared" ref="U29:U35" si="8">C29-E29-I29</f>
        <v>0</v>
      </c>
      <c r="V29" s="36"/>
      <c r="W29" s="49"/>
      <c r="X29" s="49"/>
      <c r="Y29" s="33">
        <f t="shared" si="3"/>
        <v>2860</v>
      </c>
      <c r="Z29" s="37" t="str">
        <f t="shared" si="4"/>
        <v/>
      </c>
      <c r="AA29" s="50"/>
      <c r="AB29" s="50"/>
      <c r="AC29" s="34"/>
      <c r="AD29" s="34"/>
    </row>
    <row r="30" spans="1:30" s="38" customFormat="1">
      <c r="A30" s="39" t="s">
        <v>35</v>
      </c>
      <c r="B30" s="39" t="s">
        <v>946</v>
      </c>
      <c r="C30" s="33">
        <v>8</v>
      </c>
      <c r="D30" s="33">
        <v>2080</v>
      </c>
      <c r="E30" s="33">
        <v>0</v>
      </c>
      <c r="F30" s="33">
        <v>0</v>
      </c>
      <c r="G30" s="33">
        <f t="shared" si="6"/>
        <v>0</v>
      </c>
      <c r="H30" s="34"/>
      <c r="I30" s="34">
        <v>8</v>
      </c>
      <c r="J30" s="34" t="s">
        <v>947</v>
      </c>
      <c r="K30" s="33"/>
      <c r="L30" s="33">
        <f>(D30/C30)*C30</f>
        <v>2080</v>
      </c>
      <c r="M30" s="33"/>
      <c r="N30" s="33"/>
      <c r="O30" s="33"/>
      <c r="P30" s="33"/>
      <c r="Q30" s="33"/>
      <c r="R30" s="33"/>
      <c r="S30" s="33"/>
      <c r="T30" s="33"/>
      <c r="U30" s="33">
        <f t="shared" si="8"/>
        <v>0</v>
      </c>
      <c r="V30" s="36"/>
      <c r="W30" s="36"/>
      <c r="X30" s="36"/>
      <c r="Y30" s="33">
        <f t="shared" si="3"/>
        <v>2080</v>
      </c>
      <c r="Z30" s="37" t="str">
        <f t="shared" si="4"/>
        <v/>
      </c>
      <c r="AA30" s="34"/>
      <c r="AB30" s="34"/>
      <c r="AC30" s="34"/>
      <c r="AD30" s="34"/>
    </row>
    <row r="31" spans="1:30" s="38" customFormat="1">
      <c r="A31" s="39" t="s">
        <v>36</v>
      </c>
      <c r="B31" s="39" t="s">
        <v>948</v>
      </c>
      <c r="C31" s="33">
        <v>100</v>
      </c>
      <c r="D31" s="33">
        <v>1100</v>
      </c>
      <c r="E31" s="33">
        <v>0</v>
      </c>
      <c r="F31" s="33">
        <v>0</v>
      </c>
      <c r="G31" s="33">
        <f t="shared" si="6"/>
        <v>0</v>
      </c>
      <c r="H31" s="34"/>
      <c r="I31" s="34">
        <v>100</v>
      </c>
      <c r="J31" s="34" t="s">
        <v>949</v>
      </c>
      <c r="K31" s="33"/>
      <c r="L31" s="33">
        <f>(D31/C31)*C31</f>
        <v>1100</v>
      </c>
      <c r="M31" s="33"/>
      <c r="N31" s="33"/>
      <c r="O31" s="33"/>
      <c r="P31" s="33"/>
      <c r="Q31" s="33"/>
      <c r="R31" s="33"/>
      <c r="S31" s="33"/>
      <c r="T31" s="33"/>
      <c r="U31" s="33">
        <f t="shared" si="8"/>
        <v>0</v>
      </c>
      <c r="V31" s="33"/>
      <c r="W31" s="33"/>
      <c r="X31" s="33"/>
      <c r="Y31" s="33">
        <f t="shared" si="3"/>
        <v>1100</v>
      </c>
      <c r="Z31" s="37" t="str">
        <f t="shared" si="4"/>
        <v/>
      </c>
      <c r="AA31" s="34"/>
      <c r="AB31" s="34"/>
      <c r="AC31" s="34"/>
      <c r="AD31" s="34"/>
    </row>
    <row r="32" spans="1:30" s="38" customFormat="1">
      <c r="A32" s="39" t="s">
        <v>37</v>
      </c>
      <c r="B32" s="39" t="s">
        <v>950</v>
      </c>
      <c r="C32" s="33">
        <v>100</v>
      </c>
      <c r="D32" s="33">
        <v>1600</v>
      </c>
      <c r="E32" s="33">
        <v>0</v>
      </c>
      <c r="F32" s="33">
        <v>0</v>
      </c>
      <c r="G32" s="33">
        <f t="shared" si="6"/>
        <v>0</v>
      </c>
      <c r="H32" s="34"/>
      <c r="I32" s="34">
        <v>100</v>
      </c>
      <c r="J32" s="34" t="s">
        <v>949</v>
      </c>
      <c r="K32" s="33"/>
      <c r="L32" s="33">
        <f>(D32/C32)*C32</f>
        <v>1600</v>
      </c>
      <c r="M32" s="33"/>
      <c r="N32" s="33"/>
      <c r="O32" s="33"/>
      <c r="P32" s="33"/>
      <c r="Q32" s="33"/>
      <c r="R32" s="33"/>
      <c r="S32" s="33"/>
      <c r="T32" s="33"/>
      <c r="U32" s="33">
        <f t="shared" si="8"/>
        <v>0</v>
      </c>
      <c r="V32" s="33"/>
      <c r="W32" s="33"/>
      <c r="X32" s="33"/>
      <c r="Y32" s="33">
        <f t="shared" si="3"/>
        <v>1600</v>
      </c>
      <c r="Z32" s="37" t="str">
        <f t="shared" si="4"/>
        <v/>
      </c>
      <c r="AA32" s="34"/>
      <c r="AB32" s="34"/>
      <c r="AC32" s="34"/>
      <c r="AD32" s="34"/>
    </row>
    <row r="33" spans="1:30" s="38" customFormat="1">
      <c r="A33" s="39" t="s">
        <v>1821</v>
      </c>
      <c r="B33" s="39" t="s">
        <v>951</v>
      </c>
      <c r="C33" s="33">
        <v>1</v>
      </c>
      <c r="D33" s="33">
        <v>46500</v>
      </c>
      <c r="E33" s="33">
        <v>1</v>
      </c>
      <c r="F33" s="33">
        <v>1</v>
      </c>
      <c r="G33" s="33">
        <f t="shared" si="6"/>
        <v>0</v>
      </c>
      <c r="H33" s="34" t="s">
        <v>38</v>
      </c>
      <c r="I33" s="34">
        <v>0</v>
      </c>
      <c r="J33" s="34"/>
      <c r="K33" s="33">
        <f>D33</f>
        <v>46500</v>
      </c>
      <c r="L33" s="33"/>
      <c r="M33" s="33"/>
      <c r="N33" s="33"/>
      <c r="O33" s="33"/>
      <c r="P33" s="33"/>
      <c r="Q33" s="33"/>
      <c r="R33" s="33"/>
      <c r="S33" s="33"/>
      <c r="T33" s="33"/>
      <c r="U33" s="33">
        <f t="shared" si="8"/>
        <v>0</v>
      </c>
      <c r="V33" s="33"/>
      <c r="W33" s="33"/>
      <c r="X33" s="33"/>
      <c r="Y33" s="33">
        <f t="shared" si="3"/>
        <v>46500</v>
      </c>
      <c r="Z33" s="37" t="str">
        <f t="shared" si="4"/>
        <v/>
      </c>
      <c r="AA33" s="34" t="s">
        <v>39</v>
      </c>
      <c r="AB33" s="34">
        <v>1</v>
      </c>
      <c r="AC33" s="34" t="s">
        <v>952</v>
      </c>
      <c r="AD33" s="34"/>
    </row>
    <row r="34" spans="1:30" s="38" customFormat="1">
      <c r="A34" s="32" t="s">
        <v>40</v>
      </c>
      <c r="B34" s="32" t="s">
        <v>953</v>
      </c>
      <c r="C34" s="33">
        <v>2</v>
      </c>
      <c r="D34" s="33">
        <v>2400</v>
      </c>
      <c r="E34" s="33">
        <v>2</v>
      </c>
      <c r="F34" s="33">
        <v>0</v>
      </c>
      <c r="G34" s="33">
        <f t="shared" si="6"/>
        <v>2</v>
      </c>
      <c r="H34" s="34" t="s">
        <v>25</v>
      </c>
      <c r="I34" s="34">
        <v>0</v>
      </c>
      <c r="J34" s="34"/>
      <c r="K34" s="33">
        <f>D34</f>
        <v>2400</v>
      </c>
      <c r="L34" s="33"/>
      <c r="M34" s="33"/>
      <c r="N34" s="33"/>
      <c r="O34" s="33"/>
      <c r="P34" s="33"/>
      <c r="Q34" s="33"/>
      <c r="R34" s="33"/>
      <c r="S34" s="33"/>
      <c r="T34" s="33"/>
      <c r="U34" s="33">
        <f t="shared" si="8"/>
        <v>0</v>
      </c>
      <c r="V34" s="36"/>
      <c r="W34" s="36"/>
      <c r="X34" s="36"/>
      <c r="Y34" s="33">
        <f t="shared" si="3"/>
        <v>2400</v>
      </c>
      <c r="Z34" s="37" t="str">
        <f t="shared" si="4"/>
        <v/>
      </c>
      <c r="AA34" s="34"/>
      <c r="AB34" s="34"/>
      <c r="AC34" s="34"/>
      <c r="AD34" s="34"/>
    </row>
    <row r="35" spans="1:30" s="38" customFormat="1" ht="25.5">
      <c r="A35" s="39" t="s">
        <v>41</v>
      </c>
      <c r="B35" s="39" t="s">
        <v>954</v>
      </c>
      <c r="C35" s="33">
        <v>40</v>
      </c>
      <c r="D35" s="33">
        <v>4495</v>
      </c>
      <c r="E35" s="33">
        <v>35</v>
      </c>
      <c r="F35" s="33">
        <v>0</v>
      </c>
      <c r="G35" s="33">
        <f t="shared" si="6"/>
        <v>35</v>
      </c>
      <c r="H35" s="34" t="s">
        <v>25</v>
      </c>
      <c r="I35" s="34">
        <v>2</v>
      </c>
      <c r="J35" s="35" t="s">
        <v>955</v>
      </c>
      <c r="K35" s="33">
        <f>(D35/C35)*35</f>
        <v>3933.125</v>
      </c>
      <c r="L35" s="33">
        <f>(D35/C35)*1</f>
        <v>112.375</v>
      </c>
      <c r="M35" s="33"/>
      <c r="N35" s="33"/>
      <c r="O35" s="33"/>
      <c r="P35" s="33"/>
      <c r="Q35" s="33"/>
      <c r="R35" s="33"/>
      <c r="S35" s="33"/>
      <c r="T35" s="33">
        <f>(D35/C35)*1</f>
        <v>112.375</v>
      </c>
      <c r="U35" s="33">
        <f t="shared" si="8"/>
        <v>3</v>
      </c>
      <c r="V35" s="36">
        <f>(D35/C35)*3</f>
        <v>337.125</v>
      </c>
      <c r="W35" s="36"/>
      <c r="X35" s="36"/>
      <c r="Y35" s="33">
        <f t="shared" si="3"/>
        <v>4495</v>
      </c>
      <c r="Z35" s="37" t="str">
        <f t="shared" si="4"/>
        <v/>
      </c>
      <c r="AA35" s="34"/>
      <c r="AB35" s="34"/>
      <c r="AC35" s="34"/>
      <c r="AD35" s="34"/>
    </row>
    <row r="36" spans="1:30" s="38" customFormat="1" ht="25.5">
      <c r="A36" s="32" t="s">
        <v>1919</v>
      </c>
      <c r="B36" s="32" t="s">
        <v>42</v>
      </c>
      <c r="C36" s="33">
        <v>5</v>
      </c>
      <c r="D36" s="33">
        <v>6825</v>
      </c>
      <c r="E36" s="33">
        <f>7-1</f>
        <v>6</v>
      </c>
      <c r="F36" s="33">
        <v>1</v>
      </c>
      <c r="G36" s="33">
        <f t="shared" si="6"/>
        <v>5</v>
      </c>
      <c r="H36" s="34" t="s">
        <v>43</v>
      </c>
      <c r="I36" s="34">
        <v>0</v>
      </c>
      <c r="J36" s="35" t="s">
        <v>1944</v>
      </c>
      <c r="K36" s="33">
        <f>(D36/C36)*4</f>
        <v>5460</v>
      </c>
      <c r="L36" s="33"/>
      <c r="M36" s="33"/>
      <c r="N36" s="33"/>
      <c r="O36" s="33"/>
      <c r="P36" s="33"/>
      <c r="Q36" s="33"/>
      <c r="R36" s="33"/>
      <c r="S36" s="33"/>
      <c r="T36" s="33">
        <f>(D36/C36)*1</f>
        <v>1365</v>
      </c>
      <c r="U36" s="33">
        <v>0</v>
      </c>
      <c r="V36" s="36"/>
      <c r="W36" s="33"/>
      <c r="X36" s="33"/>
      <c r="Y36" s="33">
        <f t="shared" si="3"/>
        <v>6825</v>
      </c>
      <c r="Z36" s="37" t="str">
        <f t="shared" si="4"/>
        <v/>
      </c>
      <c r="AA36" s="35" t="s">
        <v>44</v>
      </c>
      <c r="AB36" s="35">
        <v>1</v>
      </c>
      <c r="AC36" s="35" t="s">
        <v>956</v>
      </c>
      <c r="AD36" s="35"/>
    </row>
    <row r="37" spans="1:30" s="38" customFormat="1">
      <c r="A37" s="32" t="s">
        <v>45</v>
      </c>
      <c r="B37" s="32" t="s">
        <v>957</v>
      </c>
      <c r="C37" s="33">
        <v>26</v>
      </c>
      <c r="D37" s="33">
        <v>68270</v>
      </c>
      <c r="E37" s="33">
        <v>4</v>
      </c>
      <c r="F37" s="33">
        <v>0</v>
      </c>
      <c r="G37" s="33">
        <f t="shared" si="6"/>
        <v>4</v>
      </c>
      <c r="H37" s="34" t="s">
        <v>15</v>
      </c>
      <c r="I37" s="34">
        <v>22</v>
      </c>
      <c r="J37" s="34" t="s">
        <v>1301</v>
      </c>
      <c r="K37" s="33">
        <f>(D37/C37)*E37</f>
        <v>10503.076923076924</v>
      </c>
      <c r="L37" s="33"/>
      <c r="M37" s="33"/>
      <c r="N37" s="33"/>
      <c r="O37" s="33"/>
      <c r="P37" s="33"/>
      <c r="Q37" s="33"/>
      <c r="R37" s="33">
        <f>(D37/C37)*22</f>
        <v>57766.923076923078</v>
      </c>
      <c r="S37" s="33"/>
      <c r="T37" s="33"/>
      <c r="U37" s="33">
        <v>0</v>
      </c>
      <c r="V37" s="36"/>
      <c r="W37" s="36"/>
      <c r="X37" s="36"/>
      <c r="Y37" s="33">
        <f t="shared" si="3"/>
        <v>68270</v>
      </c>
      <c r="Z37" s="37" t="str">
        <f t="shared" si="4"/>
        <v/>
      </c>
      <c r="AA37" s="34"/>
      <c r="AB37" s="34"/>
      <c r="AC37" s="34"/>
      <c r="AD37" s="34"/>
    </row>
    <row r="38" spans="1:30" s="38" customFormat="1">
      <c r="A38" s="46" t="s">
        <v>46</v>
      </c>
      <c r="B38" s="46" t="s">
        <v>958</v>
      </c>
      <c r="C38" s="33">
        <v>2</v>
      </c>
      <c r="D38" s="33">
        <v>16360</v>
      </c>
      <c r="E38" s="33">
        <v>2</v>
      </c>
      <c r="F38" s="33">
        <v>0</v>
      </c>
      <c r="G38" s="33">
        <f t="shared" si="6"/>
        <v>2</v>
      </c>
      <c r="H38" s="34" t="s">
        <v>15</v>
      </c>
      <c r="I38" s="34">
        <v>0</v>
      </c>
      <c r="J38" s="34"/>
      <c r="K38" s="33">
        <f>D38</f>
        <v>16360</v>
      </c>
      <c r="L38" s="33"/>
      <c r="M38" s="33"/>
      <c r="N38" s="33"/>
      <c r="O38" s="33"/>
      <c r="P38" s="33"/>
      <c r="Q38" s="33"/>
      <c r="R38" s="33"/>
      <c r="S38" s="33"/>
      <c r="T38" s="33"/>
      <c r="U38" s="33">
        <f>C38-E38-I38</f>
        <v>0</v>
      </c>
      <c r="V38" s="36"/>
      <c r="W38" s="36"/>
      <c r="X38" s="36"/>
      <c r="Y38" s="33">
        <f t="shared" si="3"/>
        <v>16360</v>
      </c>
      <c r="Z38" s="37" t="str">
        <f t="shared" si="4"/>
        <v/>
      </c>
      <c r="AA38" s="34"/>
      <c r="AB38" s="34"/>
      <c r="AC38" s="34"/>
      <c r="AD38" s="34"/>
    </row>
    <row r="39" spans="1:30" s="38" customFormat="1" ht="40.5">
      <c r="A39" s="39" t="s">
        <v>1740</v>
      </c>
      <c r="B39" s="39" t="s">
        <v>959</v>
      </c>
      <c r="C39" s="33">
        <v>1</v>
      </c>
      <c r="D39" s="33">
        <v>6361</v>
      </c>
      <c r="E39" s="33">
        <v>3</v>
      </c>
      <c r="F39" s="33">
        <v>0</v>
      </c>
      <c r="G39" s="33">
        <f t="shared" si="6"/>
        <v>3</v>
      </c>
      <c r="H39" s="34" t="s">
        <v>47</v>
      </c>
      <c r="I39" s="34">
        <v>1</v>
      </c>
      <c r="J39" s="55" t="s">
        <v>1951</v>
      </c>
      <c r="K39" s="33"/>
      <c r="L39" s="33"/>
      <c r="M39" s="33"/>
      <c r="N39" s="33"/>
      <c r="O39" s="33"/>
      <c r="P39" s="33"/>
      <c r="Q39" s="33"/>
      <c r="R39" s="33"/>
      <c r="S39" s="33"/>
      <c r="T39" s="33">
        <v>6361</v>
      </c>
      <c r="U39" s="33">
        <v>0</v>
      </c>
      <c r="V39" s="33"/>
      <c r="W39" s="33"/>
      <c r="X39" s="33"/>
      <c r="Y39" s="33">
        <f t="shared" si="3"/>
        <v>6361</v>
      </c>
      <c r="Z39" s="37" t="str">
        <f t="shared" si="4"/>
        <v/>
      </c>
      <c r="AA39" s="34"/>
      <c r="AB39" s="34"/>
      <c r="AC39" s="34"/>
      <c r="AD39" s="34"/>
    </row>
    <row r="40" spans="1:30" s="38" customFormat="1" ht="204">
      <c r="A40" s="39" t="s">
        <v>1791</v>
      </c>
      <c r="B40" s="39" t="s">
        <v>959</v>
      </c>
      <c r="C40" s="33">
        <v>51</v>
      </c>
      <c r="D40" s="33">
        <v>231634</v>
      </c>
      <c r="E40" s="33">
        <v>9</v>
      </c>
      <c r="F40" s="33">
        <v>4</v>
      </c>
      <c r="G40" s="33">
        <f t="shared" si="6"/>
        <v>5</v>
      </c>
      <c r="H40" s="34" t="s">
        <v>48</v>
      </c>
      <c r="I40" s="34">
        <v>0</v>
      </c>
      <c r="J40" s="52" t="s">
        <v>1945</v>
      </c>
      <c r="K40" s="33">
        <f>(D40/C40)*51</f>
        <v>231634</v>
      </c>
      <c r="L40" s="33"/>
      <c r="M40" s="33"/>
      <c r="N40" s="33"/>
      <c r="O40" s="33"/>
      <c r="P40" s="33"/>
      <c r="Q40" s="33"/>
      <c r="R40" s="33"/>
      <c r="S40" s="33"/>
      <c r="T40" s="33"/>
      <c r="U40" s="33">
        <v>0</v>
      </c>
      <c r="V40" s="36"/>
      <c r="W40" s="36"/>
      <c r="X40" s="36"/>
      <c r="Y40" s="33">
        <f t="shared" si="3"/>
        <v>231634</v>
      </c>
      <c r="Z40" s="37" t="str">
        <f t="shared" si="4"/>
        <v/>
      </c>
      <c r="AA40" s="35" t="s">
        <v>49</v>
      </c>
      <c r="AB40" s="35" t="s">
        <v>50</v>
      </c>
      <c r="AC40" s="35" t="s">
        <v>960</v>
      </c>
      <c r="AD40" s="35"/>
    </row>
    <row r="41" spans="1:30" s="38" customFormat="1" ht="25.5">
      <c r="A41" s="32" t="s">
        <v>51</v>
      </c>
      <c r="B41" s="32" t="s">
        <v>961</v>
      </c>
      <c r="C41" s="33">
        <v>1</v>
      </c>
      <c r="D41" s="33">
        <v>19047</v>
      </c>
      <c r="E41" s="33">
        <v>0</v>
      </c>
      <c r="F41" s="33">
        <v>0</v>
      </c>
      <c r="G41" s="33">
        <f t="shared" si="6"/>
        <v>0</v>
      </c>
      <c r="H41" s="34"/>
      <c r="I41" s="34">
        <v>0</v>
      </c>
      <c r="J41" s="34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>
        <f t="shared" ref="U41:U46" si="9">C41-E41-I41</f>
        <v>1</v>
      </c>
      <c r="V41" s="36"/>
      <c r="W41" s="36">
        <f>(D41/C41)*1</f>
        <v>19047</v>
      </c>
      <c r="X41" s="36" t="s">
        <v>1302</v>
      </c>
      <c r="Y41" s="33">
        <f t="shared" si="3"/>
        <v>19047</v>
      </c>
      <c r="Z41" s="37" t="str">
        <f t="shared" si="4"/>
        <v/>
      </c>
      <c r="AA41" s="34"/>
      <c r="AB41" s="34"/>
      <c r="AC41" s="34"/>
      <c r="AD41" s="34"/>
    </row>
    <row r="42" spans="1:30" s="38" customFormat="1">
      <c r="A42" s="32" t="s">
        <v>52</v>
      </c>
      <c r="B42" s="32" t="s">
        <v>962</v>
      </c>
      <c r="C42" s="33">
        <v>1</v>
      </c>
      <c r="D42" s="33">
        <v>5950</v>
      </c>
      <c r="E42" s="33">
        <v>1</v>
      </c>
      <c r="F42" s="33">
        <v>0</v>
      </c>
      <c r="G42" s="33">
        <f t="shared" si="6"/>
        <v>1</v>
      </c>
      <c r="H42" s="34" t="s">
        <v>25</v>
      </c>
      <c r="I42" s="34">
        <v>0</v>
      </c>
      <c r="J42" s="34"/>
      <c r="K42" s="33">
        <f>D42</f>
        <v>5950</v>
      </c>
      <c r="L42" s="33"/>
      <c r="M42" s="33"/>
      <c r="N42" s="33"/>
      <c r="O42" s="33"/>
      <c r="P42" s="33"/>
      <c r="Q42" s="33"/>
      <c r="R42" s="33"/>
      <c r="S42" s="33"/>
      <c r="T42" s="33"/>
      <c r="U42" s="33">
        <f t="shared" si="9"/>
        <v>0</v>
      </c>
      <c r="V42" s="36"/>
      <c r="W42" s="36"/>
      <c r="X42" s="36"/>
      <c r="Y42" s="33">
        <f t="shared" si="3"/>
        <v>5950</v>
      </c>
      <c r="Z42" s="37" t="str">
        <f t="shared" si="4"/>
        <v/>
      </c>
      <c r="AA42" s="34"/>
      <c r="AB42" s="34"/>
      <c r="AC42" s="34"/>
      <c r="AD42" s="34"/>
    </row>
    <row r="43" spans="1:30" s="38" customFormat="1">
      <c r="A43" s="32" t="s">
        <v>53</v>
      </c>
      <c r="B43" s="32" t="s">
        <v>963</v>
      </c>
      <c r="C43" s="33">
        <v>1</v>
      </c>
      <c r="D43" s="33">
        <v>10476</v>
      </c>
      <c r="E43" s="33">
        <v>0</v>
      </c>
      <c r="F43" s="33">
        <v>0</v>
      </c>
      <c r="G43" s="33">
        <f t="shared" si="6"/>
        <v>0</v>
      </c>
      <c r="H43" s="34"/>
      <c r="I43" s="34">
        <v>1</v>
      </c>
      <c r="J43" s="34" t="s">
        <v>924</v>
      </c>
      <c r="K43" s="33"/>
      <c r="L43" s="33">
        <f>(D43/C43)*C43</f>
        <v>10476</v>
      </c>
      <c r="M43" s="33"/>
      <c r="N43" s="33"/>
      <c r="O43" s="33"/>
      <c r="P43" s="33"/>
      <c r="Q43" s="33"/>
      <c r="R43" s="33"/>
      <c r="S43" s="33"/>
      <c r="T43" s="33"/>
      <c r="U43" s="33">
        <f t="shared" si="9"/>
        <v>0</v>
      </c>
      <c r="V43" s="36"/>
      <c r="W43" s="36"/>
      <c r="X43" s="36"/>
      <c r="Y43" s="33">
        <f t="shared" si="3"/>
        <v>10476</v>
      </c>
      <c r="Z43" s="37" t="str">
        <f t="shared" si="4"/>
        <v/>
      </c>
      <c r="AA43" s="34"/>
      <c r="AB43" s="34"/>
      <c r="AC43" s="34"/>
      <c r="AD43" s="34"/>
    </row>
    <row r="44" spans="1:30" s="38" customFormat="1">
      <c r="A44" s="32" t="s">
        <v>54</v>
      </c>
      <c r="B44" s="32" t="s">
        <v>964</v>
      </c>
      <c r="C44" s="33">
        <v>1</v>
      </c>
      <c r="D44" s="33">
        <v>4762</v>
      </c>
      <c r="E44" s="33">
        <v>0</v>
      </c>
      <c r="F44" s="33">
        <v>0</v>
      </c>
      <c r="G44" s="33">
        <f t="shared" si="6"/>
        <v>0</v>
      </c>
      <c r="H44" s="34"/>
      <c r="I44" s="34">
        <v>1</v>
      </c>
      <c r="J44" s="34" t="s">
        <v>924</v>
      </c>
      <c r="K44" s="33"/>
      <c r="L44" s="33">
        <f>(D44/C44)*C44</f>
        <v>4762</v>
      </c>
      <c r="M44" s="33"/>
      <c r="N44" s="33"/>
      <c r="O44" s="33"/>
      <c r="P44" s="33"/>
      <c r="Q44" s="33"/>
      <c r="R44" s="33"/>
      <c r="S44" s="33"/>
      <c r="T44" s="33"/>
      <c r="U44" s="33">
        <f t="shared" si="9"/>
        <v>0</v>
      </c>
      <c r="V44" s="36"/>
      <c r="W44" s="36"/>
      <c r="X44" s="36"/>
      <c r="Y44" s="33">
        <f t="shared" si="3"/>
        <v>4762</v>
      </c>
      <c r="Z44" s="37" t="str">
        <f t="shared" si="4"/>
        <v/>
      </c>
      <c r="AA44" s="34"/>
      <c r="AB44" s="34"/>
      <c r="AC44" s="34"/>
      <c r="AD44" s="34"/>
    </row>
    <row r="45" spans="1:30" s="39" customFormat="1">
      <c r="A45" s="39" t="s">
        <v>55</v>
      </c>
      <c r="B45" s="39" t="s">
        <v>965</v>
      </c>
      <c r="C45" s="33">
        <v>1</v>
      </c>
      <c r="D45" s="33">
        <v>26120</v>
      </c>
      <c r="E45" s="33">
        <v>1</v>
      </c>
      <c r="F45" s="33">
        <v>0</v>
      </c>
      <c r="G45" s="33">
        <f t="shared" ref="G45:G76" si="10">E45-F45</f>
        <v>1</v>
      </c>
      <c r="H45" s="34" t="s">
        <v>56</v>
      </c>
      <c r="I45" s="34">
        <v>0</v>
      </c>
      <c r="J45" s="34"/>
      <c r="K45" s="33">
        <f>D45</f>
        <v>26120</v>
      </c>
      <c r="L45" s="33"/>
      <c r="M45" s="33"/>
      <c r="N45" s="33"/>
      <c r="O45" s="33"/>
      <c r="P45" s="33"/>
      <c r="Q45" s="33"/>
      <c r="R45" s="33"/>
      <c r="S45" s="33"/>
      <c r="T45" s="33"/>
      <c r="U45" s="33">
        <f t="shared" si="9"/>
        <v>0</v>
      </c>
      <c r="V45" s="36"/>
      <c r="W45" s="36"/>
      <c r="X45" s="36"/>
      <c r="Y45" s="33">
        <f t="shared" si="3"/>
        <v>26120</v>
      </c>
      <c r="Z45" s="37" t="str">
        <f t="shared" si="4"/>
        <v/>
      </c>
      <c r="AA45" s="34"/>
      <c r="AB45" s="34"/>
      <c r="AC45" s="34"/>
      <c r="AD45" s="34"/>
    </row>
    <row r="46" spans="1:30" s="38" customFormat="1">
      <c r="A46" s="39" t="s">
        <v>57</v>
      </c>
      <c r="B46" s="39" t="s">
        <v>966</v>
      </c>
      <c r="C46" s="33">
        <v>3</v>
      </c>
      <c r="D46" s="33">
        <v>5100</v>
      </c>
      <c r="E46" s="33">
        <v>1</v>
      </c>
      <c r="F46" s="33">
        <v>0</v>
      </c>
      <c r="G46" s="33">
        <f t="shared" si="10"/>
        <v>1</v>
      </c>
      <c r="H46" s="34" t="s">
        <v>3</v>
      </c>
      <c r="I46" s="34">
        <v>0</v>
      </c>
      <c r="J46" s="34"/>
      <c r="K46" s="33">
        <f>(D46/C46)*1</f>
        <v>1700</v>
      </c>
      <c r="L46" s="33"/>
      <c r="M46" s="33"/>
      <c r="N46" s="33"/>
      <c r="O46" s="33"/>
      <c r="P46" s="33"/>
      <c r="Q46" s="33"/>
      <c r="R46" s="33"/>
      <c r="S46" s="33"/>
      <c r="T46" s="33"/>
      <c r="U46" s="33">
        <f t="shared" si="9"/>
        <v>2</v>
      </c>
      <c r="V46" s="36"/>
      <c r="W46" s="36">
        <f>(D46/C46)*2</f>
        <v>3400</v>
      </c>
      <c r="X46" s="53" t="s">
        <v>1303</v>
      </c>
      <c r="Y46" s="33">
        <f t="shared" si="3"/>
        <v>5100</v>
      </c>
      <c r="Z46" s="37" t="str">
        <f t="shared" si="4"/>
        <v/>
      </c>
      <c r="AA46" s="34"/>
      <c r="AB46" s="34"/>
      <c r="AC46" s="34"/>
      <c r="AD46" s="34"/>
    </row>
    <row r="47" spans="1:30" s="38" customFormat="1" ht="51">
      <c r="A47" s="46" t="s">
        <v>1898</v>
      </c>
      <c r="B47" s="46" t="s">
        <v>967</v>
      </c>
      <c r="C47" s="33">
        <v>4</v>
      </c>
      <c r="D47" s="33">
        <v>18000</v>
      </c>
      <c r="E47" s="33">
        <v>0</v>
      </c>
      <c r="F47" s="33">
        <v>0</v>
      </c>
      <c r="G47" s="33">
        <f t="shared" si="10"/>
        <v>0</v>
      </c>
      <c r="H47" s="34" t="s">
        <v>58</v>
      </c>
      <c r="I47" s="34">
        <v>4</v>
      </c>
      <c r="J47" s="41" t="s">
        <v>1946</v>
      </c>
      <c r="K47" s="33"/>
      <c r="L47" s="33"/>
      <c r="M47" s="33"/>
      <c r="N47" s="33"/>
      <c r="O47" s="33"/>
      <c r="P47" s="33"/>
      <c r="Q47" s="33"/>
      <c r="R47" s="33"/>
      <c r="S47" s="33"/>
      <c r="T47" s="33">
        <f>(D47/C47)*4</f>
        <v>18000</v>
      </c>
      <c r="U47" s="33">
        <v>0</v>
      </c>
      <c r="V47" s="36"/>
      <c r="W47" s="36"/>
      <c r="X47" s="36"/>
      <c r="Y47" s="33">
        <f t="shared" si="3"/>
        <v>18000</v>
      </c>
      <c r="Z47" s="37" t="str">
        <f t="shared" si="4"/>
        <v/>
      </c>
      <c r="AA47" s="34"/>
      <c r="AB47" s="34"/>
      <c r="AC47" s="34"/>
      <c r="AD47" s="35"/>
    </row>
    <row r="48" spans="1:30" s="38" customFormat="1">
      <c r="A48" s="46" t="s">
        <v>59</v>
      </c>
      <c r="B48" s="46" t="s">
        <v>969</v>
      </c>
      <c r="C48" s="33">
        <v>3</v>
      </c>
      <c r="D48" s="33">
        <v>1200</v>
      </c>
      <c r="E48" s="33">
        <v>3</v>
      </c>
      <c r="F48" s="33">
        <v>0</v>
      </c>
      <c r="G48" s="33">
        <f t="shared" si="10"/>
        <v>3</v>
      </c>
      <c r="H48" s="34" t="s">
        <v>25</v>
      </c>
      <c r="I48" s="34">
        <v>0</v>
      </c>
      <c r="J48" s="34"/>
      <c r="K48" s="33">
        <f>D48</f>
        <v>1200</v>
      </c>
      <c r="L48" s="33"/>
      <c r="M48" s="33"/>
      <c r="N48" s="33"/>
      <c r="O48" s="33"/>
      <c r="P48" s="33"/>
      <c r="Q48" s="33"/>
      <c r="R48" s="33"/>
      <c r="S48" s="33"/>
      <c r="T48" s="33"/>
      <c r="U48" s="33">
        <f t="shared" ref="U48:U53" si="11">C48-E48-I48</f>
        <v>0</v>
      </c>
      <c r="V48" s="36"/>
      <c r="W48" s="36"/>
      <c r="X48" s="36"/>
      <c r="Y48" s="33">
        <f t="shared" si="3"/>
        <v>1200</v>
      </c>
      <c r="Z48" s="37" t="str">
        <f t="shared" si="4"/>
        <v/>
      </c>
      <c r="AA48" s="34"/>
      <c r="AB48" s="34"/>
      <c r="AC48" s="34"/>
      <c r="AD48" s="34"/>
    </row>
    <row r="49" spans="1:30" s="38" customFormat="1">
      <c r="A49" s="32" t="s">
        <v>60</v>
      </c>
      <c r="B49" s="32" t="s">
        <v>970</v>
      </c>
      <c r="C49" s="33">
        <v>1</v>
      </c>
      <c r="D49" s="33">
        <v>79800</v>
      </c>
      <c r="E49" s="33">
        <v>0</v>
      </c>
      <c r="F49" s="33">
        <v>0</v>
      </c>
      <c r="G49" s="33">
        <f t="shared" si="10"/>
        <v>0</v>
      </c>
      <c r="H49" s="34"/>
      <c r="I49" s="34">
        <v>1</v>
      </c>
      <c r="J49" s="34" t="s">
        <v>924</v>
      </c>
      <c r="K49" s="33"/>
      <c r="L49" s="33">
        <f>(D49/C49)*C49</f>
        <v>79800</v>
      </c>
      <c r="M49" s="33"/>
      <c r="N49" s="33"/>
      <c r="O49" s="33"/>
      <c r="P49" s="33"/>
      <c r="Q49" s="33"/>
      <c r="R49" s="33"/>
      <c r="S49" s="33"/>
      <c r="T49" s="33"/>
      <c r="U49" s="33">
        <f t="shared" si="11"/>
        <v>0</v>
      </c>
      <c r="V49" s="36"/>
      <c r="W49" s="36"/>
      <c r="X49" s="36"/>
      <c r="Y49" s="33">
        <f t="shared" si="3"/>
        <v>79800</v>
      </c>
      <c r="Z49" s="37" t="str">
        <f t="shared" si="4"/>
        <v/>
      </c>
      <c r="AA49" s="34"/>
      <c r="AB49" s="34"/>
      <c r="AC49" s="34"/>
      <c r="AD49" s="34"/>
    </row>
    <row r="50" spans="1:30" s="38" customFormat="1">
      <c r="A50" s="46" t="s">
        <v>1896</v>
      </c>
      <c r="B50" s="46" t="s">
        <v>971</v>
      </c>
      <c r="C50" s="33">
        <v>3</v>
      </c>
      <c r="D50" s="33">
        <v>9000</v>
      </c>
      <c r="E50" s="33">
        <v>0</v>
      </c>
      <c r="F50" s="33">
        <v>0</v>
      </c>
      <c r="G50" s="33">
        <f t="shared" si="10"/>
        <v>0</v>
      </c>
      <c r="H50" s="34" t="s">
        <v>58</v>
      </c>
      <c r="I50" s="34">
        <v>3</v>
      </c>
      <c r="J50" s="34" t="s">
        <v>1889</v>
      </c>
      <c r="K50" s="33"/>
      <c r="L50" s="33"/>
      <c r="M50" s="33"/>
      <c r="N50" s="33"/>
      <c r="O50" s="33"/>
      <c r="P50" s="33"/>
      <c r="Q50" s="33"/>
      <c r="R50" s="33"/>
      <c r="S50" s="33"/>
      <c r="T50" s="33">
        <f>D50</f>
        <v>9000</v>
      </c>
      <c r="U50" s="33">
        <v>0</v>
      </c>
      <c r="V50" s="36"/>
      <c r="W50" s="36"/>
      <c r="X50" s="36"/>
      <c r="Y50" s="33">
        <f t="shared" si="3"/>
        <v>9000</v>
      </c>
      <c r="Z50" s="37" t="str">
        <f t="shared" si="4"/>
        <v/>
      </c>
      <c r="AA50" s="34"/>
      <c r="AB50" s="34"/>
      <c r="AC50" s="34"/>
      <c r="AD50" s="34"/>
    </row>
    <row r="51" spans="1:30" s="38" customFormat="1">
      <c r="A51" s="32" t="s">
        <v>61</v>
      </c>
      <c r="B51" s="32" t="s">
        <v>972</v>
      </c>
      <c r="C51" s="33">
        <v>3</v>
      </c>
      <c r="D51" s="33">
        <v>9000</v>
      </c>
      <c r="E51" s="33">
        <v>3</v>
      </c>
      <c r="F51" s="33">
        <v>0</v>
      </c>
      <c r="G51" s="33">
        <f t="shared" si="10"/>
        <v>3</v>
      </c>
      <c r="H51" s="34" t="s">
        <v>3</v>
      </c>
      <c r="I51" s="34">
        <v>0</v>
      </c>
      <c r="J51" s="34"/>
      <c r="K51" s="33">
        <f>D51</f>
        <v>9000</v>
      </c>
      <c r="L51" s="33"/>
      <c r="M51" s="33"/>
      <c r="N51" s="33"/>
      <c r="O51" s="33"/>
      <c r="P51" s="33"/>
      <c r="Q51" s="33"/>
      <c r="R51" s="33"/>
      <c r="S51" s="33"/>
      <c r="T51" s="33"/>
      <c r="U51" s="33">
        <f t="shared" si="11"/>
        <v>0</v>
      </c>
      <c r="V51" s="36"/>
      <c r="W51" s="36"/>
      <c r="X51" s="36"/>
      <c r="Y51" s="33">
        <f t="shared" si="3"/>
        <v>9000</v>
      </c>
      <c r="Z51" s="37" t="str">
        <f t="shared" si="4"/>
        <v/>
      </c>
      <c r="AA51" s="34"/>
      <c r="AB51" s="34"/>
      <c r="AC51" s="34"/>
      <c r="AD51" s="34"/>
    </row>
    <row r="52" spans="1:30" s="38" customFormat="1">
      <c r="A52" s="39" t="s">
        <v>62</v>
      </c>
      <c r="B52" s="39" t="s">
        <v>973</v>
      </c>
      <c r="C52" s="33">
        <v>1</v>
      </c>
      <c r="D52" s="33">
        <v>1232</v>
      </c>
      <c r="E52" s="33">
        <v>1</v>
      </c>
      <c r="F52" s="33">
        <v>0</v>
      </c>
      <c r="G52" s="33">
        <f t="shared" si="10"/>
        <v>1</v>
      </c>
      <c r="H52" s="34" t="s">
        <v>25</v>
      </c>
      <c r="I52" s="34">
        <v>0</v>
      </c>
      <c r="J52" s="34"/>
      <c r="K52" s="33">
        <f>(D52/C52)*1</f>
        <v>1232</v>
      </c>
      <c r="L52" s="33"/>
      <c r="M52" s="33"/>
      <c r="N52" s="33"/>
      <c r="O52" s="33"/>
      <c r="P52" s="33"/>
      <c r="Q52" s="33"/>
      <c r="R52" s="33"/>
      <c r="S52" s="33"/>
      <c r="T52" s="33"/>
      <c r="U52" s="33">
        <f t="shared" si="11"/>
        <v>0</v>
      </c>
      <c r="V52" s="36"/>
      <c r="W52" s="36"/>
      <c r="X52" s="36"/>
      <c r="Y52" s="33">
        <f t="shared" si="3"/>
        <v>1232</v>
      </c>
      <c r="Z52" s="37" t="str">
        <f t="shared" si="4"/>
        <v/>
      </c>
      <c r="AA52" s="34"/>
      <c r="AB52" s="34"/>
      <c r="AC52" s="34"/>
      <c r="AD52" s="34"/>
    </row>
    <row r="53" spans="1:30" s="38" customFormat="1">
      <c r="A53" s="39" t="s">
        <v>63</v>
      </c>
      <c r="B53" s="39" t="s">
        <v>974</v>
      </c>
      <c r="C53" s="33">
        <v>2</v>
      </c>
      <c r="D53" s="33">
        <v>1300</v>
      </c>
      <c r="E53" s="33">
        <v>2</v>
      </c>
      <c r="F53" s="33">
        <v>0</v>
      </c>
      <c r="G53" s="33">
        <f t="shared" si="10"/>
        <v>2</v>
      </c>
      <c r="H53" s="34" t="s">
        <v>25</v>
      </c>
      <c r="I53" s="34">
        <v>0</v>
      </c>
      <c r="J53" s="34"/>
      <c r="K53" s="33">
        <f>D53</f>
        <v>1300</v>
      </c>
      <c r="L53" s="33"/>
      <c r="M53" s="33"/>
      <c r="N53" s="33"/>
      <c r="O53" s="33"/>
      <c r="P53" s="33"/>
      <c r="Q53" s="33"/>
      <c r="R53" s="33"/>
      <c r="S53" s="33"/>
      <c r="T53" s="33"/>
      <c r="U53" s="33">
        <f t="shared" si="11"/>
        <v>0</v>
      </c>
      <c r="V53" s="36"/>
      <c r="W53" s="36"/>
      <c r="X53" s="36"/>
      <c r="Y53" s="33">
        <f t="shared" si="3"/>
        <v>1300</v>
      </c>
      <c r="Z53" s="37" t="str">
        <f t="shared" si="4"/>
        <v/>
      </c>
      <c r="AA53" s="34"/>
      <c r="AB53" s="34"/>
      <c r="AC53" s="34"/>
      <c r="AD53" s="34"/>
    </row>
    <row r="54" spans="1:30" s="38" customFormat="1" ht="255.75">
      <c r="A54" s="32" t="s">
        <v>1826</v>
      </c>
      <c r="B54" s="32" t="s">
        <v>975</v>
      </c>
      <c r="C54" s="33">
        <v>62</v>
      </c>
      <c r="D54" s="33">
        <v>3480</v>
      </c>
      <c r="E54" s="33">
        <v>17</v>
      </c>
      <c r="F54" s="33">
        <v>3</v>
      </c>
      <c r="G54" s="33">
        <f t="shared" si="10"/>
        <v>14</v>
      </c>
      <c r="H54" s="34" t="s">
        <v>64</v>
      </c>
      <c r="I54" s="34">
        <v>0</v>
      </c>
      <c r="J54" s="55" t="s">
        <v>1952</v>
      </c>
      <c r="K54" s="33">
        <f>(D54/C54)*62</f>
        <v>3480</v>
      </c>
      <c r="L54" s="33"/>
      <c r="M54" s="33"/>
      <c r="N54" s="33"/>
      <c r="O54" s="33"/>
      <c r="P54" s="33"/>
      <c r="Q54" s="33"/>
      <c r="R54" s="33"/>
      <c r="S54" s="33"/>
      <c r="T54" s="33"/>
      <c r="U54" s="33">
        <v>0</v>
      </c>
      <c r="V54" s="36"/>
      <c r="W54" s="36"/>
      <c r="X54" s="36"/>
      <c r="Y54" s="33">
        <f t="shared" si="3"/>
        <v>3480</v>
      </c>
      <c r="Z54" s="37" t="str">
        <f t="shared" si="4"/>
        <v/>
      </c>
      <c r="AA54" s="35" t="s">
        <v>65</v>
      </c>
      <c r="AB54" s="35" t="s">
        <v>66</v>
      </c>
      <c r="AC54" s="35" t="s">
        <v>976</v>
      </c>
      <c r="AD54" s="35"/>
    </row>
    <row r="55" spans="1:30" s="38" customFormat="1">
      <c r="A55" s="39" t="s">
        <v>67</v>
      </c>
      <c r="B55" s="39" t="s">
        <v>977</v>
      </c>
      <c r="C55" s="33">
        <v>9</v>
      </c>
      <c r="D55" s="33">
        <v>1016</v>
      </c>
      <c r="E55" s="33">
        <v>5</v>
      </c>
      <c r="F55" s="33">
        <v>0</v>
      </c>
      <c r="G55" s="33">
        <f t="shared" si="10"/>
        <v>5</v>
      </c>
      <c r="H55" s="34" t="s">
        <v>25</v>
      </c>
      <c r="I55" s="34">
        <v>4</v>
      </c>
      <c r="J55" s="34" t="s">
        <v>978</v>
      </c>
      <c r="K55" s="33">
        <f>(D55/C55)*5</f>
        <v>564.44444444444446</v>
      </c>
      <c r="L55" s="33"/>
      <c r="M55" s="33"/>
      <c r="N55" s="33"/>
      <c r="O55" s="33"/>
      <c r="P55" s="33"/>
      <c r="Q55" s="33"/>
      <c r="R55" s="33"/>
      <c r="S55" s="33"/>
      <c r="T55" s="33">
        <f>(D55/C55)*4</f>
        <v>451.55555555555554</v>
      </c>
      <c r="U55" s="33">
        <f>C55-E55-I55</f>
        <v>0</v>
      </c>
      <c r="V55" s="36"/>
      <c r="W55" s="36"/>
      <c r="X55" s="36"/>
      <c r="Y55" s="33">
        <f t="shared" si="3"/>
        <v>1016</v>
      </c>
      <c r="Z55" s="37" t="str">
        <f t="shared" si="4"/>
        <v/>
      </c>
      <c r="AA55" s="34"/>
      <c r="AB55" s="34"/>
      <c r="AC55" s="34"/>
      <c r="AD55" s="34"/>
    </row>
    <row r="56" spans="1:30" s="38" customFormat="1">
      <c r="A56" s="39" t="s">
        <v>68</v>
      </c>
      <c r="B56" s="39" t="s">
        <v>979</v>
      </c>
      <c r="C56" s="33">
        <v>1</v>
      </c>
      <c r="D56" s="33">
        <v>28267</v>
      </c>
      <c r="E56" s="33">
        <v>0</v>
      </c>
      <c r="F56" s="33">
        <v>0</v>
      </c>
      <c r="G56" s="33">
        <f t="shared" si="10"/>
        <v>0</v>
      </c>
      <c r="H56" s="34"/>
      <c r="I56" s="34">
        <v>1</v>
      </c>
      <c r="J56" s="34" t="s">
        <v>924</v>
      </c>
      <c r="K56" s="33"/>
      <c r="L56" s="33">
        <f>(D56/C56)*C56</f>
        <v>28267</v>
      </c>
      <c r="M56" s="33"/>
      <c r="N56" s="33"/>
      <c r="O56" s="33"/>
      <c r="P56" s="33"/>
      <c r="Q56" s="33"/>
      <c r="R56" s="33"/>
      <c r="S56" s="33"/>
      <c r="T56" s="33"/>
      <c r="U56" s="33">
        <f>C56-E56-I56</f>
        <v>0</v>
      </c>
      <c r="V56" s="36"/>
      <c r="W56" s="36"/>
      <c r="X56" s="36"/>
      <c r="Y56" s="33">
        <f t="shared" si="3"/>
        <v>28267</v>
      </c>
      <c r="Z56" s="37" t="str">
        <f t="shared" si="4"/>
        <v/>
      </c>
      <c r="AA56" s="34"/>
      <c r="AB56" s="34"/>
      <c r="AC56" s="34"/>
      <c r="AD56" s="34"/>
    </row>
    <row r="57" spans="1:30" s="38" customFormat="1">
      <c r="A57" s="32" t="s">
        <v>69</v>
      </c>
      <c r="B57" s="32" t="s">
        <v>980</v>
      </c>
      <c r="C57" s="33">
        <v>1</v>
      </c>
      <c r="D57" s="33">
        <v>380</v>
      </c>
      <c r="E57" s="33">
        <v>0</v>
      </c>
      <c r="F57" s="33">
        <v>0</v>
      </c>
      <c r="G57" s="33">
        <f t="shared" si="10"/>
        <v>0</v>
      </c>
      <c r="H57" s="34"/>
      <c r="I57" s="34">
        <v>1</v>
      </c>
      <c r="J57" s="34" t="s">
        <v>981</v>
      </c>
      <c r="K57" s="33"/>
      <c r="L57" s="33"/>
      <c r="M57" s="33"/>
      <c r="N57" s="33"/>
      <c r="O57" s="33"/>
      <c r="P57" s="33"/>
      <c r="Q57" s="33"/>
      <c r="R57" s="33"/>
      <c r="S57" s="33"/>
      <c r="T57" s="33">
        <f>(D57/C57)*1</f>
        <v>380</v>
      </c>
      <c r="U57" s="33">
        <f>C57-E57-I57</f>
        <v>0</v>
      </c>
      <c r="V57" s="36"/>
      <c r="W57" s="36"/>
      <c r="X57" s="36"/>
      <c r="Y57" s="33">
        <f t="shared" si="3"/>
        <v>380</v>
      </c>
      <c r="Z57" s="37" t="str">
        <f t="shared" si="4"/>
        <v/>
      </c>
      <c r="AA57" s="34"/>
      <c r="AB57" s="34"/>
      <c r="AC57" s="34"/>
      <c r="AD57" s="34"/>
    </row>
    <row r="58" spans="1:30" s="38" customFormat="1">
      <c r="A58" s="39" t="s">
        <v>1900</v>
      </c>
      <c r="B58" s="39" t="s">
        <v>982</v>
      </c>
      <c r="C58" s="33">
        <v>1</v>
      </c>
      <c r="D58" s="33">
        <v>969</v>
      </c>
      <c r="E58" s="33">
        <v>3</v>
      </c>
      <c r="F58" s="33">
        <v>0</v>
      </c>
      <c r="G58" s="33">
        <f t="shared" si="10"/>
        <v>3</v>
      </c>
      <c r="H58" s="34" t="s">
        <v>3</v>
      </c>
      <c r="I58" s="34">
        <v>1</v>
      </c>
      <c r="J58" s="34" t="s">
        <v>1317</v>
      </c>
      <c r="K58" s="33"/>
      <c r="L58" s="33"/>
      <c r="M58" s="33"/>
      <c r="N58" s="33"/>
      <c r="O58" s="33"/>
      <c r="P58" s="33"/>
      <c r="Q58" s="33"/>
      <c r="R58" s="33"/>
      <c r="S58" s="33"/>
      <c r="T58" s="33">
        <f>D58</f>
        <v>969</v>
      </c>
      <c r="U58" s="33">
        <v>0</v>
      </c>
      <c r="V58" s="36"/>
      <c r="W58" s="36"/>
      <c r="X58" s="36"/>
      <c r="Y58" s="33">
        <f t="shared" si="3"/>
        <v>969</v>
      </c>
      <c r="Z58" s="37" t="str">
        <f t="shared" si="4"/>
        <v/>
      </c>
      <c r="AA58" s="34"/>
      <c r="AB58" s="34"/>
      <c r="AC58" s="34"/>
      <c r="AD58" s="34"/>
    </row>
    <row r="59" spans="1:30" s="38" customFormat="1" ht="25.5">
      <c r="A59" s="39" t="s">
        <v>70</v>
      </c>
      <c r="B59" s="39" t="s">
        <v>983</v>
      </c>
      <c r="C59" s="33">
        <v>9</v>
      </c>
      <c r="D59" s="33">
        <v>24660</v>
      </c>
      <c r="E59" s="33">
        <v>0</v>
      </c>
      <c r="F59" s="33">
        <v>0</v>
      </c>
      <c r="G59" s="33">
        <f t="shared" si="10"/>
        <v>0</v>
      </c>
      <c r="H59" s="34"/>
      <c r="I59" s="34">
        <v>0</v>
      </c>
      <c r="J59" s="34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>
        <v>9</v>
      </c>
      <c r="V59" s="36"/>
      <c r="W59" s="36">
        <f>(D59/C59)*9</f>
        <v>24660</v>
      </c>
      <c r="X59" s="36" t="s">
        <v>1304</v>
      </c>
      <c r="Y59" s="33">
        <f t="shared" si="3"/>
        <v>24660</v>
      </c>
      <c r="Z59" s="37" t="str">
        <f t="shared" si="4"/>
        <v/>
      </c>
      <c r="AA59" s="34"/>
      <c r="AB59" s="34"/>
      <c r="AC59" s="34"/>
      <c r="AD59" s="34"/>
    </row>
    <row r="60" spans="1:30" s="38" customFormat="1">
      <c r="A60" s="39" t="s">
        <v>71</v>
      </c>
      <c r="B60" s="39" t="s">
        <v>984</v>
      </c>
      <c r="C60" s="33">
        <v>2</v>
      </c>
      <c r="D60" s="33">
        <v>2800</v>
      </c>
      <c r="E60" s="33">
        <v>2</v>
      </c>
      <c r="F60" s="33">
        <v>0</v>
      </c>
      <c r="G60" s="33">
        <f t="shared" si="10"/>
        <v>2</v>
      </c>
      <c r="H60" s="34" t="s">
        <v>25</v>
      </c>
      <c r="I60" s="34">
        <v>0</v>
      </c>
      <c r="J60" s="34"/>
      <c r="K60" s="33">
        <f>D60</f>
        <v>2800</v>
      </c>
      <c r="L60" s="33"/>
      <c r="M60" s="33"/>
      <c r="N60" s="33"/>
      <c r="O60" s="33"/>
      <c r="P60" s="33"/>
      <c r="Q60" s="33"/>
      <c r="R60" s="33"/>
      <c r="S60" s="33"/>
      <c r="T60" s="33"/>
      <c r="U60" s="33">
        <f>C60-E60-I60</f>
        <v>0</v>
      </c>
      <c r="V60" s="36"/>
      <c r="W60" s="36"/>
      <c r="X60" s="36"/>
      <c r="Y60" s="33">
        <f t="shared" si="3"/>
        <v>2800</v>
      </c>
      <c r="Z60" s="37" t="str">
        <f t="shared" si="4"/>
        <v/>
      </c>
      <c r="AA60" s="34"/>
      <c r="AB60" s="34"/>
      <c r="AC60" s="34"/>
      <c r="AD60" s="34"/>
    </row>
    <row r="61" spans="1:30" s="38" customFormat="1" ht="25.5">
      <c r="A61" s="39" t="s">
        <v>72</v>
      </c>
      <c r="B61" s="39" t="s">
        <v>985</v>
      </c>
      <c r="C61" s="33">
        <v>9</v>
      </c>
      <c r="D61" s="33">
        <v>51300</v>
      </c>
      <c r="E61" s="33">
        <v>1</v>
      </c>
      <c r="F61" s="33">
        <v>0</v>
      </c>
      <c r="G61" s="33">
        <f t="shared" si="10"/>
        <v>1</v>
      </c>
      <c r="H61" s="34" t="s">
        <v>3</v>
      </c>
      <c r="I61" s="34">
        <v>0</v>
      </c>
      <c r="J61" s="34"/>
      <c r="K61" s="33">
        <f>(D61/C61)*1</f>
        <v>5700</v>
      </c>
      <c r="L61" s="33"/>
      <c r="M61" s="33"/>
      <c r="N61" s="33"/>
      <c r="O61" s="33"/>
      <c r="P61" s="33"/>
      <c r="Q61" s="33"/>
      <c r="R61" s="33"/>
      <c r="S61" s="33"/>
      <c r="T61" s="33"/>
      <c r="U61" s="33">
        <v>8</v>
      </c>
      <c r="V61" s="36"/>
      <c r="W61" s="36">
        <f>(D61/C61)*8</f>
        <v>45600</v>
      </c>
      <c r="X61" s="36" t="s">
        <v>1305</v>
      </c>
      <c r="Y61" s="33">
        <f t="shared" si="3"/>
        <v>51300</v>
      </c>
      <c r="Z61" s="37" t="str">
        <f t="shared" si="4"/>
        <v/>
      </c>
      <c r="AA61" s="34"/>
      <c r="AB61" s="34"/>
      <c r="AC61" s="34"/>
      <c r="AD61" s="34"/>
    </row>
    <row r="62" spans="1:30" s="38" customFormat="1" ht="201.75">
      <c r="A62" s="39" t="s">
        <v>1828</v>
      </c>
      <c r="B62" s="39" t="s">
        <v>986</v>
      </c>
      <c r="C62" s="33">
        <v>41</v>
      </c>
      <c r="D62" s="33">
        <v>6335</v>
      </c>
      <c r="E62" s="33">
        <f>2+3+1</f>
        <v>6</v>
      </c>
      <c r="F62" s="33">
        <v>3</v>
      </c>
      <c r="G62" s="33">
        <f t="shared" si="10"/>
        <v>3</v>
      </c>
      <c r="H62" s="34" t="s">
        <v>73</v>
      </c>
      <c r="I62" s="34">
        <v>0</v>
      </c>
      <c r="J62" s="55" t="s">
        <v>1953</v>
      </c>
      <c r="K62" s="33">
        <f>(D62/C62)*41</f>
        <v>6335</v>
      </c>
      <c r="L62" s="33"/>
      <c r="M62" s="33"/>
      <c r="N62" s="33"/>
      <c r="O62" s="33"/>
      <c r="P62" s="33"/>
      <c r="Q62" s="33"/>
      <c r="R62" s="33"/>
      <c r="S62" s="33"/>
      <c r="T62" s="33"/>
      <c r="U62" s="33">
        <v>0</v>
      </c>
      <c r="V62" s="33"/>
      <c r="W62" s="33"/>
      <c r="X62" s="33"/>
      <c r="Y62" s="33">
        <f t="shared" si="3"/>
        <v>6335</v>
      </c>
      <c r="Z62" s="37" t="str">
        <f t="shared" si="4"/>
        <v/>
      </c>
      <c r="AA62" s="35" t="s">
        <v>65</v>
      </c>
      <c r="AB62" s="35" t="s">
        <v>66</v>
      </c>
      <c r="AC62" s="35" t="s">
        <v>976</v>
      </c>
      <c r="AD62" s="35"/>
    </row>
    <row r="63" spans="1:30" s="38" customFormat="1">
      <c r="A63" s="39" t="s">
        <v>74</v>
      </c>
      <c r="B63" s="39" t="s">
        <v>75</v>
      </c>
      <c r="C63" s="33">
        <v>1</v>
      </c>
      <c r="D63" s="33">
        <v>30476</v>
      </c>
      <c r="E63" s="33">
        <v>1</v>
      </c>
      <c r="F63" s="33">
        <v>0</v>
      </c>
      <c r="G63" s="33">
        <f t="shared" si="10"/>
        <v>1</v>
      </c>
      <c r="H63" s="34" t="s">
        <v>56</v>
      </c>
      <c r="I63" s="34">
        <v>0</v>
      </c>
      <c r="J63" s="34"/>
      <c r="K63" s="33">
        <f>D63</f>
        <v>30476</v>
      </c>
      <c r="L63" s="33"/>
      <c r="M63" s="33"/>
      <c r="N63" s="33"/>
      <c r="O63" s="33"/>
      <c r="P63" s="33"/>
      <c r="Q63" s="33"/>
      <c r="R63" s="33"/>
      <c r="S63" s="33"/>
      <c r="T63" s="33"/>
      <c r="U63" s="33">
        <f t="shared" ref="U63:U71" si="12">C63-E63-I63</f>
        <v>0</v>
      </c>
      <c r="V63" s="36"/>
      <c r="W63" s="36"/>
      <c r="X63" s="36"/>
      <c r="Y63" s="33">
        <f t="shared" si="3"/>
        <v>30476</v>
      </c>
      <c r="Z63" s="37" t="str">
        <f t="shared" si="4"/>
        <v/>
      </c>
      <c r="AA63" s="34"/>
      <c r="AB63" s="34"/>
      <c r="AC63" s="34"/>
      <c r="AD63" s="34"/>
    </row>
    <row r="64" spans="1:30" s="38" customFormat="1">
      <c r="A64" s="32" t="s">
        <v>76</v>
      </c>
      <c r="B64" s="32" t="s">
        <v>987</v>
      </c>
      <c r="C64" s="33">
        <v>1</v>
      </c>
      <c r="D64" s="33">
        <v>9000</v>
      </c>
      <c r="E64" s="33">
        <v>0</v>
      </c>
      <c r="F64" s="33">
        <v>0</v>
      </c>
      <c r="G64" s="33">
        <f t="shared" si="10"/>
        <v>0</v>
      </c>
      <c r="H64" s="34"/>
      <c r="I64" s="34">
        <v>0</v>
      </c>
      <c r="J64" s="34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>
        <f t="shared" si="12"/>
        <v>1</v>
      </c>
      <c r="V64" s="36"/>
      <c r="W64" s="36">
        <f>(D64/C64)*1</f>
        <v>9000</v>
      </c>
      <c r="X64" s="36" t="s">
        <v>988</v>
      </c>
      <c r="Y64" s="33">
        <f t="shared" si="3"/>
        <v>9000</v>
      </c>
      <c r="Z64" s="37" t="str">
        <f t="shared" si="4"/>
        <v/>
      </c>
      <c r="AA64" s="34"/>
      <c r="AB64" s="34"/>
      <c r="AC64" s="34"/>
      <c r="AD64" s="34"/>
    </row>
    <row r="65" spans="1:30" s="38" customFormat="1">
      <c r="A65" s="32" t="s">
        <v>1278</v>
      </c>
      <c r="B65" s="32" t="s">
        <v>1306</v>
      </c>
      <c r="C65" s="33">
        <v>3</v>
      </c>
      <c r="D65" s="33">
        <v>27000</v>
      </c>
      <c r="E65" s="33">
        <v>0</v>
      </c>
      <c r="F65" s="33">
        <v>0</v>
      </c>
      <c r="G65" s="33">
        <f t="shared" si="10"/>
        <v>0</v>
      </c>
      <c r="H65" s="34"/>
      <c r="I65" s="34">
        <v>3</v>
      </c>
      <c r="J65" s="34" t="s">
        <v>1307</v>
      </c>
      <c r="K65" s="33"/>
      <c r="L65" s="33"/>
      <c r="M65" s="33"/>
      <c r="N65" s="33"/>
      <c r="O65" s="33"/>
      <c r="P65" s="33"/>
      <c r="Q65" s="33"/>
      <c r="R65" s="33"/>
      <c r="S65" s="33"/>
      <c r="T65" s="33">
        <f>D65</f>
        <v>27000</v>
      </c>
      <c r="U65" s="33">
        <f t="shared" si="12"/>
        <v>0</v>
      </c>
      <c r="V65" s="36"/>
      <c r="W65" s="36"/>
      <c r="X65" s="36"/>
      <c r="Y65" s="33">
        <f t="shared" si="3"/>
        <v>27000</v>
      </c>
      <c r="Z65" s="37" t="str">
        <f t="shared" si="4"/>
        <v/>
      </c>
      <c r="AA65" s="34"/>
      <c r="AB65" s="34"/>
      <c r="AC65" s="47"/>
      <c r="AD65" s="41"/>
    </row>
    <row r="66" spans="1:30" s="38" customFormat="1">
      <c r="A66" s="39" t="s">
        <v>77</v>
      </c>
      <c r="B66" s="39" t="s">
        <v>77</v>
      </c>
      <c r="C66" s="33">
        <v>2</v>
      </c>
      <c r="D66" s="33">
        <v>2083</v>
      </c>
      <c r="E66" s="33">
        <v>0</v>
      </c>
      <c r="F66" s="33">
        <v>0</v>
      </c>
      <c r="G66" s="33">
        <f t="shared" si="10"/>
        <v>0</v>
      </c>
      <c r="H66" s="34"/>
      <c r="I66" s="34">
        <v>0</v>
      </c>
      <c r="J66" s="34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>
        <f t="shared" si="12"/>
        <v>2</v>
      </c>
      <c r="V66" s="36">
        <f>(D66/C66)*U66</f>
        <v>2083</v>
      </c>
      <c r="W66" s="36"/>
      <c r="X66" s="36"/>
      <c r="Y66" s="33">
        <f t="shared" si="3"/>
        <v>2083</v>
      </c>
      <c r="Z66" s="37" t="str">
        <f t="shared" si="4"/>
        <v/>
      </c>
      <c r="AA66" s="34"/>
      <c r="AB66" s="34"/>
      <c r="AC66" s="34"/>
      <c r="AD66" s="34"/>
    </row>
    <row r="67" spans="1:30" s="38" customFormat="1">
      <c r="A67" s="39" t="s">
        <v>1277</v>
      </c>
      <c r="B67" s="39" t="s">
        <v>989</v>
      </c>
      <c r="C67" s="33">
        <v>3</v>
      </c>
      <c r="D67" s="33">
        <v>1448</v>
      </c>
      <c r="E67" s="33">
        <v>2</v>
      </c>
      <c r="F67" s="33">
        <v>0</v>
      </c>
      <c r="G67" s="33">
        <f t="shared" si="10"/>
        <v>2</v>
      </c>
      <c r="H67" s="34" t="s">
        <v>78</v>
      </c>
      <c r="I67" s="34">
        <v>1</v>
      </c>
      <c r="J67" s="34" t="s">
        <v>1320</v>
      </c>
      <c r="K67" s="33">
        <f>(D67/C67)*2</f>
        <v>965.33333333333337</v>
      </c>
      <c r="L67" s="39"/>
      <c r="M67" s="39"/>
      <c r="N67" s="39"/>
      <c r="O67" s="39"/>
      <c r="P67" s="39"/>
      <c r="Q67" s="33">
        <f>(D67/C67)*1</f>
        <v>482.66666666666669</v>
      </c>
      <c r="R67" s="39"/>
      <c r="S67" s="39"/>
      <c r="T67" s="39"/>
      <c r="U67" s="33">
        <f t="shared" si="12"/>
        <v>0</v>
      </c>
      <c r="V67" s="39"/>
      <c r="W67" s="36"/>
      <c r="X67" s="39"/>
      <c r="Y67" s="33">
        <f t="shared" si="3"/>
        <v>1448</v>
      </c>
      <c r="Z67" s="37" t="str">
        <f t="shared" si="4"/>
        <v/>
      </c>
      <c r="AA67" s="39"/>
      <c r="AB67" s="39"/>
      <c r="AC67" s="39"/>
      <c r="AD67" s="39"/>
    </row>
    <row r="68" spans="1:30" s="38" customFormat="1" ht="63.75">
      <c r="A68" s="39" t="s">
        <v>79</v>
      </c>
      <c r="B68" s="39" t="s">
        <v>990</v>
      </c>
      <c r="C68" s="33">
        <v>17</v>
      </c>
      <c r="D68" s="33">
        <v>7820</v>
      </c>
      <c r="E68" s="33">
        <v>3</v>
      </c>
      <c r="F68" s="33">
        <v>0</v>
      </c>
      <c r="G68" s="33">
        <f t="shared" si="10"/>
        <v>3</v>
      </c>
      <c r="H68" s="34" t="s">
        <v>78</v>
      </c>
      <c r="I68" s="34">
        <v>14</v>
      </c>
      <c r="J68" s="35" t="s">
        <v>1890</v>
      </c>
      <c r="K68" s="33">
        <f>(D68/C68)*3</f>
        <v>1380</v>
      </c>
      <c r="L68" s="33"/>
      <c r="M68" s="33"/>
      <c r="N68" s="33"/>
      <c r="O68" s="33">
        <f>(D68/C68)*1</f>
        <v>460</v>
      </c>
      <c r="P68" s="33">
        <f>(D68/C68)*1</f>
        <v>460</v>
      </c>
      <c r="Q68" s="33"/>
      <c r="R68" s="33"/>
      <c r="S68" s="33"/>
      <c r="T68" s="33">
        <f>(D68/C68)*12</f>
        <v>5520</v>
      </c>
      <c r="U68" s="33">
        <f t="shared" si="12"/>
        <v>0</v>
      </c>
      <c r="V68" s="36"/>
      <c r="W68" s="36"/>
      <c r="X68" s="36"/>
      <c r="Y68" s="33">
        <f t="shared" ref="Y68:Y131" si="13">SUM(K68:T68)+SUM(V68:W68)</f>
        <v>7820</v>
      </c>
      <c r="Z68" s="37" t="str">
        <f t="shared" ref="Z68:Z131" si="14">IF(D68=Y68,"","錯")</f>
        <v/>
      </c>
      <c r="AA68" s="40"/>
      <c r="AB68" s="34"/>
      <c r="AC68" s="34"/>
      <c r="AD68" s="34"/>
    </row>
    <row r="69" spans="1:30" s="38" customFormat="1">
      <c r="A69" s="39" t="s">
        <v>80</v>
      </c>
      <c r="B69" s="39" t="s">
        <v>991</v>
      </c>
      <c r="C69" s="33">
        <v>2</v>
      </c>
      <c r="D69" s="33">
        <v>1160</v>
      </c>
      <c r="E69" s="33">
        <v>0</v>
      </c>
      <c r="F69" s="33">
        <v>0</v>
      </c>
      <c r="G69" s="33">
        <f t="shared" si="10"/>
        <v>0</v>
      </c>
      <c r="H69" s="34"/>
      <c r="I69" s="34">
        <v>0</v>
      </c>
      <c r="J69" s="34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>
        <f t="shared" si="12"/>
        <v>2</v>
      </c>
      <c r="V69" s="36">
        <f>(D69/C69)*U69</f>
        <v>1160</v>
      </c>
      <c r="W69" s="36"/>
      <c r="X69" s="36"/>
      <c r="Y69" s="33">
        <f t="shared" si="13"/>
        <v>1160</v>
      </c>
      <c r="Z69" s="37" t="str">
        <f t="shared" si="14"/>
        <v/>
      </c>
      <c r="AA69" s="34"/>
      <c r="AB69" s="34"/>
      <c r="AC69" s="34"/>
      <c r="AD69" s="34"/>
    </row>
    <row r="70" spans="1:30" s="38" customFormat="1">
      <c r="A70" s="39" t="s">
        <v>81</v>
      </c>
      <c r="B70" s="39" t="s">
        <v>992</v>
      </c>
      <c r="C70" s="33">
        <v>1100</v>
      </c>
      <c r="D70" s="33">
        <v>842</v>
      </c>
      <c r="E70" s="33">
        <v>0</v>
      </c>
      <c r="F70" s="33">
        <v>0</v>
      </c>
      <c r="G70" s="33">
        <f t="shared" si="10"/>
        <v>0</v>
      </c>
      <c r="H70" s="34"/>
      <c r="I70" s="34">
        <v>1000</v>
      </c>
      <c r="J70" s="34" t="s">
        <v>993</v>
      </c>
      <c r="K70" s="33"/>
      <c r="L70" s="33">
        <f>(D70/C70)*1000</f>
        <v>765.4545454545455</v>
      </c>
      <c r="M70" s="33"/>
      <c r="N70" s="33"/>
      <c r="O70" s="33"/>
      <c r="P70" s="33"/>
      <c r="Q70" s="33"/>
      <c r="R70" s="33"/>
      <c r="S70" s="33"/>
      <c r="T70" s="33"/>
      <c r="U70" s="33">
        <f t="shared" si="12"/>
        <v>100</v>
      </c>
      <c r="V70" s="36">
        <f>(D70/C70)*U70</f>
        <v>76.545454545454547</v>
      </c>
      <c r="W70" s="36"/>
      <c r="X70" s="36"/>
      <c r="Y70" s="33">
        <f t="shared" si="13"/>
        <v>842</v>
      </c>
      <c r="Z70" s="37" t="str">
        <f t="shared" si="14"/>
        <v/>
      </c>
      <c r="AA70" s="34"/>
      <c r="AB70" s="34"/>
      <c r="AC70" s="34"/>
      <c r="AD70" s="34"/>
    </row>
    <row r="71" spans="1:30" s="38" customFormat="1" ht="25.5">
      <c r="A71" s="39" t="s">
        <v>82</v>
      </c>
      <c r="B71" s="39" t="s">
        <v>994</v>
      </c>
      <c r="C71" s="33">
        <v>1</v>
      </c>
      <c r="D71" s="33">
        <v>1100</v>
      </c>
      <c r="E71" s="33">
        <v>0</v>
      </c>
      <c r="F71" s="33">
        <v>0</v>
      </c>
      <c r="G71" s="33">
        <f t="shared" si="10"/>
        <v>0</v>
      </c>
      <c r="H71" s="34"/>
      <c r="I71" s="34">
        <v>0</v>
      </c>
      <c r="J71" s="34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>
        <f t="shared" si="12"/>
        <v>1</v>
      </c>
      <c r="V71" s="36"/>
      <c r="W71" s="36">
        <f>(D71/C71)*1</f>
        <v>1100</v>
      </c>
      <c r="X71" s="36" t="s">
        <v>1302</v>
      </c>
      <c r="Y71" s="33">
        <f t="shared" si="13"/>
        <v>1100</v>
      </c>
      <c r="Z71" s="37" t="str">
        <f t="shared" si="14"/>
        <v/>
      </c>
      <c r="AA71" s="34"/>
      <c r="AB71" s="34"/>
      <c r="AC71" s="34"/>
      <c r="AD71" s="34"/>
    </row>
    <row r="72" spans="1:30" s="38" customFormat="1" ht="25.5">
      <c r="A72" s="39" t="s">
        <v>83</v>
      </c>
      <c r="B72" s="39" t="s">
        <v>995</v>
      </c>
      <c r="C72" s="33">
        <v>2</v>
      </c>
      <c r="D72" s="33">
        <v>23000</v>
      </c>
      <c r="E72" s="33">
        <v>0</v>
      </c>
      <c r="F72" s="33">
        <v>0</v>
      </c>
      <c r="G72" s="33">
        <f t="shared" si="10"/>
        <v>0</v>
      </c>
      <c r="H72" s="34"/>
      <c r="I72" s="34">
        <v>2</v>
      </c>
      <c r="J72" s="52" t="s">
        <v>1308</v>
      </c>
      <c r="K72" s="33"/>
      <c r="L72" s="33"/>
      <c r="M72" s="33"/>
      <c r="N72" s="33"/>
      <c r="O72" s="33"/>
      <c r="P72" s="33">
        <f>(D72/C72)*1</f>
        <v>11500</v>
      </c>
      <c r="Q72" s="33">
        <f>(D72/C72)*1</f>
        <v>11500</v>
      </c>
      <c r="R72" s="33"/>
      <c r="S72" s="33"/>
      <c r="T72" s="33"/>
      <c r="U72" s="33">
        <v>0</v>
      </c>
      <c r="V72" s="33"/>
      <c r="W72" s="33"/>
      <c r="X72" s="33"/>
      <c r="Y72" s="33">
        <f t="shared" si="13"/>
        <v>23000</v>
      </c>
      <c r="Z72" s="37" t="str">
        <f t="shared" si="14"/>
        <v/>
      </c>
      <c r="AA72" s="34"/>
      <c r="AB72" s="34"/>
      <c r="AC72" s="34"/>
      <c r="AD72" s="35"/>
    </row>
    <row r="73" spans="1:30" s="38" customFormat="1" ht="25.5">
      <c r="A73" s="32" t="s">
        <v>1279</v>
      </c>
      <c r="B73" s="32" t="s">
        <v>1309</v>
      </c>
      <c r="C73" s="33">
        <v>1</v>
      </c>
      <c r="D73" s="33">
        <v>12000</v>
      </c>
      <c r="E73" s="33">
        <v>0</v>
      </c>
      <c r="F73" s="33">
        <v>0</v>
      </c>
      <c r="G73" s="33">
        <f t="shared" si="10"/>
        <v>0</v>
      </c>
      <c r="H73" s="34"/>
      <c r="I73" s="34">
        <v>1</v>
      </c>
      <c r="J73" s="34" t="s">
        <v>1310</v>
      </c>
      <c r="K73" s="33"/>
      <c r="L73" s="33"/>
      <c r="M73" s="33"/>
      <c r="N73" s="33"/>
      <c r="O73" s="33"/>
      <c r="P73" s="33"/>
      <c r="Q73" s="33">
        <f>D73</f>
        <v>12000</v>
      </c>
      <c r="R73" s="33"/>
      <c r="S73" s="33"/>
      <c r="T73" s="33"/>
      <c r="U73" s="33">
        <f>C73-E73-I73</f>
        <v>0</v>
      </c>
      <c r="V73" s="36"/>
      <c r="W73" s="36"/>
      <c r="X73" s="36"/>
      <c r="Y73" s="33">
        <f t="shared" si="13"/>
        <v>12000</v>
      </c>
      <c r="Z73" s="37" t="str">
        <f t="shared" si="14"/>
        <v/>
      </c>
      <c r="AA73" s="34"/>
      <c r="AB73" s="34"/>
      <c r="AC73" s="47"/>
      <c r="AD73" s="41"/>
    </row>
    <row r="74" spans="1:30" s="38" customFormat="1">
      <c r="A74" s="32" t="s">
        <v>1280</v>
      </c>
      <c r="B74" s="32" t="s">
        <v>1311</v>
      </c>
      <c r="C74" s="33">
        <v>1</v>
      </c>
      <c r="D74" s="33">
        <v>90060</v>
      </c>
      <c r="E74" s="33">
        <v>0</v>
      </c>
      <c r="F74" s="33">
        <v>0</v>
      </c>
      <c r="G74" s="33">
        <f t="shared" si="10"/>
        <v>0</v>
      </c>
      <c r="H74" s="34"/>
      <c r="I74" s="34">
        <v>1</v>
      </c>
      <c r="J74" s="34" t="s">
        <v>1310</v>
      </c>
      <c r="K74" s="33"/>
      <c r="L74" s="33"/>
      <c r="M74" s="33"/>
      <c r="N74" s="33"/>
      <c r="O74" s="33"/>
      <c r="P74" s="33"/>
      <c r="Q74" s="33">
        <f>D74</f>
        <v>90060</v>
      </c>
      <c r="R74" s="33"/>
      <c r="S74" s="33"/>
      <c r="T74" s="33"/>
      <c r="U74" s="33">
        <f>C74-E74-I74</f>
        <v>0</v>
      </c>
      <c r="V74" s="36"/>
      <c r="W74" s="36"/>
      <c r="X74" s="36"/>
      <c r="Y74" s="33">
        <f t="shared" si="13"/>
        <v>90060</v>
      </c>
      <c r="Z74" s="37" t="str">
        <f t="shared" si="14"/>
        <v/>
      </c>
      <c r="AA74" s="34"/>
      <c r="AB74" s="34"/>
      <c r="AC74" s="47"/>
      <c r="AD74" s="41"/>
    </row>
    <row r="75" spans="1:30" s="38" customFormat="1">
      <c r="A75" s="39" t="s">
        <v>84</v>
      </c>
      <c r="B75" s="39" t="s">
        <v>996</v>
      </c>
      <c r="C75" s="33">
        <v>1</v>
      </c>
      <c r="D75" s="33">
        <v>2500</v>
      </c>
      <c r="E75" s="33">
        <v>0</v>
      </c>
      <c r="F75" s="33">
        <v>0</v>
      </c>
      <c r="G75" s="33">
        <f t="shared" si="10"/>
        <v>0</v>
      </c>
      <c r="H75" s="34"/>
      <c r="I75" s="34">
        <v>1</v>
      </c>
      <c r="J75" s="54" t="s">
        <v>1312</v>
      </c>
      <c r="K75" s="33"/>
      <c r="L75" s="33"/>
      <c r="M75" s="33"/>
      <c r="N75" s="33"/>
      <c r="O75" s="33">
        <f>(D75/C75)*I75</f>
        <v>2500</v>
      </c>
      <c r="P75" s="33"/>
      <c r="Q75" s="33"/>
      <c r="R75" s="33"/>
      <c r="S75" s="33"/>
      <c r="T75" s="33"/>
      <c r="U75" s="33">
        <f>C75-E75-I75</f>
        <v>0</v>
      </c>
      <c r="V75" s="36"/>
      <c r="W75" s="36"/>
      <c r="X75" s="36"/>
      <c r="Y75" s="33">
        <f t="shared" si="13"/>
        <v>2500</v>
      </c>
      <c r="Z75" s="37" t="str">
        <f t="shared" si="14"/>
        <v/>
      </c>
      <c r="AA75" s="34"/>
      <c r="AB75" s="34"/>
      <c r="AC75" s="34"/>
      <c r="AD75" s="35"/>
    </row>
    <row r="76" spans="1:30" s="38" customFormat="1">
      <c r="A76" s="39" t="s">
        <v>1859</v>
      </c>
      <c r="B76" s="39" t="s">
        <v>997</v>
      </c>
      <c r="C76" s="33">
        <v>2</v>
      </c>
      <c r="D76" s="33">
        <v>20926</v>
      </c>
      <c r="E76" s="33">
        <v>2</v>
      </c>
      <c r="F76" s="33">
        <v>1</v>
      </c>
      <c r="G76" s="33">
        <f t="shared" si="10"/>
        <v>1</v>
      </c>
      <c r="H76" s="34" t="s">
        <v>1272</v>
      </c>
      <c r="I76" s="34">
        <v>0</v>
      </c>
      <c r="J76" s="33"/>
      <c r="K76" s="33">
        <f>(D76/C76)*E76</f>
        <v>20926</v>
      </c>
      <c r="L76" s="33"/>
      <c r="M76" s="33"/>
      <c r="N76" s="33"/>
      <c r="O76" s="33"/>
      <c r="P76" s="33"/>
      <c r="Q76" s="33"/>
      <c r="R76" s="33"/>
      <c r="S76" s="33"/>
      <c r="T76" s="33"/>
      <c r="U76" s="33">
        <v>0</v>
      </c>
      <c r="V76" s="36"/>
      <c r="W76" s="36"/>
      <c r="X76" s="36"/>
      <c r="Y76" s="33">
        <f t="shared" si="13"/>
        <v>20926</v>
      </c>
      <c r="Z76" s="37" t="str">
        <f t="shared" si="14"/>
        <v/>
      </c>
      <c r="AA76" s="35"/>
      <c r="AB76" s="35"/>
      <c r="AC76" s="35"/>
      <c r="AD76" s="35"/>
    </row>
    <row r="77" spans="1:30" s="38" customFormat="1">
      <c r="A77" s="32" t="s">
        <v>1374</v>
      </c>
      <c r="B77" s="32" t="s">
        <v>1313</v>
      </c>
      <c r="C77" s="33">
        <v>10</v>
      </c>
      <c r="D77" s="33">
        <v>1950</v>
      </c>
      <c r="E77" s="33">
        <f>5-2</f>
        <v>3</v>
      </c>
      <c r="F77" s="33">
        <v>0</v>
      </c>
      <c r="G77" s="33">
        <f t="shared" ref="G77:G104" si="15">E77-F77</f>
        <v>3</v>
      </c>
      <c r="H77" s="34" t="s">
        <v>1375</v>
      </c>
      <c r="I77" s="34">
        <f>5+2</f>
        <v>7</v>
      </c>
      <c r="J77" s="34" t="s">
        <v>1891</v>
      </c>
      <c r="K77" s="33">
        <f>(D77/C77)*E77</f>
        <v>585</v>
      </c>
      <c r="L77" s="33"/>
      <c r="M77" s="33"/>
      <c r="N77" s="33"/>
      <c r="O77" s="33"/>
      <c r="P77" s="33"/>
      <c r="Q77" s="33"/>
      <c r="R77" s="33">
        <f>(D77/C77)*7</f>
        <v>1365</v>
      </c>
      <c r="S77" s="33"/>
      <c r="T77" s="33"/>
      <c r="U77" s="33">
        <f>C77-E77-I77</f>
        <v>0</v>
      </c>
      <c r="V77" s="36"/>
      <c r="W77" s="36"/>
      <c r="X77" s="36"/>
      <c r="Y77" s="33">
        <f t="shared" si="13"/>
        <v>1950</v>
      </c>
      <c r="Z77" s="37" t="str">
        <f t="shared" si="14"/>
        <v/>
      </c>
      <c r="AA77" s="34"/>
      <c r="AB77" s="34"/>
      <c r="AC77" s="47"/>
      <c r="AD77" s="41"/>
    </row>
    <row r="78" spans="1:30" s="38" customFormat="1">
      <c r="A78" s="39" t="s">
        <v>85</v>
      </c>
      <c r="B78" s="39" t="s">
        <v>998</v>
      </c>
      <c r="C78" s="33">
        <v>1</v>
      </c>
      <c r="D78" s="33">
        <v>2500</v>
      </c>
      <c r="E78" s="33">
        <v>1</v>
      </c>
      <c r="F78" s="33">
        <v>0</v>
      </c>
      <c r="G78" s="33">
        <f t="shared" si="15"/>
        <v>1</v>
      </c>
      <c r="H78" s="34"/>
      <c r="I78" s="34" t="s">
        <v>56</v>
      </c>
      <c r="J78" s="34"/>
      <c r="K78" s="33">
        <f>D78</f>
        <v>2500</v>
      </c>
      <c r="L78" s="33"/>
      <c r="M78" s="33"/>
      <c r="N78" s="33"/>
      <c r="O78" s="33"/>
      <c r="P78" s="33"/>
      <c r="Q78" s="33"/>
      <c r="R78" s="33"/>
      <c r="S78" s="33"/>
      <c r="T78" s="33"/>
      <c r="U78" s="33">
        <v>0</v>
      </c>
      <c r="V78" s="33"/>
      <c r="W78" s="33"/>
      <c r="X78" s="33"/>
      <c r="Y78" s="33">
        <f t="shared" si="13"/>
        <v>2500</v>
      </c>
      <c r="Z78" s="37" t="str">
        <f t="shared" si="14"/>
        <v/>
      </c>
      <c r="AA78" s="34"/>
      <c r="AB78" s="34"/>
      <c r="AC78" s="34"/>
      <c r="AD78" s="35"/>
    </row>
    <row r="79" spans="1:30" s="38" customFormat="1">
      <c r="A79" s="32" t="s">
        <v>86</v>
      </c>
      <c r="B79" s="32" t="s">
        <v>1000</v>
      </c>
      <c r="C79" s="33">
        <v>2</v>
      </c>
      <c r="D79" s="33">
        <v>3300</v>
      </c>
      <c r="E79" s="33">
        <v>1</v>
      </c>
      <c r="F79" s="33">
        <v>0</v>
      </c>
      <c r="G79" s="33">
        <f t="shared" si="15"/>
        <v>1</v>
      </c>
      <c r="H79" s="34" t="s">
        <v>25</v>
      </c>
      <c r="I79" s="34">
        <v>1</v>
      </c>
      <c r="J79" s="34" t="s">
        <v>1001</v>
      </c>
      <c r="K79" s="33">
        <f>3300-1650</f>
        <v>1650</v>
      </c>
      <c r="L79" s="33"/>
      <c r="M79" s="33"/>
      <c r="N79" s="33"/>
      <c r="O79" s="33"/>
      <c r="P79" s="33"/>
      <c r="Q79" s="33"/>
      <c r="R79" s="33"/>
      <c r="S79" s="33"/>
      <c r="T79" s="33">
        <f>(D79/C79)*1</f>
        <v>1650</v>
      </c>
      <c r="U79" s="33">
        <f>C79-E79-I79</f>
        <v>0</v>
      </c>
      <c r="V79" s="33"/>
      <c r="W79" s="33"/>
      <c r="X79" s="33"/>
      <c r="Y79" s="33">
        <f t="shared" si="13"/>
        <v>3300</v>
      </c>
      <c r="Z79" s="37" t="str">
        <f t="shared" si="14"/>
        <v/>
      </c>
      <c r="AA79" s="34"/>
      <c r="AB79" s="34"/>
      <c r="AC79" s="34"/>
      <c r="AD79" s="34"/>
    </row>
    <row r="80" spans="1:30" s="38" customFormat="1">
      <c r="A80" s="32" t="s">
        <v>87</v>
      </c>
      <c r="B80" s="32" t="s">
        <v>1002</v>
      </c>
      <c r="C80" s="33">
        <v>2</v>
      </c>
      <c r="D80" s="33">
        <v>2800</v>
      </c>
      <c r="E80" s="33">
        <v>2</v>
      </c>
      <c r="F80" s="33">
        <v>0</v>
      </c>
      <c r="G80" s="33">
        <f t="shared" si="15"/>
        <v>2</v>
      </c>
      <c r="H80" s="34" t="s">
        <v>25</v>
      </c>
      <c r="I80" s="34">
        <v>0</v>
      </c>
      <c r="J80" s="34"/>
      <c r="K80" s="33">
        <f>D80</f>
        <v>2800</v>
      </c>
      <c r="L80" s="33"/>
      <c r="M80" s="33"/>
      <c r="N80" s="33"/>
      <c r="O80" s="33"/>
      <c r="P80" s="33"/>
      <c r="Q80" s="33"/>
      <c r="R80" s="33"/>
      <c r="S80" s="33"/>
      <c r="T80" s="33"/>
      <c r="U80" s="33">
        <f>C80-E80-I80</f>
        <v>0</v>
      </c>
      <c r="V80" s="36"/>
      <c r="W80" s="36"/>
      <c r="X80" s="36"/>
      <c r="Y80" s="33">
        <f t="shared" si="13"/>
        <v>2800</v>
      </c>
      <c r="Z80" s="37" t="str">
        <f t="shared" si="14"/>
        <v/>
      </c>
      <c r="AA80" s="34"/>
      <c r="AB80" s="34"/>
      <c r="AC80" s="34"/>
      <c r="AD80" s="34"/>
    </row>
    <row r="81" spans="1:30" s="38" customFormat="1">
      <c r="A81" s="39" t="s">
        <v>88</v>
      </c>
      <c r="B81" s="39" t="s">
        <v>1003</v>
      </c>
      <c r="C81" s="33">
        <v>1</v>
      </c>
      <c r="D81" s="33">
        <v>11310</v>
      </c>
      <c r="E81" s="33">
        <v>0</v>
      </c>
      <c r="F81" s="33">
        <v>0</v>
      </c>
      <c r="G81" s="33">
        <f t="shared" si="15"/>
        <v>0</v>
      </c>
      <c r="H81" s="34"/>
      <c r="I81" s="34">
        <v>1</v>
      </c>
      <c r="J81" s="54" t="s">
        <v>1312</v>
      </c>
      <c r="K81" s="33"/>
      <c r="L81" s="33"/>
      <c r="M81" s="33"/>
      <c r="N81" s="33"/>
      <c r="O81" s="33">
        <f>(D81/C81)*1</f>
        <v>11310</v>
      </c>
      <c r="P81" s="33"/>
      <c r="Q81" s="33"/>
      <c r="R81" s="33"/>
      <c r="S81" s="33"/>
      <c r="T81" s="33"/>
      <c r="U81" s="33">
        <f>C81-E81-I81</f>
        <v>0</v>
      </c>
      <c r="V81" s="36"/>
      <c r="W81" s="36"/>
      <c r="X81" s="36"/>
      <c r="Y81" s="33">
        <f t="shared" si="13"/>
        <v>11310</v>
      </c>
      <c r="Z81" s="37" t="str">
        <f t="shared" si="14"/>
        <v/>
      </c>
      <c r="AA81" s="34"/>
      <c r="AB81" s="34"/>
      <c r="AC81" s="34"/>
      <c r="AD81" s="34"/>
    </row>
    <row r="82" spans="1:30" s="38" customFormat="1">
      <c r="A82" s="39" t="s">
        <v>89</v>
      </c>
      <c r="B82" s="39" t="s">
        <v>1004</v>
      </c>
      <c r="C82" s="33">
        <v>2</v>
      </c>
      <c r="D82" s="33">
        <v>59490</v>
      </c>
      <c r="E82" s="33">
        <v>0</v>
      </c>
      <c r="F82" s="33">
        <v>0</v>
      </c>
      <c r="G82" s="33">
        <f t="shared" si="15"/>
        <v>0</v>
      </c>
      <c r="H82" s="34"/>
      <c r="I82" s="34">
        <v>2</v>
      </c>
      <c r="J82" s="34" t="s">
        <v>1005</v>
      </c>
      <c r="K82" s="33"/>
      <c r="L82" s="33"/>
      <c r="M82" s="33"/>
      <c r="N82" s="33"/>
      <c r="O82" s="33">
        <f>(D82/C82)*I82</f>
        <v>59490</v>
      </c>
      <c r="P82" s="33"/>
      <c r="Q82" s="33"/>
      <c r="R82" s="33"/>
      <c r="S82" s="33"/>
      <c r="T82" s="33"/>
      <c r="U82" s="33">
        <v>0</v>
      </c>
      <c r="V82" s="33"/>
      <c r="W82" s="33"/>
      <c r="X82" s="33"/>
      <c r="Y82" s="33">
        <f t="shared" si="13"/>
        <v>59490</v>
      </c>
      <c r="Z82" s="37" t="str">
        <f t="shared" si="14"/>
        <v/>
      </c>
      <c r="AA82" s="34"/>
      <c r="AB82" s="34"/>
      <c r="AC82" s="34"/>
      <c r="AD82" s="35"/>
    </row>
    <row r="83" spans="1:30" s="38" customFormat="1">
      <c r="A83" s="32" t="s">
        <v>90</v>
      </c>
      <c r="B83" s="32" t="s">
        <v>1006</v>
      </c>
      <c r="C83" s="33">
        <v>1</v>
      </c>
      <c r="D83" s="33">
        <v>180</v>
      </c>
      <c r="E83" s="33">
        <v>0</v>
      </c>
      <c r="F83" s="33">
        <v>0</v>
      </c>
      <c r="G83" s="33">
        <f t="shared" si="15"/>
        <v>0</v>
      </c>
      <c r="H83" s="34"/>
      <c r="I83" s="34">
        <v>1</v>
      </c>
      <c r="J83" s="41" t="s">
        <v>968</v>
      </c>
      <c r="K83" s="42"/>
      <c r="L83" s="33"/>
      <c r="M83" s="33"/>
      <c r="N83" s="33"/>
      <c r="O83" s="33"/>
      <c r="P83" s="33"/>
      <c r="Q83" s="33"/>
      <c r="R83" s="33"/>
      <c r="S83" s="33"/>
      <c r="T83" s="33">
        <f>(D83/C83)*1</f>
        <v>180</v>
      </c>
      <c r="U83" s="33">
        <f>C83-E83-I83</f>
        <v>0</v>
      </c>
      <c r="V83" s="36"/>
      <c r="W83" s="36"/>
      <c r="X83" s="36"/>
      <c r="Y83" s="33">
        <f t="shared" si="13"/>
        <v>180</v>
      </c>
      <c r="Z83" s="37" t="str">
        <f t="shared" si="14"/>
        <v/>
      </c>
      <c r="AA83" s="34"/>
      <c r="AB83" s="34"/>
      <c r="AC83" s="34"/>
      <c r="AD83" s="34"/>
    </row>
    <row r="84" spans="1:30" s="38" customFormat="1">
      <c r="A84" s="39" t="s">
        <v>91</v>
      </c>
      <c r="B84" s="39" t="s">
        <v>1007</v>
      </c>
      <c r="C84" s="33">
        <v>1</v>
      </c>
      <c r="D84" s="33">
        <v>445</v>
      </c>
      <c r="E84" s="33">
        <v>0</v>
      </c>
      <c r="F84" s="33">
        <v>0</v>
      </c>
      <c r="G84" s="33">
        <f t="shared" si="15"/>
        <v>0</v>
      </c>
      <c r="H84" s="34"/>
      <c r="I84" s="34">
        <v>1</v>
      </c>
      <c r="J84" s="34" t="s">
        <v>924</v>
      </c>
      <c r="K84" s="33"/>
      <c r="L84" s="33">
        <f>(D84/C84)*1</f>
        <v>445</v>
      </c>
      <c r="M84" s="33"/>
      <c r="N84" s="33"/>
      <c r="O84" s="33"/>
      <c r="P84" s="33"/>
      <c r="Q84" s="33"/>
      <c r="R84" s="33"/>
      <c r="S84" s="33"/>
      <c r="T84" s="33"/>
      <c r="U84" s="33">
        <f>C84-E84-I84</f>
        <v>0</v>
      </c>
      <c r="V84" s="36"/>
      <c r="W84" s="36"/>
      <c r="X84" s="36"/>
      <c r="Y84" s="33">
        <f t="shared" si="13"/>
        <v>445</v>
      </c>
      <c r="Z84" s="37" t="str">
        <f t="shared" si="14"/>
        <v/>
      </c>
      <c r="AA84" s="34"/>
      <c r="AB84" s="34"/>
      <c r="AC84" s="34"/>
      <c r="AD84" s="34"/>
    </row>
    <row r="85" spans="1:30" s="38" customFormat="1">
      <c r="A85" s="32" t="s">
        <v>92</v>
      </c>
      <c r="B85" s="32" t="s">
        <v>1008</v>
      </c>
      <c r="C85" s="33">
        <v>1</v>
      </c>
      <c r="D85" s="33">
        <v>3660</v>
      </c>
      <c r="E85" s="33">
        <v>0</v>
      </c>
      <c r="F85" s="33">
        <v>0</v>
      </c>
      <c r="G85" s="33">
        <f t="shared" si="15"/>
        <v>0</v>
      </c>
      <c r="H85" s="34"/>
      <c r="I85" s="34">
        <v>1</v>
      </c>
      <c r="J85" s="34" t="s">
        <v>1009</v>
      </c>
      <c r="K85" s="33"/>
      <c r="L85" s="33"/>
      <c r="M85" s="33"/>
      <c r="N85" s="33"/>
      <c r="O85" s="33"/>
      <c r="P85" s="33"/>
      <c r="Q85" s="33"/>
      <c r="R85" s="33"/>
      <c r="S85" s="33"/>
      <c r="T85" s="33">
        <f>(D85/C85)*1</f>
        <v>3660</v>
      </c>
      <c r="U85" s="33">
        <f>C85-E85-I85</f>
        <v>0</v>
      </c>
      <c r="V85" s="36"/>
      <c r="W85" s="36"/>
      <c r="X85" s="36"/>
      <c r="Y85" s="33">
        <f t="shared" si="13"/>
        <v>3660</v>
      </c>
      <c r="Z85" s="37" t="str">
        <f t="shared" si="14"/>
        <v/>
      </c>
      <c r="AA85" s="34"/>
      <c r="AB85" s="34"/>
      <c r="AC85" s="34"/>
      <c r="AD85" s="34"/>
    </row>
    <row r="86" spans="1:30" s="38" customFormat="1">
      <c r="A86" s="32" t="s">
        <v>1281</v>
      </c>
      <c r="B86" s="32" t="s">
        <v>1314</v>
      </c>
      <c r="C86" s="33">
        <v>2</v>
      </c>
      <c r="D86" s="33">
        <v>19600</v>
      </c>
      <c r="E86" s="33">
        <v>0</v>
      </c>
      <c r="F86" s="33">
        <v>0</v>
      </c>
      <c r="G86" s="33">
        <f t="shared" si="15"/>
        <v>0</v>
      </c>
      <c r="H86" s="34"/>
      <c r="I86" s="34">
        <v>2</v>
      </c>
      <c r="J86" s="34" t="s">
        <v>1315</v>
      </c>
      <c r="K86" s="33"/>
      <c r="L86" s="33"/>
      <c r="M86" s="33"/>
      <c r="N86" s="33"/>
      <c r="O86" s="33"/>
      <c r="P86" s="33"/>
      <c r="Q86" s="33"/>
      <c r="R86" s="33"/>
      <c r="S86" s="33"/>
      <c r="T86" s="33">
        <f>D86</f>
        <v>19600</v>
      </c>
      <c r="U86" s="33">
        <f>C86-E86-I86</f>
        <v>0</v>
      </c>
      <c r="V86" s="36"/>
      <c r="W86" s="36"/>
      <c r="X86" s="36"/>
      <c r="Y86" s="33">
        <f t="shared" si="13"/>
        <v>19600</v>
      </c>
      <c r="Z86" s="37" t="str">
        <f t="shared" si="14"/>
        <v/>
      </c>
      <c r="AA86" s="34"/>
      <c r="AB86" s="34"/>
      <c r="AC86" s="47"/>
      <c r="AD86" s="41"/>
    </row>
    <row r="87" spans="1:30" s="38" customFormat="1">
      <c r="A87" s="32" t="s">
        <v>1282</v>
      </c>
      <c r="B87" s="32" t="s">
        <v>1316</v>
      </c>
      <c r="C87" s="33">
        <v>1</v>
      </c>
      <c r="D87" s="33">
        <v>1090</v>
      </c>
      <c r="E87" s="33">
        <v>0</v>
      </c>
      <c r="F87" s="33">
        <v>0</v>
      </c>
      <c r="G87" s="33">
        <f t="shared" si="15"/>
        <v>0</v>
      </c>
      <c r="H87" s="34"/>
      <c r="I87" s="34">
        <v>1</v>
      </c>
      <c r="J87" s="34" t="s">
        <v>1317</v>
      </c>
      <c r="K87" s="33"/>
      <c r="L87" s="33"/>
      <c r="M87" s="33"/>
      <c r="N87" s="33"/>
      <c r="O87" s="33"/>
      <c r="P87" s="33"/>
      <c r="Q87" s="33"/>
      <c r="R87" s="33"/>
      <c r="S87" s="33"/>
      <c r="T87" s="33">
        <f>D87</f>
        <v>1090</v>
      </c>
      <c r="U87" s="33">
        <f>C87-E87-I87</f>
        <v>0</v>
      </c>
      <c r="V87" s="36"/>
      <c r="W87" s="36"/>
      <c r="X87" s="36"/>
      <c r="Y87" s="33">
        <f t="shared" si="13"/>
        <v>1090</v>
      </c>
      <c r="Z87" s="37" t="str">
        <f t="shared" si="14"/>
        <v/>
      </c>
      <c r="AA87" s="34"/>
      <c r="AB87" s="34"/>
      <c r="AC87" s="47"/>
      <c r="AD87" s="41"/>
    </row>
    <row r="88" spans="1:30" s="38" customFormat="1">
      <c r="A88" s="32" t="s">
        <v>93</v>
      </c>
      <c r="B88" s="32" t="s">
        <v>93</v>
      </c>
      <c r="C88" s="33">
        <v>2</v>
      </c>
      <c r="D88" s="33">
        <v>12722</v>
      </c>
      <c r="E88" s="33">
        <v>4</v>
      </c>
      <c r="F88" s="33">
        <v>0</v>
      </c>
      <c r="G88" s="33">
        <f t="shared" si="15"/>
        <v>4</v>
      </c>
      <c r="H88" s="34" t="s">
        <v>15</v>
      </c>
      <c r="I88" s="34">
        <v>0</v>
      </c>
      <c r="J88" s="34"/>
      <c r="K88" s="33">
        <f>(D88/C88)*2</f>
        <v>12722</v>
      </c>
      <c r="L88" s="33"/>
      <c r="M88" s="33"/>
      <c r="N88" s="33"/>
      <c r="O88" s="33"/>
      <c r="P88" s="33"/>
      <c r="Q88" s="33"/>
      <c r="R88" s="33"/>
      <c r="S88" s="33"/>
      <c r="T88" s="33"/>
      <c r="U88" s="33">
        <v>0</v>
      </c>
      <c r="V88" s="36"/>
      <c r="W88" s="36"/>
      <c r="X88" s="36"/>
      <c r="Y88" s="33">
        <f t="shared" si="13"/>
        <v>12722</v>
      </c>
      <c r="Z88" s="37" t="str">
        <f t="shared" si="14"/>
        <v/>
      </c>
      <c r="AA88" s="34"/>
      <c r="AB88" s="34"/>
      <c r="AC88" s="34"/>
      <c r="AD88" s="34"/>
    </row>
    <row r="89" spans="1:30" s="38" customFormat="1">
      <c r="A89" s="32" t="s">
        <v>94</v>
      </c>
      <c r="B89" s="32" t="s">
        <v>94</v>
      </c>
      <c r="C89" s="33">
        <v>3</v>
      </c>
      <c r="D89" s="33">
        <v>17979</v>
      </c>
      <c r="E89" s="33">
        <v>3</v>
      </c>
      <c r="F89" s="33">
        <v>0</v>
      </c>
      <c r="G89" s="33">
        <f t="shared" si="15"/>
        <v>3</v>
      </c>
      <c r="H89" s="34" t="s">
        <v>15</v>
      </c>
      <c r="I89" s="34">
        <v>0</v>
      </c>
      <c r="J89" s="34"/>
      <c r="K89" s="33">
        <f>(D89/C89)*3</f>
        <v>17979</v>
      </c>
      <c r="L89" s="33"/>
      <c r="M89" s="33"/>
      <c r="N89" s="33"/>
      <c r="O89" s="33"/>
      <c r="P89" s="33"/>
      <c r="Q89" s="33"/>
      <c r="R89" s="33"/>
      <c r="S89" s="33"/>
      <c r="T89" s="33"/>
      <c r="U89" s="33">
        <f>C89-E89-I89</f>
        <v>0</v>
      </c>
      <c r="V89" s="36"/>
      <c r="W89" s="36"/>
      <c r="X89" s="36"/>
      <c r="Y89" s="33">
        <f t="shared" si="13"/>
        <v>17979</v>
      </c>
      <c r="Z89" s="37" t="str">
        <f t="shared" si="14"/>
        <v/>
      </c>
      <c r="AA89" s="34"/>
      <c r="AB89" s="34"/>
      <c r="AC89" s="34"/>
      <c r="AD89" s="34"/>
    </row>
    <row r="90" spans="1:30" s="38" customFormat="1">
      <c r="A90" s="32" t="s">
        <v>95</v>
      </c>
      <c r="B90" s="32" t="s">
        <v>95</v>
      </c>
      <c r="C90" s="33">
        <v>2</v>
      </c>
      <c r="D90" s="33">
        <v>11200</v>
      </c>
      <c r="E90" s="33">
        <v>2</v>
      </c>
      <c r="F90" s="33">
        <v>0</v>
      </c>
      <c r="G90" s="33">
        <f t="shared" si="15"/>
        <v>2</v>
      </c>
      <c r="H90" s="34" t="s">
        <v>23</v>
      </c>
      <c r="I90" s="34">
        <v>0</v>
      </c>
      <c r="J90" s="34"/>
      <c r="K90" s="33">
        <f>(D90/C90)*2</f>
        <v>11200</v>
      </c>
      <c r="L90" s="33"/>
      <c r="M90" s="33"/>
      <c r="N90" s="33"/>
      <c r="O90" s="33"/>
      <c r="P90" s="33"/>
      <c r="Q90" s="33"/>
      <c r="R90" s="33"/>
      <c r="S90" s="33"/>
      <c r="T90" s="33"/>
      <c r="U90" s="33">
        <f>C90-E90-I90</f>
        <v>0</v>
      </c>
      <c r="V90" s="36"/>
      <c r="W90" s="36"/>
      <c r="X90" s="36"/>
      <c r="Y90" s="33">
        <f t="shared" si="13"/>
        <v>11200</v>
      </c>
      <c r="Z90" s="37" t="str">
        <f t="shared" si="14"/>
        <v/>
      </c>
      <c r="AA90" s="34"/>
      <c r="AB90" s="34"/>
      <c r="AC90" s="34"/>
      <c r="AD90" s="34"/>
    </row>
    <row r="91" spans="1:30" s="38" customFormat="1">
      <c r="A91" s="32" t="s">
        <v>96</v>
      </c>
      <c r="B91" s="32" t="s">
        <v>97</v>
      </c>
      <c r="C91" s="33">
        <v>1</v>
      </c>
      <c r="D91" s="33">
        <v>2240</v>
      </c>
      <c r="E91" s="33">
        <v>0</v>
      </c>
      <c r="F91" s="33">
        <v>0</v>
      </c>
      <c r="G91" s="33">
        <f t="shared" si="15"/>
        <v>0</v>
      </c>
      <c r="H91" s="34"/>
      <c r="I91" s="34">
        <v>0</v>
      </c>
      <c r="J91" s="34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>
        <f>C91-E91-I91</f>
        <v>1</v>
      </c>
      <c r="V91" s="36">
        <f>(D91/C91)*1</f>
        <v>2240</v>
      </c>
      <c r="W91" s="36"/>
      <c r="X91" s="36"/>
      <c r="Y91" s="33">
        <f t="shared" si="13"/>
        <v>2240</v>
      </c>
      <c r="Z91" s="37" t="str">
        <f t="shared" si="14"/>
        <v/>
      </c>
      <c r="AA91" s="34"/>
      <c r="AB91" s="34"/>
      <c r="AC91" s="34"/>
      <c r="AD91" s="34"/>
    </row>
    <row r="92" spans="1:30" s="38" customFormat="1">
      <c r="A92" s="32" t="s">
        <v>98</v>
      </c>
      <c r="B92" s="32" t="s">
        <v>99</v>
      </c>
      <c r="C92" s="33">
        <v>12</v>
      </c>
      <c r="D92" s="33">
        <v>16800</v>
      </c>
      <c r="E92" s="33">
        <v>12</v>
      </c>
      <c r="F92" s="33">
        <v>0</v>
      </c>
      <c r="G92" s="33">
        <f t="shared" si="15"/>
        <v>12</v>
      </c>
      <c r="H92" s="34" t="s">
        <v>15</v>
      </c>
      <c r="I92" s="34">
        <v>0</v>
      </c>
      <c r="J92" s="34"/>
      <c r="K92" s="33">
        <f>D92</f>
        <v>16800</v>
      </c>
      <c r="L92" s="33"/>
      <c r="M92" s="33"/>
      <c r="N92" s="33"/>
      <c r="O92" s="33"/>
      <c r="P92" s="33"/>
      <c r="Q92" s="33"/>
      <c r="R92" s="33"/>
      <c r="S92" s="33"/>
      <c r="T92" s="33"/>
      <c r="U92" s="33">
        <f>C92-E92-I92</f>
        <v>0</v>
      </c>
      <c r="V92" s="36"/>
      <c r="W92" s="36"/>
      <c r="X92" s="36"/>
      <c r="Y92" s="33">
        <f t="shared" si="13"/>
        <v>16800</v>
      </c>
      <c r="Z92" s="37" t="str">
        <f t="shared" si="14"/>
        <v/>
      </c>
      <c r="AA92" s="34"/>
      <c r="AB92" s="34"/>
      <c r="AC92" s="34"/>
      <c r="AD92" s="34"/>
    </row>
    <row r="93" spans="1:30" s="38" customFormat="1">
      <c r="A93" s="32" t="s">
        <v>100</v>
      </c>
      <c r="B93" s="32" t="s">
        <v>101</v>
      </c>
      <c r="C93" s="33">
        <v>7</v>
      </c>
      <c r="D93" s="33">
        <v>8882</v>
      </c>
      <c r="E93" s="33">
        <v>1</v>
      </c>
      <c r="F93" s="33">
        <v>0</v>
      </c>
      <c r="G93" s="33">
        <f t="shared" si="15"/>
        <v>1</v>
      </c>
      <c r="H93" s="34" t="s">
        <v>15</v>
      </c>
      <c r="I93" s="34">
        <v>0</v>
      </c>
      <c r="J93" s="34"/>
      <c r="K93" s="33">
        <f>(D93/C93)*E93</f>
        <v>1268.8571428571429</v>
      </c>
      <c r="L93" s="33"/>
      <c r="M93" s="33"/>
      <c r="N93" s="33"/>
      <c r="O93" s="33"/>
      <c r="P93" s="33"/>
      <c r="Q93" s="33"/>
      <c r="R93" s="33"/>
      <c r="S93" s="33"/>
      <c r="T93" s="33"/>
      <c r="U93" s="33">
        <f>C93-E93-I93</f>
        <v>6</v>
      </c>
      <c r="V93" s="36"/>
      <c r="W93" s="36">
        <f>(D93/C93)*6</f>
        <v>7613.1428571428569</v>
      </c>
      <c r="X93" s="36" t="s">
        <v>1010</v>
      </c>
      <c r="Y93" s="33">
        <f t="shared" si="13"/>
        <v>8882</v>
      </c>
      <c r="Z93" s="37" t="str">
        <f t="shared" si="14"/>
        <v/>
      </c>
      <c r="AA93" s="34"/>
      <c r="AB93" s="34"/>
      <c r="AC93" s="34"/>
      <c r="AD93" s="34"/>
    </row>
    <row r="94" spans="1:30" s="38" customFormat="1">
      <c r="A94" s="32" t="s">
        <v>102</v>
      </c>
      <c r="B94" s="32" t="s">
        <v>103</v>
      </c>
      <c r="C94" s="33">
        <v>1</v>
      </c>
      <c r="D94" s="33">
        <v>1580</v>
      </c>
      <c r="E94" s="33">
        <v>2</v>
      </c>
      <c r="F94" s="33">
        <v>0</v>
      </c>
      <c r="G94" s="33">
        <f t="shared" si="15"/>
        <v>2</v>
      </c>
      <c r="H94" s="34" t="s">
        <v>15</v>
      </c>
      <c r="I94" s="34">
        <v>0</v>
      </c>
      <c r="J94" s="34"/>
      <c r="K94" s="33">
        <f>D94</f>
        <v>1580</v>
      </c>
      <c r="L94" s="33"/>
      <c r="M94" s="33"/>
      <c r="N94" s="33"/>
      <c r="O94" s="33"/>
      <c r="P94" s="33"/>
      <c r="Q94" s="33"/>
      <c r="R94" s="33"/>
      <c r="S94" s="33"/>
      <c r="T94" s="33"/>
      <c r="U94" s="33">
        <v>0</v>
      </c>
      <c r="V94" s="36"/>
      <c r="W94" s="36"/>
      <c r="X94" s="36"/>
      <c r="Y94" s="33">
        <f t="shared" si="13"/>
        <v>1580</v>
      </c>
      <c r="Z94" s="37" t="str">
        <f t="shared" si="14"/>
        <v/>
      </c>
      <c r="AA94" s="34"/>
      <c r="AB94" s="34"/>
      <c r="AC94" s="34"/>
      <c r="AD94" s="34"/>
    </row>
    <row r="95" spans="1:30" s="38" customFormat="1">
      <c r="A95" s="32" t="s">
        <v>104</v>
      </c>
      <c r="B95" s="32" t="s">
        <v>105</v>
      </c>
      <c r="C95" s="33">
        <v>1</v>
      </c>
      <c r="D95" s="33">
        <v>19101</v>
      </c>
      <c r="E95" s="33">
        <v>0</v>
      </c>
      <c r="F95" s="33">
        <v>0</v>
      </c>
      <c r="G95" s="33">
        <f t="shared" si="15"/>
        <v>0</v>
      </c>
      <c r="H95" s="34"/>
      <c r="I95" s="34">
        <v>1</v>
      </c>
      <c r="J95" s="34" t="s">
        <v>1011</v>
      </c>
      <c r="K95" s="33"/>
      <c r="L95" s="33"/>
      <c r="M95" s="33"/>
      <c r="N95" s="33"/>
      <c r="O95" s="33"/>
      <c r="P95" s="33"/>
      <c r="Q95" s="33"/>
      <c r="R95" s="33"/>
      <c r="S95" s="33"/>
      <c r="T95" s="33">
        <f>D95</f>
        <v>19101</v>
      </c>
      <c r="U95" s="33">
        <f t="shared" ref="U95:U101" si="16">C95-E95-I95</f>
        <v>0</v>
      </c>
      <c r="V95" s="36"/>
      <c r="W95" s="36"/>
      <c r="X95" s="36"/>
      <c r="Y95" s="33">
        <f t="shared" si="13"/>
        <v>19101</v>
      </c>
      <c r="Z95" s="37" t="str">
        <f t="shared" si="14"/>
        <v/>
      </c>
      <c r="AA95" s="34"/>
      <c r="AB95" s="34"/>
      <c r="AC95" s="34"/>
      <c r="AD95" s="34"/>
    </row>
    <row r="96" spans="1:30" s="38" customFormat="1">
      <c r="A96" s="39" t="s">
        <v>106</v>
      </c>
      <c r="B96" s="39" t="s">
        <v>1012</v>
      </c>
      <c r="C96" s="33">
        <v>1</v>
      </c>
      <c r="D96" s="33">
        <v>500</v>
      </c>
      <c r="E96" s="33">
        <v>0</v>
      </c>
      <c r="F96" s="33">
        <v>0</v>
      </c>
      <c r="G96" s="33">
        <f t="shared" si="15"/>
        <v>0</v>
      </c>
      <c r="I96" s="34">
        <v>0</v>
      </c>
      <c r="J96" s="34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>
        <f t="shared" si="16"/>
        <v>1</v>
      </c>
      <c r="V96" s="36">
        <f>(D96/C96)*1</f>
        <v>500</v>
      </c>
      <c r="W96" s="36"/>
      <c r="X96" s="36"/>
      <c r="Y96" s="33">
        <f t="shared" si="13"/>
        <v>500</v>
      </c>
      <c r="Z96" s="37" t="str">
        <f t="shared" si="14"/>
        <v/>
      </c>
      <c r="AA96" s="34"/>
      <c r="AB96" s="34"/>
      <c r="AC96" s="34"/>
      <c r="AD96" s="34"/>
    </row>
    <row r="97" spans="1:30" s="38" customFormat="1">
      <c r="A97" s="39" t="s">
        <v>107</v>
      </c>
      <c r="B97" s="39" t="s">
        <v>108</v>
      </c>
      <c r="C97" s="33">
        <v>1</v>
      </c>
      <c r="D97" s="33">
        <v>12000</v>
      </c>
      <c r="E97" s="33">
        <v>0</v>
      </c>
      <c r="F97" s="33">
        <v>0</v>
      </c>
      <c r="G97" s="33">
        <f t="shared" si="15"/>
        <v>0</v>
      </c>
      <c r="H97" s="34"/>
      <c r="I97" s="34">
        <v>0</v>
      </c>
      <c r="J97" s="34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>
        <f t="shared" si="16"/>
        <v>1</v>
      </c>
      <c r="V97" s="36">
        <f>(D97/C97)*1</f>
        <v>12000</v>
      </c>
      <c r="W97" s="36"/>
      <c r="X97" s="36"/>
      <c r="Y97" s="33">
        <f t="shared" si="13"/>
        <v>12000</v>
      </c>
      <c r="Z97" s="37" t="str">
        <f t="shared" si="14"/>
        <v/>
      </c>
      <c r="AA97" s="34"/>
      <c r="AB97" s="34"/>
      <c r="AC97" s="34"/>
      <c r="AD97" s="34"/>
    </row>
    <row r="98" spans="1:30" s="38" customFormat="1">
      <c r="A98" s="39" t="s">
        <v>109</v>
      </c>
      <c r="B98" s="39" t="s">
        <v>1013</v>
      </c>
      <c r="C98" s="33">
        <v>1</v>
      </c>
      <c r="D98" s="33">
        <v>11905</v>
      </c>
      <c r="E98" s="33">
        <v>0</v>
      </c>
      <c r="F98" s="33">
        <v>0</v>
      </c>
      <c r="G98" s="33">
        <f t="shared" si="15"/>
        <v>0</v>
      </c>
      <c r="H98" s="34"/>
      <c r="I98" s="34">
        <v>0</v>
      </c>
      <c r="J98" s="34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>
        <f t="shared" si="16"/>
        <v>1</v>
      </c>
      <c r="V98" s="36">
        <f>(D98/C98)*1</f>
        <v>11905</v>
      </c>
      <c r="W98" s="36"/>
      <c r="X98" s="36"/>
      <c r="Y98" s="33">
        <f t="shared" si="13"/>
        <v>11905</v>
      </c>
      <c r="Z98" s="37" t="str">
        <f t="shared" si="14"/>
        <v/>
      </c>
      <c r="AA98" s="34"/>
      <c r="AB98" s="34"/>
      <c r="AC98" s="34"/>
      <c r="AD98" s="34"/>
    </row>
    <row r="99" spans="1:30" s="38" customFormat="1">
      <c r="A99" s="39" t="s">
        <v>110</v>
      </c>
      <c r="B99" s="39" t="s">
        <v>1014</v>
      </c>
      <c r="C99" s="33">
        <v>3</v>
      </c>
      <c r="D99" s="33">
        <v>1800</v>
      </c>
      <c r="E99" s="33">
        <v>0</v>
      </c>
      <c r="F99" s="33">
        <v>0</v>
      </c>
      <c r="G99" s="33">
        <f t="shared" si="15"/>
        <v>0</v>
      </c>
      <c r="H99" s="34"/>
      <c r="I99" s="34">
        <v>0</v>
      </c>
      <c r="J99" s="34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>
        <f t="shared" si="16"/>
        <v>3</v>
      </c>
      <c r="V99" s="36"/>
      <c r="W99" s="36">
        <f>(D99/C99)*3</f>
        <v>1800</v>
      </c>
      <c r="X99" s="36" t="s">
        <v>1015</v>
      </c>
      <c r="Y99" s="33">
        <f t="shared" si="13"/>
        <v>1800</v>
      </c>
      <c r="Z99" s="37" t="str">
        <f t="shared" si="14"/>
        <v/>
      </c>
      <c r="AA99" s="34"/>
      <c r="AB99" s="34"/>
      <c r="AC99" s="34"/>
      <c r="AD99" s="34"/>
    </row>
    <row r="100" spans="1:30" s="38" customFormat="1" ht="25.5">
      <c r="A100" s="39" t="s">
        <v>111</v>
      </c>
      <c r="B100" s="39" t="s">
        <v>1016</v>
      </c>
      <c r="C100" s="33">
        <v>24</v>
      </c>
      <c r="D100" s="33">
        <v>10800</v>
      </c>
      <c r="E100" s="33">
        <v>2</v>
      </c>
      <c r="F100" s="33">
        <v>0</v>
      </c>
      <c r="G100" s="33">
        <f t="shared" si="15"/>
        <v>2</v>
      </c>
      <c r="H100" s="34" t="s">
        <v>23</v>
      </c>
      <c r="I100" s="34">
        <f>9+1</f>
        <v>10</v>
      </c>
      <c r="J100" s="35" t="s">
        <v>1017</v>
      </c>
      <c r="K100" s="33">
        <f>(D100/C100)*2</f>
        <v>900</v>
      </c>
      <c r="L100" s="33"/>
      <c r="M100" s="33"/>
      <c r="N100" s="33"/>
      <c r="O100" s="33"/>
      <c r="P100" s="33"/>
      <c r="Q100" s="33"/>
      <c r="R100" s="33"/>
      <c r="S100" s="33"/>
      <c r="T100" s="33">
        <f>(D100/C100)*10</f>
        <v>4500</v>
      </c>
      <c r="U100" s="33">
        <f t="shared" si="16"/>
        <v>12</v>
      </c>
      <c r="V100" s="36">
        <f>(D100/C100)*10</f>
        <v>4500</v>
      </c>
      <c r="W100" s="36">
        <f>(D100/C100)*2</f>
        <v>900</v>
      </c>
      <c r="X100" s="36" t="s">
        <v>1018</v>
      </c>
      <c r="Y100" s="33">
        <f t="shared" si="13"/>
        <v>10800</v>
      </c>
      <c r="Z100" s="37" t="str">
        <f t="shared" si="14"/>
        <v/>
      </c>
      <c r="AA100" s="34"/>
      <c r="AB100" s="34"/>
      <c r="AC100" s="34"/>
      <c r="AD100" s="34"/>
    </row>
    <row r="101" spans="1:30" s="38" customFormat="1">
      <c r="A101" s="39" t="s">
        <v>112</v>
      </c>
      <c r="B101" s="39" t="s">
        <v>1019</v>
      </c>
      <c r="C101" s="33">
        <v>1</v>
      </c>
      <c r="D101" s="33">
        <v>550</v>
      </c>
      <c r="E101" s="33">
        <v>0</v>
      </c>
      <c r="F101" s="33">
        <v>0</v>
      </c>
      <c r="G101" s="33">
        <f t="shared" si="15"/>
        <v>0</v>
      </c>
      <c r="H101" s="34"/>
      <c r="I101" s="34">
        <v>0</v>
      </c>
      <c r="J101" s="34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>
        <f t="shared" si="16"/>
        <v>1</v>
      </c>
      <c r="V101" s="36"/>
      <c r="W101" s="36">
        <f>(D101/C101)*1</f>
        <v>550</v>
      </c>
      <c r="X101" s="36" t="s">
        <v>1020</v>
      </c>
      <c r="Y101" s="33">
        <f t="shared" si="13"/>
        <v>550</v>
      </c>
      <c r="Z101" s="37" t="str">
        <f t="shared" si="14"/>
        <v/>
      </c>
      <c r="AA101" s="34"/>
      <c r="AB101" s="34"/>
      <c r="AC101" s="34"/>
      <c r="AD101" s="34"/>
    </row>
    <row r="102" spans="1:30" s="38" customFormat="1">
      <c r="A102" s="39" t="s">
        <v>113</v>
      </c>
      <c r="B102" s="39" t="s">
        <v>1021</v>
      </c>
      <c r="C102" s="33">
        <v>1</v>
      </c>
      <c r="D102" s="33">
        <v>2300</v>
      </c>
      <c r="E102" s="33">
        <v>2</v>
      </c>
      <c r="F102" s="33">
        <v>0</v>
      </c>
      <c r="G102" s="33">
        <f t="shared" si="15"/>
        <v>2</v>
      </c>
      <c r="H102" s="34" t="s">
        <v>23</v>
      </c>
      <c r="I102" s="34">
        <v>0</v>
      </c>
      <c r="J102" s="34"/>
      <c r="K102" s="33">
        <f>(D102/C102)*1</f>
        <v>2300</v>
      </c>
      <c r="L102" s="33"/>
      <c r="M102" s="33"/>
      <c r="N102" s="33"/>
      <c r="O102" s="33"/>
      <c r="P102" s="33"/>
      <c r="Q102" s="33"/>
      <c r="R102" s="33"/>
      <c r="S102" s="33"/>
      <c r="T102" s="33"/>
      <c r="U102" s="33">
        <v>0</v>
      </c>
      <c r="V102" s="36"/>
      <c r="W102" s="36"/>
      <c r="X102" s="36"/>
      <c r="Y102" s="33">
        <f t="shared" si="13"/>
        <v>2300</v>
      </c>
      <c r="Z102" s="37" t="str">
        <f t="shared" si="14"/>
        <v/>
      </c>
      <c r="AA102" s="34"/>
      <c r="AB102" s="34"/>
      <c r="AC102" s="34"/>
      <c r="AD102" s="34"/>
    </row>
    <row r="103" spans="1:30" s="38" customFormat="1" ht="25.5">
      <c r="A103" s="39" t="s">
        <v>114</v>
      </c>
      <c r="B103" s="39" t="s">
        <v>1022</v>
      </c>
      <c r="C103" s="33">
        <v>1</v>
      </c>
      <c r="D103" s="33">
        <v>4500</v>
      </c>
      <c r="E103" s="33">
        <v>0</v>
      </c>
      <c r="F103" s="33">
        <v>0</v>
      </c>
      <c r="G103" s="33">
        <f t="shared" si="15"/>
        <v>0</v>
      </c>
      <c r="H103" s="34"/>
      <c r="I103" s="34">
        <v>0</v>
      </c>
      <c r="J103" s="34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>
        <f>C103-E103-I103</f>
        <v>1</v>
      </c>
      <c r="V103" s="36"/>
      <c r="W103" s="36">
        <f>(D103/C103)*1</f>
        <v>4500</v>
      </c>
      <c r="X103" s="36" t="s">
        <v>1023</v>
      </c>
      <c r="Y103" s="33">
        <f t="shared" si="13"/>
        <v>4500</v>
      </c>
      <c r="Z103" s="37" t="str">
        <f t="shared" si="14"/>
        <v/>
      </c>
      <c r="AA103" s="34"/>
      <c r="AB103" s="34"/>
      <c r="AC103" s="34"/>
      <c r="AD103" s="34"/>
    </row>
    <row r="104" spans="1:30" s="38" customFormat="1" ht="25.5">
      <c r="A104" s="32" t="s">
        <v>115</v>
      </c>
      <c r="B104" s="32" t="s">
        <v>1024</v>
      </c>
      <c r="C104" s="33">
        <v>4</v>
      </c>
      <c r="D104" s="33">
        <v>12000</v>
      </c>
      <c r="E104" s="33">
        <v>0</v>
      </c>
      <c r="F104" s="33">
        <v>0</v>
      </c>
      <c r="G104" s="33">
        <f t="shared" si="15"/>
        <v>0</v>
      </c>
      <c r="H104" s="34"/>
      <c r="I104" s="34">
        <v>0</v>
      </c>
      <c r="J104" s="34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>
        <f>C104-E104-I104</f>
        <v>4</v>
      </c>
      <c r="V104" s="36"/>
      <c r="W104" s="36">
        <f>(D104/C104)*4</f>
        <v>12000</v>
      </c>
      <c r="X104" s="36" t="s">
        <v>1025</v>
      </c>
      <c r="Y104" s="33">
        <f t="shared" si="13"/>
        <v>12000</v>
      </c>
      <c r="Z104" s="37" t="str">
        <f t="shared" si="14"/>
        <v/>
      </c>
      <c r="AA104" s="34"/>
      <c r="AB104" s="34"/>
      <c r="AC104" s="34"/>
      <c r="AD104" s="34"/>
    </row>
    <row r="105" spans="1:30" s="38" customFormat="1">
      <c r="A105" s="32" t="s">
        <v>116</v>
      </c>
      <c r="B105" s="32" t="s">
        <v>1026</v>
      </c>
      <c r="C105" s="33">
        <v>208</v>
      </c>
      <c r="D105" s="33">
        <v>28080</v>
      </c>
      <c r="E105" s="33">
        <v>292</v>
      </c>
      <c r="F105" s="33">
        <v>0</v>
      </c>
      <c r="G105" s="33">
        <v>292</v>
      </c>
      <c r="H105" s="34"/>
      <c r="I105" s="34">
        <v>0</v>
      </c>
      <c r="J105" s="34"/>
      <c r="K105" s="33">
        <f>(D105/C105)*208</f>
        <v>28080</v>
      </c>
      <c r="L105" s="33"/>
      <c r="M105" s="33"/>
      <c r="N105" s="33"/>
      <c r="O105" s="33"/>
      <c r="P105" s="33"/>
      <c r="Q105" s="33"/>
      <c r="R105" s="33"/>
      <c r="S105" s="33"/>
      <c r="T105" s="33"/>
      <c r="U105" s="33">
        <v>0</v>
      </c>
      <c r="V105" s="36"/>
      <c r="W105" s="36"/>
      <c r="X105" s="36"/>
      <c r="Y105" s="33">
        <f t="shared" si="13"/>
        <v>28080</v>
      </c>
      <c r="Z105" s="37" t="str">
        <f t="shared" si="14"/>
        <v/>
      </c>
      <c r="AA105" s="34"/>
      <c r="AB105" s="34"/>
      <c r="AC105" s="34"/>
      <c r="AD105" s="34"/>
    </row>
    <row r="106" spans="1:30" s="38" customFormat="1">
      <c r="A106" s="32" t="s">
        <v>117</v>
      </c>
      <c r="B106" s="32" t="s">
        <v>1027</v>
      </c>
      <c r="C106" s="33">
        <v>3</v>
      </c>
      <c r="D106" s="33">
        <v>1290</v>
      </c>
      <c r="E106" s="33">
        <v>0</v>
      </c>
      <c r="F106" s="33">
        <v>0</v>
      </c>
      <c r="G106" s="33">
        <f t="shared" ref="G106:G137" si="17">E106-F106</f>
        <v>0</v>
      </c>
      <c r="H106" s="34"/>
      <c r="I106" s="34">
        <v>0</v>
      </c>
      <c r="J106" s="34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>
        <f t="shared" ref="U106:U120" si="18">C106-E106-I106</f>
        <v>3</v>
      </c>
      <c r="V106" s="36">
        <f>(D106/C106)*3</f>
        <v>1290</v>
      </c>
      <c r="W106" s="36"/>
      <c r="X106" s="36"/>
      <c r="Y106" s="33">
        <f t="shared" si="13"/>
        <v>1290</v>
      </c>
      <c r="Z106" s="37" t="str">
        <f t="shared" si="14"/>
        <v/>
      </c>
      <c r="AA106" s="34"/>
      <c r="AB106" s="34"/>
      <c r="AC106" s="34"/>
      <c r="AD106" s="34"/>
    </row>
    <row r="107" spans="1:30" s="38" customFormat="1">
      <c r="A107" s="32" t="s">
        <v>118</v>
      </c>
      <c r="B107" s="32" t="s">
        <v>1028</v>
      </c>
      <c r="C107" s="33">
        <v>2</v>
      </c>
      <c r="D107" s="33">
        <v>900</v>
      </c>
      <c r="E107" s="33">
        <v>2</v>
      </c>
      <c r="F107" s="33">
        <v>0</v>
      </c>
      <c r="G107" s="33">
        <f t="shared" si="17"/>
        <v>2</v>
      </c>
      <c r="H107" s="34" t="s">
        <v>119</v>
      </c>
      <c r="I107" s="34">
        <v>0</v>
      </c>
      <c r="J107" s="34"/>
      <c r="K107" s="33">
        <f>(D107/C107)*E107</f>
        <v>900</v>
      </c>
      <c r="L107" s="33"/>
      <c r="M107" s="33"/>
      <c r="N107" s="33"/>
      <c r="O107" s="33"/>
      <c r="P107" s="33"/>
      <c r="Q107" s="33"/>
      <c r="R107" s="33"/>
      <c r="S107" s="33"/>
      <c r="T107" s="33"/>
      <c r="U107" s="33">
        <f t="shared" si="18"/>
        <v>0</v>
      </c>
      <c r="V107" s="33"/>
      <c r="W107" s="33"/>
      <c r="X107" s="33"/>
      <c r="Y107" s="33">
        <f t="shared" si="13"/>
        <v>900</v>
      </c>
      <c r="Z107" s="37" t="str">
        <f t="shared" si="14"/>
        <v/>
      </c>
      <c r="AA107" s="34"/>
      <c r="AB107" s="34"/>
      <c r="AC107" s="34"/>
      <c r="AD107" s="34"/>
    </row>
    <row r="108" spans="1:30" s="38" customFormat="1">
      <c r="A108" s="32" t="s">
        <v>120</v>
      </c>
      <c r="B108" s="32" t="s">
        <v>1029</v>
      </c>
      <c r="C108" s="33">
        <v>1</v>
      </c>
      <c r="D108" s="33">
        <v>4200</v>
      </c>
      <c r="E108" s="33">
        <v>0</v>
      </c>
      <c r="F108" s="33">
        <v>0</v>
      </c>
      <c r="G108" s="33">
        <f t="shared" si="17"/>
        <v>0</v>
      </c>
      <c r="H108" s="34"/>
      <c r="I108" s="34">
        <v>0</v>
      </c>
      <c r="J108" s="34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>
        <f t="shared" si="18"/>
        <v>1</v>
      </c>
      <c r="V108" s="36">
        <f>(D108/C108)*1</f>
        <v>4200</v>
      </c>
      <c r="W108" s="36"/>
      <c r="X108" s="36"/>
      <c r="Y108" s="33">
        <f t="shared" si="13"/>
        <v>4200</v>
      </c>
      <c r="Z108" s="37" t="str">
        <f t="shared" si="14"/>
        <v/>
      </c>
      <c r="AA108" s="34"/>
      <c r="AB108" s="34"/>
      <c r="AC108" s="34"/>
      <c r="AD108" s="34"/>
    </row>
    <row r="109" spans="1:30" s="38" customFormat="1" ht="25.5">
      <c r="A109" s="39" t="s">
        <v>121</v>
      </c>
      <c r="B109" s="39" t="s">
        <v>1030</v>
      </c>
      <c r="C109" s="33">
        <v>170</v>
      </c>
      <c r="D109" s="33">
        <v>6979</v>
      </c>
      <c r="E109" s="33">
        <v>0</v>
      </c>
      <c r="F109" s="33">
        <v>0</v>
      </c>
      <c r="G109" s="33">
        <f t="shared" si="17"/>
        <v>0</v>
      </c>
      <c r="H109" s="34"/>
      <c r="I109" s="34">
        <v>170</v>
      </c>
      <c r="J109" s="35" t="s">
        <v>1318</v>
      </c>
      <c r="K109" s="33"/>
      <c r="L109" s="33">
        <f>(D109/C109)*150</f>
        <v>6157.9411764705883</v>
      </c>
      <c r="M109" s="33">
        <f>(D109/C109)*20</f>
        <v>821.05882352941182</v>
      </c>
      <c r="N109" s="33"/>
      <c r="O109" s="33"/>
      <c r="P109" s="33"/>
      <c r="Q109" s="33"/>
      <c r="R109" s="33"/>
      <c r="S109" s="33"/>
      <c r="T109" s="33"/>
      <c r="U109" s="33">
        <f t="shared" si="18"/>
        <v>0</v>
      </c>
      <c r="V109" s="36"/>
      <c r="W109" s="36"/>
      <c r="X109" s="36"/>
      <c r="Y109" s="33">
        <f t="shared" si="13"/>
        <v>6979</v>
      </c>
      <c r="Z109" s="37" t="str">
        <f t="shared" si="14"/>
        <v/>
      </c>
      <c r="AA109" s="34"/>
      <c r="AB109" s="34"/>
      <c r="AC109" s="34"/>
      <c r="AD109" s="35"/>
    </row>
    <row r="110" spans="1:30" s="38" customFormat="1">
      <c r="A110" s="39" t="s">
        <v>122</v>
      </c>
      <c r="B110" s="39" t="s">
        <v>1032</v>
      </c>
      <c r="C110" s="33">
        <v>2</v>
      </c>
      <c r="D110" s="33">
        <v>70</v>
      </c>
      <c r="E110" s="33">
        <v>0</v>
      </c>
      <c r="F110" s="33">
        <v>0</v>
      </c>
      <c r="G110" s="33">
        <f t="shared" si="17"/>
        <v>0</v>
      </c>
      <c r="H110" s="34"/>
      <c r="I110" s="34">
        <v>2</v>
      </c>
      <c r="J110" s="34" t="s">
        <v>1033</v>
      </c>
      <c r="K110" s="33"/>
      <c r="L110" s="33"/>
      <c r="M110" s="33"/>
      <c r="N110" s="33"/>
      <c r="O110" s="33"/>
      <c r="P110" s="33">
        <f>(D110/C110)*2</f>
        <v>70</v>
      </c>
      <c r="Q110" s="33"/>
      <c r="R110" s="33"/>
      <c r="S110" s="33"/>
      <c r="T110" s="33"/>
      <c r="U110" s="33">
        <f t="shared" si="18"/>
        <v>0</v>
      </c>
      <c r="V110" s="36"/>
      <c r="W110" s="36"/>
      <c r="X110" s="36"/>
      <c r="Y110" s="33">
        <f t="shared" si="13"/>
        <v>70</v>
      </c>
      <c r="Z110" s="37" t="str">
        <f t="shared" si="14"/>
        <v/>
      </c>
      <c r="AA110" s="34"/>
      <c r="AB110" s="34"/>
      <c r="AC110" s="34"/>
      <c r="AD110" s="34"/>
    </row>
    <row r="111" spans="1:30" s="38" customFormat="1">
      <c r="A111" s="32" t="s">
        <v>123</v>
      </c>
      <c r="B111" s="32" t="s">
        <v>1034</v>
      </c>
      <c r="C111" s="33">
        <v>50</v>
      </c>
      <c r="D111" s="33">
        <v>300</v>
      </c>
      <c r="E111" s="33">
        <v>0</v>
      </c>
      <c r="F111" s="33">
        <v>0</v>
      </c>
      <c r="G111" s="33">
        <f t="shared" si="17"/>
        <v>0</v>
      </c>
      <c r="H111" s="34"/>
      <c r="I111" s="34">
        <v>0</v>
      </c>
      <c r="J111" s="34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>
        <f t="shared" si="18"/>
        <v>50</v>
      </c>
      <c r="V111" s="36">
        <f>(D111/C111)*50</f>
        <v>300</v>
      </c>
      <c r="W111" s="36"/>
      <c r="X111" s="36"/>
      <c r="Y111" s="33">
        <f t="shared" si="13"/>
        <v>300</v>
      </c>
      <c r="Z111" s="37" t="str">
        <f t="shared" si="14"/>
        <v/>
      </c>
      <c r="AA111" s="34"/>
      <c r="AB111" s="34"/>
      <c r="AC111" s="34"/>
      <c r="AD111" s="34"/>
    </row>
    <row r="112" spans="1:30" s="38" customFormat="1" ht="25.5">
      <c r="A112" s="39" t="s">
        <v>124</v>
      </c>
      <c r="B112" s="39" t="s">
        <v>1035</v>
      </c>
      <c r="C112" s="33">
        <v>20</v>
      </c>
      <c r="D112" s="33">
        <v>286</v>
      </c>
      <c r="E112" s="33">
        <v>0</v>
      </c>
      <c r="F112" s="33">
        <v>0</v>
      </c>
      <c r="G112" s="33">
        <f t="shared" si="17"/>
        <v>0</v>
      </c>
      <c r="H112" s="34"/>
      <c r="I112" s="34">
        <v>0</v>
      </c>
      <c r="J112" s="34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>
        <f t="shared" si="18"/>
        <v>20</v>
      </c>
      <c r="V112" s="36"/>
      <c r="W112" s="36">
        <f>D112</f>
        <v>286</v>
      </c>
      <c r="X112" s="36" t="s">
        <v>1319</v>
      </c>
      <c r="Y112" s="33">
        <f t="shared" si="13"/>
        <v>286</v>
      </c>
      <c r="Z112" s="37" t="str">
        <f t="shared" si="14"/>
        <v/>
      </c>
      <c r="AA112" s="34"/>
      <c r="AB112" s="34"/>
      <c r="AC112" s="34"/>
      <c r="AD112" s="34"/>
    </row>
    <row r="113" spans="1:30" s="38" customFormat="1" ht="25.5">
      <c r="A113" s="32" t="s">
        <v>125</v>
      </c>
      <c r="B113" s="32" t="s">
        <v>1036</v>
      </c>
      <c r="C113" s="33">
        <v>1</v>
      </c>
      <c r="D113" s="33">
        <v>56190</v>
      </c>
      <c r="E113" s="33">
        <v>0</v>
      </c>
      <c r="F113" s="33">
        <v>0</v>
      </c>
      <c r="G113" s="33">
        <f t="shared" si="17"/>
        <v>0</v>
      </c>
      <c r="H113" s="34"/>
      <c r="I113" s="34">
        <v>0</v>
      </c>
      <c r="J113" s="34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>
        <f t="shared" si="18"/>
        <v>1</v>
      </c>
      <c r="V113" s="36"/>
      <c r="W113" s="36">
        <f>(D113/C113)*1</f>
        <v>56190</v>
      </c>
      <c r="X113" s="36" t="s">
        <v>1037</v>
      </c>
      <c r="Y113" s="33">
        <f t="shared" si="13"/>
        <v>56190</v>
      </c>
      <c r="Z113" s="37" t="str">
        <f t="shared" si="14"/>
        <v/>
      </c>
      <c r="AA113" s="34"/>
      <c r="AB113" s="34"/>
      <c r="AC113" s="34"/>
      <c r="AD113" s="34"/>
    </row>
    <row r="114" spans="1:30" s="38" customFormat="1" ht="25.5">
      <c r="A114" s="32" t="s">
        <v>126</v>
      </c>
      <c r="B114" s="32" t="s">
        <v>1038</v>
      </c>
      <c r="C114" s="33">
        <v>3</v>
      </c>
      <c r="D114" s="33">
        <v>77145</v>
      </c>
      <c r="E114" s="33">
        <v>0</v>
      </c>
      <c r="F114" s="33">
        <v>0</v>
      </c>
      <c r="G114" s="33">
        <f t="shared" si="17"/>
        <v>0</v>
      </c>
      <c r="H114" s="34"/>
      <c r="I114" s="34">
        <v>0</v>
      </c>
      <c r="J114" s="34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>
        <f t="shared" si="18"/>
        <v>3</v>
      </c>
      <c r="V114" s="36"/>
      <c r="W114" s="36">
        <f>(D114/C114)*3</f>
        <v>77145</v>
      </c>
      <c r="X114" s="36" t="s">
        <v>1037</v>
      </c>
      <c r="Y114" s="33">
        <f t="shared" si="13"/>
        <v>77145</v>
      </c>
      <c r="Z114" s="37" t="str">
        <f t="shared" si="14"/>
        <v/>
      </c>
      <c r="AA114" s="34"/>
      <c r="AB114" s="34"/>
      <c r="AC114" s="34"/>
      <c r="AD114" s="34"/>
    </row>
    <row r="115" spans="1:30" s="38" customFormat="1" ht="25.5">
      <c r="A115" s="32" t="s">
        <v>127</v>
      </c>
      <c r="B115" s="32" t="s">
        <v>1039</v>
      </c>
      <c r="C115" s="33">
        <v>4</v>
      </c>
      <c r="D115" s="33">
        <v>9833</v>
      </c>
      <c r="E115" s="33">
        <v>0</v>
      </c>
      <c r="F115" s="33">
        <v>0</v>
      </c>
      <c r="G115" s="33">
        <f t="shared" si="17"/>
        <v>0</v>
      </c>
      <c r="H115" s="34"/>
      <c r="I115" s="34">
        <v>1</v>
      </c>
      <c r="J115" s="34" t="s">
        <v>1320</v>
      </c>
      <c r="K115" s="33"/>
      <c r="L115" s="33"/>
      <c r="M115" s="33"/>
      <c r="N115" s="33"/>
      <c r="O115" s="33"/>
      <c r="P115" s="33"/>
      <c r="Q115" s="33">
        <f>(D115/C115)*I115</f>
        <v>2458.25</v>
      </c>
      <c r="R115" s="33"/>
      <c r="S115" s="33"/>
      <c r="T115" s="33"/>
      <c r="U115" s="33">
        <f t="shared" si="18"/>
        <v>3</v>
      </c>
      <c r="V115" s="36"/>
      <c r="W115" s="36">
        <f>(D115/C115)*3</f>
        <v>7374.75</v>
      </c>
      <c r="X115" s="36" t="s">
        <v>1040</v>
      </c>
      <c r="Y115" s="33">
        <f t="shared" si="13"/>
        <v>9833</v>
      </c>
      <c r="Z115" s="37" t="str">
        <f t="shared" si="14"/>
        <v/>
      </c>
      <c r="AA115" s="34"/>
      <c r="AB115" s="34"/>
      <c r="AC115" s="34"/>
      <c r="AD115" s="34"/>
    </row>
    <row r="116" spans="1:30" s="38" customFormat="1">
      <c r="A116" s="32" t="s">
        <v>128</v>
      </c>
      <c r="B116" s="32" t="s">
        <v>1041</v>
      </c>
      <c r="C116" s="33">
        <v>2</v>
      </c>
      <c r="D116" s="33">
        <v>400</v>
      </c>
      <c r="E116" s="33">
        <v>0</v>
      </c>
      <c r="F116" s="33">
        <v>0</v>
      </c>
      <c r="G116" s="33">
        <f t="shared" si="17"/>
        <v>0</v>
      </c>
      <c r="H116" s="34"/>
      <c r="I116" s="34">
        <v>0</v>
      </c>
      <c r="J116" s="34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>
        <f t="shared" si="18"/>
        <v>2</v>
      </c>
      <c r="V116" s="36">
        <f>(D116/C116)*2</f>
        <v>400</v>
      </c>
      <c r="W116" s="36"/>
      <c r="X116" s="36"/>
      <c r="Y116" s="33">
        <f t="shared" si="13"/>
        <v>400</v>
      </c>
      <c r="Z116" s="37" t="str">
        <f t="shared" si="14"/>
        <v/>
      </c>
      <c r="AA116" s="34"/>
      <c r="AB116" s="34"/>
      <c r="AC116" s="34"/>
      <c r="AD116" s="34"/>
    </row>
    <row r="117" spans="1:30" s="38" customFormat="1">
      <c r="A117" s="39" t="s">
        <v>129</v>
      </c>
      <c r="B117" s="39" t="s">
        <v>1042</v>
      </c>
      <c r="C117" s="33">
        <v>5</v>
      </c>
      <c r="D117" s="33">
        <v>950</v>
      </c>
      <c r="E117" s="33">
        <v>4</v>
      </c>
      <c r="F117" s="33">
        <v>0</v>
      </c>
      <c r="G117" s="33">
        <f t="shared" si="17"/>
        <v>4</v>
      </c>
      <c r="H117" s="34" t="s">
        <v>7</v>
      </c>
      <c r="I117" s="34">
        <v>1</v>
      </c>
      <c r="J117" s="34" t="s">
        <v>981</v>
      </c>
      <c r="K117" s="33">
        <f>(D117/C117)*4</f>
        <v>760</v>
      </c>
      <c r="L117" s="33"/>
      <c r="M117" s="33"/>
      <c r="N117" s="33"/>
      <c r="O117" s="33"/>
      <c r="P117" s="33"/>
      <c r="Q117" s="33"/>
      <c r="R117" s="33"/>
      <c r="S117" s="33"/>
      <c r="T117" s="33">
        <f>(D117/C117)*1</f>
        <v>190</v>
      </c>
      <c r="U117" s="33">
        <f t="shared" si="18"/>
        <v>0</v>
      </c>
      <c r="V117" s="36"/>
      <c r="W117" s="36"/>
      <c r="X117" s="36"/>
      <c r="Y117" s="33">
        <f t="shared" si="13"/>
        <v>950</v>
      </c>
      <c r="Z117" s="37" t="str">
        <f t="shared" si="14"/>
        <v/>
      </c>
      <c r="AA117" s="34"/>
      <c r="AB117" s="34"/>
      <c r="AC117" s="34"/>
      <c r="AD117" s="34"/>
    </row>
    <row r="118" spans="1:30" s="38" customFormat="1">
      <c r="A118" s="39" t="s">
        <v>130</v>
      </c>
      <c r="B118" s="39" t="s">
        <v>1043</v>
      </c>
      <c r="C118" s="33">
        <v>4</v>
      </c>
      <c r="D118" s="33">
        <v>920</v>
      </c>
      <c r="E118" s="33">
        <v>4</v>
      </c>
      <c r="F118" s="33">
        <v>0</v>
      </c>
      <c r="G118" s="33">
        <f t="shared" si="17"/>
        <v>4</v>
      </c>
      <c r="H118" s="34" t="s">
        <v>7</v>
      </c>
      <c r="I118" s="34">
        <v>0</v>
      </c>
      <c r="J118" s="34"/>
      <c r="K118" s="33">
        <f>(D118/C118)*4</f>
        <v>920</v>
      </c>
      <c r="L118" s="33"/>
      <c r="M118" s="33"/>
      <c r="N118" s="33"/>
      <c r="O118" s="33"/>
      <c r="P118" s="33"/>
      <c r="Q118" s="33"/>
      <c r="R118" s="33"/>
      <c r="S118" s="33"/>
      <c r="T118" s="33"/>
      <c r="U118" s="33">
        <f t="shared" si="18"/>
        <v>0</v>
      </c>
      <c r="V118" s="36"/>
      <c r="W118" s="36"/>
      <c r="X118" s="36"/>
      <c r="Y118" s="33">
        <f t="shared" si="13"/>
        <v>920</v>
      </c>
      <c r="Z118" s="37" t="str">
        <f t="shared" si="14"/>
        <v/>
      </c>
      <c r="AA118" s="34"/>
      <c r="AB118" s="34"/>
      <c r="AC118" s="34"/>
      <c r="AD118" s="34"/>
    </row>
    <row r="119" spans="1:30" s="38" customFormat="1">
      <c r="A119" s="39" t="s">
        <v>131</v>
      </c>
      <c r="B119" s="39" t="s">
        <v>1044</v>
      </c>
      <c r="C119" s="33">
        <v>100</v>
      </c>
      <c r="D119" s="33">
        <v>354</v>
      </c>
      <c r="E119" s="33">
        <v>0</v>
      </c>
      <c r="F119" s="33">
        <v>0</v>
      </c>
      <c r="G119" s="33">
        <f t="shared" si="17"/>
        <v>0</v>
      </c>
      <c r="H119" s="34"/>
      <c r="I119" s="34">
        <v>0</v>
      </c>
      <c r="J119" s="34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>
        <f t="shared" si="18"/>
        <v>100</v>
      </c>
      <c r="V119" s="36"/>
      <c r="W119" s="36">
        <f>(D119/C119)*100</f>
        <v>354</v>
      </c>
      <c r="X119" s="36" t="s">
        <v>1045</v>
      </c>
      <c r="Y119" s="33">
        <f t="shared" si="13"/>
        <v>354</v>
      </c>
      <c r="Z119" s="37" t="str">
        <f t="shared" si="14"/>
        <v/>
      </c>
      <c r="AA119" s="34"/>
      <c r="AB119" s="34"/>
      <c r="AC119" s="34"/>
      <c r="AD119" s="34"/>
    </row>
    <row r="120" spans="1:30" s="38" customFormat="1" ht="25.5">
      <c r="A120" s="39" t="s">
        <v>132</v>
      </c>
      <c r="B120" s="39" t="s">
        <v>1046</v>
      </c>
      <c r="C120" s="33">
        <v>1</v>
      </c>
      <c r="D120" s="33">
        <v>200</v>
      </c>
      <c r="E120" s="33">
        <v>0</v>
      </c>
      <c r="F120" s="33">
        <v>0</v>
      </c>
      <c r="G120" s="33">
        <f t="shared" si="17"/>
        <v>0</v>
      </c>
      <c r="H120" s="34"/>
      <c r="I120" s="34">
        <v>0</v>
      </c>
      <c r="J120" s="34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>
        <f t="shared" si="18"/>
        <v>1</v>
      </c>
      <c r="V120" s="36"/>
      <c r="W120" s="36">
        <f>D120</f>
        <v>200</v>
      </c>
      <c r="X120" s="36" t="s">
        <v>1321</v>
      </c>
      <c r="Y120" s="33">
        <f t="shared" si="13"/>
        <v>200</v>
      </c>
      <c r="Z120" s="37" t="str">
        <f t="shared" si="14"/>
        <v/>
      </c>
      <c r="AA120" s="34"/>
      <c r="AB120" s="34"/>
      <c r="AC120" s="34"/>
      <c r="AD120" s="34"/>
    </row>
    <row r="121" spans="1:30" s="38" customFormat="1">
      <c r="A121" s="39" t="s">
        <v>1252</v>
      </c>
      <c r="B121" s="39" t="s">
        <v>1322</v>
      </c>
      <c r="C121" s="33">
        <v>1</v>
      </c>
      <c r="D121" s="33">
        <v>1080</v>
      </c>
      <c r="E121" s="33">
        <v>1</v>
      </c>
      <c r="F121" s="33">
        <v>0</v>
      </c>
      <c r="G121" s="33">
        <f t="shared" si="17"/>
        <v>1</v>
      </c>
      <c r="H121" s="34" t="s">
        <v>1251</v>
      </c>
      <c r="I121" s="34">
        <v>1</v>
      </c>
      <c r="J121" s="34" t="s">
        <v>1323</v>
      </c>
      <c r="K121" s="33"/>
      <c r="L121" s="33"/>
      <c r="M121" s="33"/>
      <c r="N121" s="33"/>
      <c r="O121" s="33"/>
      <c r="P121" s="33"/>
      <c r="Q121" s="33"/>
      <c r="R121" s="33"/>
      <c r="S121" s="33"/>
      <c r="T121" s="33">
        <f>(D121/C121)*E121</f>
        <v>1080</v>
      </c>
      <c r="U121" s="33">
        <v>0</v>
      </c>
      <c r="V121" s="33"/>
      <c r="W121" s="33"/>
      <c r="X121" s="33"/>
      <c r="Y121" s="33">
        <f t="shared" si="13"/>
        <v>1080</v>
      </c>
      <c r="Z121" s="37" t="str">
        <f t="shared" si="14"/>
        <v/>
      </c>
      <c r="AA121" s="34"/>
      <c r="AB121" s="34"/>
      <c r="AC121" s="34"/>
      <c r="AD121" s="34"/>
    </row>
    <row r="122" spans="1:30" s="38" customFormat="1">
      <c r="A122" s="39" t="s">
        <v>1229</v>
      </c>
      <c r="B122" s="39" t="s">
        <v>1324</v>
      </c>
      <c r="C122" s="33">
        <v>1</v>
      </c>
      <c r="D122" s="33">
        <v>1480</v>
      </c>
      <c r="E122" s="33">
        <v>1</v>
      </c>
      <c r="F122" s="33">
        <v>0</v>
      </c>
      <c r="G122" s="33">
        <f t="shared" si="17"/>
        <v>1</v>
      </c>
      <c r="H122" s="34" t="s">
        <v>1325</v>
      </c>
      <c r="I122" s="34">
        <v>1</v>
      </c>
      <c r="J122" s="34" t="s">
        <v>1323</v>
      </c>
      <c r="K122" s="33"/>
      <c r="L122" s="33"/>
      <c r="M122" s="33"/>
      <c r="N122" s="33"/>
      <c r="O122" s="33"/>
      <c r="P122" s="33"/>
      <c r="Q122" s="33"/>
      <c r="R122" s="33"/>
      <c r="S122" s="33"/>
      <c r="T122" s="33">
        <f>(D122/C122)*E122</f>
        <v>1480</v>
      </c>
      <c r="U122" s="33">
        <v>0</v>
      </c>
      <c r="V122" s="33"/>
      <c r="W122" s="33"/>
      <c r="X122" s="33"/>
      <c r="Y122" s="33">
        <f t="shared" si="13"/>
        <v>1480</v>
      </c>
      <c r="Z122" s="37" t="str">
        <f t="shared" si="14"/>
        <v/>
      </c>
      <c r="AA122" s="34"/>
      <c r="AB122" s="34"/>
      <c r="AC122" s="34"/>
      <c r="AD122" s="34"/>
    </row>
    <row r="123" spans="1:30" s="38" customFormat="1">
      <c r="A123" s="39" t="s">
        <v>1230</v>
      </c>
      <c r="B123" s="39" t="s">
        <v>1326</v>
      </c>
      <c r="C123" s="33">
        <v>1</v>
      </c>
      <c r="D123" s="33">
        <v>76500</v>
      </c>
      <c r="E123" s="33">
        <v>0</v>
      </c>
      <c r="F123" s="33">
        <v>0</v>
      </c>
      <c r="G123" s="33">
        <f t="shared" si="17"/>
        <v>0</v>
      </c>
      <c r="H123" s="34"/>
      <c r="I123" s="34">
        <v>1</v>
      </c>
      <c r="J123" s="34" t="s">
        <v>1327</v>
      </c>
      <c r="K123" s="33"/>
      <c r="L123" s="33"/>
      <c r="M123" s="33"/>
      <c r="N123" s="33"/>
      <c r="O123" s="33"/>
      <c r="P123" s="33"/>
      <c r="Q123" s="33"/>
      <c r="R123" s="33"/>
      <c r="S123" s="33"/>
      <c r="T123" s="33">
        <f>D123</f>
        <v>76500</v>
      </c>
      <c r="U123" s="33">
        <v>0</v>
      </c>
      <c r="V123" s="33"/>
      <c r="W123" s="33"/>
      <c r="X123" s="33"/>
      <c r="Y123" s="33">
        <f t="shared" si="13"/>
        <v>76500</v>
      </c>
      <c r="Z123" s="37" t="str">
        <f t="shared" si="14"/>
        <v/>
      </c>
      <c r="AA123" s="34"/>
      <c r="AB123" s="34"/>
      <c r="AC123" s="34"/>
      <c r="AD123" s="34"/>
    </row>
    <row r="124" spans="1:30" s="38" customFormat="1">
      <c r="A124" s="39" t="s">
        <v>1231</v>
      </c>
      <c r="B124" s="39" t="s">
        <v>1328</v>
      </c>
      <c r="C124" s="33">
        <v>1</v>
      </c>
      <c r="D124" s="33">
        <v>680</v>
      </c>
      <c r="E124" s="33">
        <v>0</v>
      </c>
      <c r="F124" s="33">
        <v>0</v>
      </c>
      <c r="G124" s="33">
        <f t="shared" si="17"/>
        <v>0</v>
      </c>
      <c r="H124" s="34"/>
      <c r="I124" s="34">
        <v>1</v>
      </c>
      <c r="J124" s="54" t="s">
        <v>1329</v>
      </c>
      <c r="K124" s="33"/>
      <c r="L124" s="33"/>
      <c r="M124" s="33"/>
      <c r="N124" s="33"/>
      <c r="O124" s="33"/>
      <c r="P124" s="33">
        <f>D124</f>
        <v>680</v>
      </c>
      <c r="Q124" s="33"/>
      <c r="R124" s="33"/>
      <c r="S124" s="33"/>
      <c r="T124" s="33"/>
      <c r="U124" s="33">
        <v>0</v>
      </c>
      <c r="V124" s="33"/>
      <c r="W124" s="33"/>
      <c r="X124" s="33"/>
      <c r="Y124" s="33">
        <f t="shared" si="13"/>
        <v>680</v>
      </c>
      <c r="Z124" s="37" t="str">
        <f t="shared" si="14"/>
        <v/>
      </c>
      <c r="AA124" s="34"/>
      <c r="AB124" s="34"/>
      <c r="AC124" s="34"/>
      <c r="AD124" s="34"/>
    </row>
    <row r="125" spans="1:30" s="38" customFormat="1">
      <c r="A125" s="32" t="s">
        <v>133</v>
      </c>
      <c r="B125" s="32" t="s">
        <v>1047</v>
      </c>
      <c r="C125" s="33">
        <v>1</v>
      </c>
      <c r="D125" s="33">
        <v>20500</v>
      </c>
      <c r="E125" s="33">
        <v>1</v>
      </c>
      <c r="F125" s="33">
        <v>0</v>
      </c>
      <c r="G125" s="33">
        <f t="shared" si="17"/>
        <v>1</v>
      </c>
      <c r="H125" s="34" t="s">
        <v>56</v>
      </c>
      <c r="I125" s="34">
        <v>0</v>
      </c>
      <c r="J125" s="41"/>
      <c r="K125" s="33">
        <f>D125</f>
        <v>20500</v>
      </c>
      <c r="L125" s="33"/>
      <c r="M125" s="33"/>
      <c r="N125" s="33"/>
      <c r="O125" s="33"/>
      <c r="P125" s="33"/>
      <c r="Q125" s="33"/>
      <c r="R125" s="33"/>
      <c r="S125" s="33"/>
      <c r="T125" s="33"/>
      <c r="U125" s="33">
        <v>0</v>
      </c>
      <c r="V125" s="33"/>
      <c r="W125" s="33"/>
      <c r="X125" s="33"/>
      <c r="Y125" s="33">
        <f t="shared" si="13"/>
        <v>20500</v>
      </c>
      <c r="Z125" s="37" t="str">
        <f t="shared" si="14"/>
        <v/>
      </c>
      <c r="AA125" s="34"/>
      <c r="AB125" s="34"/>
      <c r="AC125" s="34"/>
      <c r="AD125" s="35"/>
    </row>
    <row r="126" spans="1:30" s="38" customFormat="1">
      <c r="A126" s="39" t="s">
        <v>1232</v>
      </c>
      <c r="B126" s="39" t="s">
        <v>1330</v>
      </c>
      <c r="C126" s="33">
        <v>1</v>
      </c>
      <c r="D126" s="33">
        <v>5500</v>
      </c>
      <c r="E126" s="33">
        <v>0</v>
      </c>
      <c r="F126" s="33">
        <v>0</v>
      </c>
      <c r="G126" s="33">
        <f t="shared" si="17"/>
        <v>0</v>
      </c>
      <c r="H126" s="34"/>
      <c r="I126" s="34">
        <v>1</v>
      </c>
      <c r="J126" s="54" t="s">
        <v>1329</v>
      </c>
      <c r="K126" s="33"/>
      <c r="L126" s="33"/>
      <c r="M126" s="33"/>
      <c r="N126" s="33"/>
      <c r="O126" s="33"/>
      <c r="P126" s="33">
        <f>D126</f>
        <v>5500</v>
      </c>
      <c r="Q126" s="33"/>
      <c r="R126" s="33"/>
      <c r="S126" s="33"/>
      <c r="T126" s="33"/>
      <c r="U126" s="33">
        <v>0</v>
      </c>
      <c r="V126" s="33"/>
      <c r="W126" s="33"/>
      <c r="X126" s="33"/>
      <c r="Y126" s="33">
        <f t="shared" si="13"/>
        <v>5500</v>
      </c>
      <c r="Z126" s="37" t="str">
        <f t="shared" si="14"/>
        <v/>
      </c>
      <c r="AA126" s="34"/>
      <c r="AB126" s="34"/>
      <c r="AC126" s="34"/>
      <c r="AD126" s="34"/>
    </row>
    <row r="127" spans="1:30" s="38" customFormat="1">
      <c r="A127" s="39" t="s">
        <v>134</v>
      </c>
      <c r="B127" s="39" t="s">
        <v>1048</v>
      </c>
      <c r="C127" s="33">
        <v>6</v>
      </c>
      <c r="D127" s="33">
        <v>2700</v>
      </c>
      <c r="E127" s="33">
        <v>1</v>
      </c>
      <c r="F127" s="33">
        <v>0</v>
      </c>
      <c r="G127" s="33">
        <f t="shared" si="17"/>
        <v>1</v>
      </c>
      <c r="H127" s="34" t="s">
        <v>56</v>
      </c>
      <c r="I127" s="34">
        <v>0</v>
      </c>
      <c r="J127" s="41"/>
      <c r="K127" s="33">
        <f>(D127/C127)*1</f>
        <v>450</v>
      </c>
      <c r="L127" s="33"/>
      <c r="M127" s="33"/>
      <c r="N127" s="33"/>
      <c r="O127" s="33"/>
      <c r="P127" s="33"/>
      <c r="Q127" s="33"/>
      <c r="R127" s="33"/>
      <c r="S127" s="33"/>
      <c r="T127" s="33"/>
      <c r="U127" s="33">
        <v>5</v>
      </c>
      <c r="V127" s="33">
        <f>(D127/C127)*5</f>
        <v>2250</v>
      </c>
      <c r="W127" s="33"/>
      <c r="X127" s="33"/>
      <c r="Y127" s="33">
        <f t="shared" si="13"/>
        <v>2700</v>
      </c>
      <c r="Z127" s="37" t="str">
        <f t="shared" si="14"/>
        <v/>
      </c>
      <c r="AA127" s="34"/>
      <c r="AB127" s="34"/>
      <c r="AC127" s="34"/>
      <c r="AD127" s="35"/>
    </row>
    <row r="128" spans="1:30" s="38" customFormat="1">
      <c r="A128" s="39" t="s">
        <v>135</v>
      </c>
      <c r="B128" s="39" t="s">
        <v>1049</v>
      </c>
      <c r="C128" s="33">
        <v>1</v>
      </c>
      <c r="D128" s="33">
        <v>1400</v>
      </c>
      <c r="E128" s="33">
        <v>0</v>
      </c>
      <c r="F128" s="33">
        <v>0</v>
      </c>
      <c r="G128" s="33">
        <f t="shared" si="17"/>
        <v>0</v>
      </c>
      <c r="H128" s="34"/>
      <c r="I128" s="34">
        <v>1</v>
      </c>
      <c r="J128" s="34" t="s">
        <v>1050</v>
      </c>
      <c r="K128" s="33"/>
      <c r="L128" s="33"/>
      <c r="M128" s="33"/>
      <c r="N128" s="33"/>
      <c r="O128" s="33"/>
      <c r="P128" s="33"/>
      <c r="Q128" s="33"/>
      <c r="R128" s="33"/>
      <c r="S128" s="33"/>
      <c r="T128" s="33">
        <f>(D128/C128)*1</f>
        <v>1400</v>
      </c>
      <c r="U128" s="33">
        <f t="shared" ref="U128:U138" si="19">C128-E128-I128</f>
        <v>0</v>
      </c>
      <c r="V128" s="36"/>
      <c r="W128" s="36"/>
      <c r="X128" s="36"/>
      <c r="Y128" s="33">
        <f t="shared" si="13"/>
        <v>1400</v>
      </c>
      <c r="Z128" s="37" t="str">
        <f t="shared" si="14"/>
        <v/>
      </c>
      <c r="AA128" s="34"/>
      <c r="AB128" s="34"/>
      <c r="AC128" s="34"/>
      <c r="AD128" s="34"/>
    </row>
    <row r="129" spans="1:30" s="38" customFormat="1">
      <c r="A129" s="39" t="s">
        <v>136</v>
      </c>
      <c r="B129" s="39" t="s">
        <v>1051</v>
      </c>
      <c r="C129" s="33">
        <v>1</v>
      </c>
      <c r="D129" s="33">
        <v>8500</v>
      </c>
      <c r="E129" s="33">
        <v>0</v>
      </c>
      <c r="F129" s="33">
        <v>0</v>
      </c>
      <c r="G129" s="33">
        <f t="shared" si="17"/>
        <v>0</v>
      </c>
      <c r="H129" s="34"/>
      <c r="I129" s="34">
        <v>0</v>
      </c>
      <c r="J129" s="34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>
        <f t="shared" si="19"/>
        <v>1</v>
      </c>
      <c r="V129" s="36"/>
      <c r="W129" s="36">
        <f>(D129/C129)*1</f>
        <v>8500</v>
      </c>
      <c r="X129" s="36" t="s">
        <v>1052</v>
      </c>
      <c r="Y129" s="33">
        <f t="shared" si="13"/>
        <v>8500</v>
      </c>
      <c r="Z129" s="37" t="str">
        <f t="shared" si="14"/>
        <v/>
      </c>
      <c r="AA129" s="34"/>
      <c r="AB129" s="34"/>
      <c r="AC129" s="34"/>
      <c r="AD129" s="34"/>
    </row>
    <row r="130" spans="1:30" s="38" customFormat="1" ht="25.5">
      <c r="A130" s="39" t="s">
        <v>137</v>
      </c>
      <c r="B130" s="39" t="s">
        <v>1053</v>
      </c>
      <c r="C130" s="33">
        <v>4</v>
      </c>
      <c r="D130" s="33">
        <v>9600</v>
      </c>
      <c r="E130" s="33">
        <v>0</v>
      </c>
      <c r="F130" s="33">
        <v>0</v>
      </c>
      <c r="G130" s="33">
        <f t="shared" si="17"/>
        <v>0</v>
      </c>
      <c r="H130" s="34"/>
      <c r="I130" s="34">
        <v>0</v>
      </c>
      <c r="J130" s="34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>
        <f t="shared" si="19"/>
        <v>4</v>
      </c>
      <c r="V130" s="36"/>
      <c r="W130" s="36">
        <f>(D130/C130)*4</f>
        <v>9600</v>
      </c>
      <c r="X130" s="36" t="s">
        <v>1054</v>
      </c>
      <c r="Y130" s="33">
        <f t="shared" si="13"/>
        <v>9600</v>
      </c>
      <c r="Z130" s="37" t="str">
        <f t="shared" si="14"/>
        <v/>
      </c>
      <c r="AA130" s="34"/>
      <c r="AB130" s="34"/>
      <c r="AC130" s="34"/>
      <c r="AD130" s="34"/>
    </row>
    <row r="131" spans="1:30" s="38" customFormat="1" ht="38.25">
      <c r="A131" s="39" t="s">
        <v>138</v>
      </c>
      <c r="B131" s="39" t="s">
        <v>1055</v>
      </c>
      <c r="C131" s="33">
        <v>10</v>
      </c>
      <c r="D131" s="33">
        <v>8182</v>
      </c>
      <c r="E131" s="33">
        <v>0</v>
      </c>
      <c r="F131" s="33">
        <v>0</v>
      </c>
      <c r="G131" s="33">
        <f t="shared" si="17"/>
        <v>0</v>
      </c>
      <c r="H131" s="34"/>
      <c r="I131" s="34">
        <v>0</v>
      </c>
      <c r="J131" s="34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>
        <f t="shared" si="19"/>
        <v>10</v>
      </c>
      <c r="V131" s="36">
        <f>(D131/C131)*10</f>
        <v>8182</v>
      </c>
      <c r="W131" s="36"/>
      <c r="X131" s="36" t="s">
        <v>1056</v>
      </c>
      <c r="Y131" s="33">
        <f t="shared" si="13"/>
        <v>8182</v>
      </c>
      <c r="Z131" s="37" t="str">
        <f t="shared" si="14"/>
        <v/>
      </c>
      <c r="AA131" s="34"/>
      <c r="AB131" s="34"/>
      <c r="AC131" s="34"/>
      <c r="AD131" s="34"/>
    </row>
    <row r="132" spans="1:30" s="38" customFormat="1">
      <c r="A132" s="39" t="s">
        <v>139</v>
      </c>
      <c r="B132" s="39" t="s">
        <v>1057</v>
      </c>
      <c r="C132" s="33">
        <v>1</v>
      </c>
      <c r="D132" s="33">
        <v>3800</v>
      </c>
      <c r="E132" s="33">
        <v>0</v>
      </c>
      <c r="F132" s="33">
        <v>0</v>
      </c>
      <c r="G132" s="33">
        <f t="shared" si="17"/>
        <v>0</v>
      </c>
      <c r="H132" s="34"/>
      <c r="I132" s="34">
        <v>0</v>
      </c>
      <c r="J132" s="34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>
        <f t="shared" si="19"/>
        <v>1</v>
      </c>
      <c r="V132" s="36"/>
      <c r="W132" s="36">
        <f>(D132/C132)*1</f>
        <v>3800</v>
      </c>
      <c r="X132" s="36" t="s">
        <v>1058</v>
      </c>
      <c r="Y132" s="33">
        <f t="shared" ref="Y132:Y195" si="20">SUM(K132:T132)+SUM(V132:W132)</f>
        <v>3800</v>
      </c>
      <c r="Z132" s="37" t="str">
        <f t="shared" ref="Z132:Z195" si="21">IF(D132=Y132,"","錯")</f>
        <v/>
      </c>
      <c r="AA132" s="34"/>
      <c r="AB132" s="34"/>
      <c r="AC132" s="34"/>
      <c r="AD132" s="34"/>
    </row>
    <row r="133" spans="1:30" s="38" customFormat="1">
      <c r="A133" s="39" t="s">
        <v>1233</v>
      </c>
      <c r="B133" s="39" t="s">
        <v>1331</v>
      </c>
      <c r="C133" s="33">
        <v>1</v>
      </c>
      <c r="D133" s="33">
        <v>5000</v>
      </c>
      <c r="E133" s="33">
        <v>0</v>
      </c>
      <c r="F133" s="33">
        <v>0</v>
      </c>
      <c r="G133" s="33">
        <f t="shared" si="17"/>
        <v>0</v>
      </c>
      <c r="H133" s="34"/>
      <c r="I133" s="34">
        <v>1</v>
      </c>
      <c r="J133" s="34" t="s">
        <v>1332</v>
      </c>
      <c r="K133" s="33"/>
      <c r="L133" s="33"/>
      <c r="M133" s="33"/>
      <c r="N133" s="33"/>
      <c r="O133" s="33"/>
      <c r="P133" s="33"/>
      <c r="Q133" s="33"/>
      <c r="R133" s="33"/>
      <c r="S133" s="33"/>
      <c r="T133" s="33">
        <f>(D133/C133)*1</f>
        <v>5000</v>
      </c>
      <c r="U133" s="33">
        <f t="shared" si="19"/>
        <v>0</v>
      </c>
      <c r="V133" s="33"/>
      <c r="W133" s="33"/>
      <c r="X133" s="33"/>
      <c r="Y133" s="33">
        <f t="shared" si="20"/>
        <v>5000</v>
      </c>
      <c r="Z133" s="37" t="str">
        <f t="shared" si="21"/>
        <v/>
      </c>
      <c r="AA133" s="34"/>
      <c r="AB133" s="34"/>
      <c r="AC133" s="34"/>
      <c r="AD133" s="34"/>
    </row>
    <row r="134" spans="1:30" s="38" customFormat="1">
      <c r="A134" s="39" t="s">
        <v>140</v>
      </c>
      <c r="B134" s="39" t="s">
        <v>1059</v>
      </c>
      <c r="C134" s="33">
        <v>1</v>
      </c>
      <c r="D134" s="33">
        <v>5400</v>
      </c>
      <c r="E134" s="33">
        <v>0</v>
      </c>
      <c r="F134" s="33">
        <v>0</v>
      </c>
      <c r="G134" s="33">
        <f t="shared" si="17"/>
        <v>0</v>
      </c>
      <c r="H134" s="34"/>
      <c r="I134" s="34">
        <v>1</v>
      </c>
      <c r="J134" s="34" t="s">
        <v>1060</v>
      </c>
      <c r="K134" s="33"/>
      <c r="L134" s="33"/>
      <c r="M134" s="33"/>
      <c r="N134" s="33"/>
      <c r="O134" s="33"/>
      <c r="P134" s="33"/>
      <c r="Q134" s="33"/>
      <c r="R134" s="33"/>
      <c r="S134" s="33"/>
      <c r="T134" s="33">
        <f>(D134/C134)*1</f>
        <v>5400</v>
      </c>
      <c r="U134" s="33">
        <f t="shared" si="19"/>
        <v>0</v>
      </c>
      <c r="V134" s="36"/>
      <c r="W134" s="36"/>
      <c r="X134" s="36"/>
      <c r="Y134" s="33">
        <f t="shared" si="20"/>
        <v>5400</v>
      </c>
      <c r="Z134" s="37" t="str">
        <f t="shared" si="21"/>
        <v/>
      </c>
      <c r="AA134" s="34"/>
      <c r="AB134" s="34"/>
      <c r="AC134" s="34"/>
      <c r="AD134" s="34"/>
    </row>
    <row r="135" spans="1:30" s="38" customFormat="1">
      <c r="A135" s="32" t="s">
        <v>141</v>
      </c>
      <c r="B135" s="32" t="s">
        <v>1061</v>
      </c>
      <c r="C135" s="33">
        <v>1</v>
      </c>
      <c r="D135" s="33">
        <v>16500</v>
      </c>
      <c r="E135" s="33">
        <v>0</v>
      </c>
      <c r="F135" s="33">
        <v>0</v>
      </c>
      <c r="G135" s="33">
        <f t="shared" si="17"/>
        <v>0</v>
      </c>
      <c r="H135" s="34"/>
      <c r="I135" s="34">
        <v>1</v>
      </c>
      <c r="J135" s="34" t="s">
        <v>1050</v>
      </c>
      <c r="K135" s="33"/>
      <c r="L135" s="33"/>
      <c r="M135" s="33"/>
      <c r="N135" s="33"/>
      <c r="O135" s="33"/>
      <c r="P135" s="33"/>
      <c r="Q135" s="33"/>
      <c r="R135" s="33"/>
      <c r="S135" s="33"/>
      <c r="T135" s="33">
        <f>(D135/C135)*1</f>
        <v>16500</v>
      </c>
      <c r="U135" s="33">
        <f t="shared" si="19"/>
        <v>0</v>
      </c>
      <c r="V135" s="36"/>
      <c r="W135" s="36"/>
      <c r="X135" s="36"/>
      <c r="Y135" s="33">
        <f t="shared" si="20"/>
        <v>16500</v>
      </c>
      <c r="Z135" s="37" t="str">
        <f t="shared" si="21"/>
        <v/>
      </c>
      <c r="AA135" s="34"/>
      <c r="AB135" s="34"/>
      <c r="AC135" s="34"/>
      <c r="AD135" s="34"/>
    </row>
    <row r="136" spans="1:30" s="38" customFormat="1">
      <c r="A136" s="32" t="s">
        <v>142</v>
      </c>
      <c r="B136" s="32" t="s">
        <v>1062</v>
      </c>
      <c r="C136" s="33">
        <v>1</v>
      </c>
      <c r="D136" s="33">
        <v>4500</v>
      </c>
      <c r="E136" s="33">
        <v>0</v>
      </c>
      <c r="F136" s="33">
        <v>0</v>
      </c>
      <c r="G136" s="33">
        <f t="shared" si="17"/>
        <v>0</v>
      </c>
      <c r="H136" s="34"/>
      <c r="I136" s="34">
        <v>1</v>
      </c>
      <c r="J136" s="34" t="s">
        <v>1063</v>
      </c>
      <c r="K136" s="33"/>
      <c r="L136" s="33"/>
      <c r="M136" s="33"/>
      <c r="N136" s="33"/>
      <c r="O136" s="33"/>
      <c r="P136" s="33"/>
      <c r="Q136" s="33"/>
      <c r="R136" s="33"/>
      <c r="S136" s="33"/>
      <c r="T136" s="33">
        <f>(D136/C136)*1</f>
        <v>4500</v>
      </c>
      <c r="U136" s="33">
        <f t="shared" si="19"/>
        <v>0</v>
      </c>
      <c r="V136" s="36"/>
      <c r="W136" s="36"/>
      <c r="X136" s="36"/>
      <c r="Y136" s="33">
        <f t="shared" si="20"/>
        <v>4500</v>
      </c>
      <c r="Z136" s="37" t="str">
        <f t="shared" si="21"/>
        <v/>
      </c>
      <c r="AA136" s="34"/>
      <c r="AB136" s="34"/>
      <c r="AC136" s="34"/>
      <c r="AD136" s="34"/>
    </row>
    <row r="137" spans="1:30" s="38" customFormat="1">
      <c r="A137" s="32" t="s">
        <v>1283</v>
      </c>
      <c r="B137" s="32" t="s">
        <v>1333</v>
      </c>
      <c r="C137" s="33">
        <v>1</v>
      </c>
      <c r="D137" s="33">
        <v>17000</v>
      </c>
      <c r="E137" s="33">
        <v>0</v>
      </c>
      <c r="F137" s="33">
        <v>0</v>
      </c>
      <c r="G137" s="33">
        <f t="shared" si="17"/>
        <v>0</v>
      </c>
      <c r="H137" s="34"/>
      <c r="I137" s="34">
        <v>1</v>
      </c>
      <c r="J137" s="34" t="s">
        <v>1323</v>
      </c>
      <c r="K137" s="33"/>
      <c r="L137" s="33"/>
      <c r="M137" s="33"/>
      <c r="N137" s="33"/>
      <c r="O137" s="33"/>
      <c r="P137" s="33"/>
      <c r="Q137" s="33"/>
      <c r="R137" s="33"/>
      <c r="S137" s="33"/>
      <c r="T137" s="33">
        <f>D137</f>
        <v>17000</v>
      </c>
      <c r="U137" s="33">
        <f t="shared" si="19"/>
        <v>0</v>
      </c>
      <c r="V137" s="36"/>
      <c r="W137" s="36"/>
      <c r="X137" s="36"/>
      <c r="Y137" s="33">
        <f t="shared" si="20"/>
        <v>17000</v>
      </c>
      <c r="Z137" s="37" t="str">
        <f t="shared" si="21"/>
        <v/>
      </c>
      <c r="AA137" s="34"/>
      <c r="AB137" s="34"/>
      <c r="AC137" s="47"/>
      <c r="AD137" s="41"/>
    </row>
    <row r="138" spans="1:30" s="38" customFormat="1">
      <c r="A138" s="39" t="s">
        <v>1234</v>
      </c>
      <c r="B138" s="39" t="s">
        <v>1334</v>
      </c>
      <c r="C138" s="33">
        <v>1</v>
      </c>
      <c r="D138" s="33">
        <v>33500</v>
      </c>
      <c r="E138" s="33">
        <v>0</v>
      </c>
      <c r="F138" s="33">
        <v>0</v>
      </c>
      <c r="G138" s="33">
        <f t="shared" ref="G138:G169" si="22">E138-F138</f>
        <v>0</v>
      </c>
      <c r="H138" s="34"/>
      <c r="I138" s="34">
        <v>1</v>
      </c>
      <c r="J138" s="34" t="s">
        <v>1335</v>
      </c>
      <c r="K138" s="33"/>
      <c r="L138" s="33"/>
      <c r="M138" s="33"/>
      <c r="N138" s="33"/>
      <c r="O138" s="33"/>
      <c r="P138" s="33"/>
      <c r="Q138" s="33"/>
      <c r="R138" s="33"/>
      <c r="S138" s="33"/>
      <c r="T138" s="33">
        <f>(D138/C138)*1</f>
        <v>33500</v>
      </c>
      <c r="U138" s="33">
        <f t="shared" si="19"/>
        <v>0</v>
      </c>
      <c r="V138" s="33"/>
      <c r="W138" s="33"/>
      <c r="X138" s="33"/>
      <c r="Y138" s="33">
        <f t="shared" si="20"/>
        <v>33500</v>
      </c>
      <c r="Z138" s="37" t="str">
        <f t="shared" si="21"/>
        <v/>
      </c>
      <c r="AA138" s="34"/>
      <c r="AB138" s="34"/>
      <c r="AC138" s="34"/>
      <c r="AD138" s="34"/>
    </row>
    <row r="139" spans="1:30" s="38" customFormat="1">
      <c r="A139" s="39" t="s">
        <v>1235</v>
      </c>
      <c r="B139" s="39" t="s">
        <v>1336</v>
      </c>
      <c r="C139" s="33">
        <v>1</v>
      </c>
      <c r="D139" s="33">
        <v>10000</v>
      </c>
      <c r="E139" s="33">
        <v>0</v>
      </c>
      <c r="F139" s="33">
        <v>0</v>
      </c>
      <c r="G139" s="33">
        <f t="shared" si="22"/>
        <v>0</v>
      </c>
      <c r="H139" s="34"/>
      <c r="I139" s="34">
        <v>1</v>
      </c>
      <c r="J139" s="34" t="s">
        <v>1337</v>
      </c>
      <c r="K139" s="33"/>
      <c r="L139" s="33"/>
      <c r="M139" s="33"/>
      <c r="N139" s="33"/>
      <c r="O139" s="33"/>
      <c r="P139" s="33"/>
      <c r="Q139" s="33"/>
      <c r="R139" s="33"/>
      <c r="S139" s="33"/>
      <c r="T139" s="33">
        <f>(D139/C139)*I139</f>
        <v>10000</v>
      </c>
      <c r="U139" s="33">
        <v>0</v>
      </c>
      <c r="V139" s="33"/>
      <c r="W139" s="33"/>
      <c r="X139" s="33"/>
      <c r="Y139" s="33">
        <f t="shared" si="20"/>
        <v>10000</v>
      </c>
      <c r="Z139" s="37" t="str">
        <f t="shared" si="21"/>
        <v/>
      </c>
      <c r="AA139" s="34"/>
      <c r="AB139" s="34"/>
      <c r="AC139" s="34"/>
      <c r="AD139" s="34"/>
    </row>
    <row r="140" spans="1:30" s="38" customFormat="1">
      <c r="A140" s="32" t="s">
        <v>1284</v>
      </c>
      <c r="B140" s="32" t="s">
        <v>1338</v>
      </c>
      <c r="C140" s="33">
        <v>1</v>
      </c>
      <c r="D140" s="33">
        <v>10000</v>
      </c>
      <c r="E140" s="33">
        <v>0</v>
      </c>
      <c r="F140" s="33">
        <v>0</v>
      </c>
      <c r="G140" s="33">
        <f t="shared" si="22"/>
        <v>0</v>
      </c>
      <c r="H140" s="34"/>
      <c r="I140" s="34">
        <v>1</v>
      </c>
      <c r="J140" s="34" t="s">
        <v>1339</v>
      </c>
      <c r="K140" s="33"/>
      <c r="L140" s="33"/>
      <c r="M140" s="33"/>
      <c r="N140" s="33"/>
      <c r="O140" s="33"/>
      <c r="P140" s="33"/>
      <c r="Q140" s="33"/>
      <c r="R140" s="33"/>
      <c r="S140" s="33"/>
      <c r="T140" s="33">
        <f>D140</f>
        <v>10000</v>
      </c>
      <c r="U140" s="33">
        <f>C140-E140-I140</f>
        <v>0</v>
      </c>
      <c r="V140" s="36"/>
      <c r="W140" s="36"/>
      <c r="X140" s="36"/>
      <c r="Y140" s="33">
        <f t="shared" si="20"/>
        <v>10000</v>
      </c>
      <c r="Z140" s="37" t="str">
        <f t="shared" si="21"/>
        <v/>
      </c>
      <c r="AA140" s="34"/>
      <c r="AB140" s="34"/>
      <c r="AC140" s="47"/>
      <c r="AD140" s="41"/>
    </row>
    <row r="141" spans="1:30" s="38" customFormat="1">
      <c r="A141" s="32" t="s">
        <v>143</v>
      </c>
      <c r="B141" s="32" t="s">
        <v>1064</v>
      </c>
      <c r="C141" s="33">
        <v>1</v>
      </c>
      <c r="D141" s="33">
        <v>200000</v>
      </c>
      <c r="E141" s="33">
        <v>0</v>
      </c>
      <c r="F141" s="33">
        <v>0</v>
      </c>
      <c r="G141" s="33">
        <f t="shared" si="22"/>
        <v>0</v>
      </c>
      <c r="H141" s="34"/>
      <c r="I141" s="34">
        <v>0</v>
      </c>
      <c r="J141" s="34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>
        <f>C141-E141-I141</f>
        <v>1</v>
      </c>
      <c r="V141" s="36"/>
      <c r="W141" s="36">
        <f>(D141/C141)*1</f>
        <v>200000</v>
      </c>
      <c r="X141" s="34" t="s">
        <v>1065</v>
      </c>
      <c r="Y141" s="33">
        <f t="shared" si="20"/>
        <v>200000</v>
      </c>
      <c r="Z141" s="37" t="str">
        <f t="shared" si="21"/>
        <v/>
      </c>
      <c r="AA141" s="34"/>
      <c r="AB141" s="34"/>
      <c r="AC141" s="34"/>
      <c r="AD141" s="34"/>
    </row>
    <row r="142" spans="1:30" s="38" customFormat="1">
      <c r="A142" s="32" t="s">
        <v>144</v>
      </c>
      <c r="B142" s="32" t="s">
        <v>1066</v>
      </c>
      <c r="C142" s="33">
        <v>1</v>
      </c>
      <c r="D142" s="33">
        <v>125</v>
      </c>
      <c r="E142" s="33">
        <v>0</v>
      </c>
      <c r="F142" s="33">
        <v>0</v>
      </c>
      <c r="G142" s="33">
        <f t="shared" si="22"/>
        <v>0</v>
      </c>
      <c r="H142" s="34"/>
      <c r="I142" s="34">
        <v>1</v>
      </c>
      <c r="J142" s="54" t="s">
        <v>1340</v>
      </c>
      <c r="K142" s="33"/>
      <c r="L142" s="33">
        <f>(D142/C142)*C142</f>
        <v>125</v>
      </c>
      <c r="M142" s="33"/>
      <c r="N142" s="33"/>
      <c r="O142" s="33"/>
      <c r="P142" s="33"/>
      <c r="Q142" s="33"/>
      <c r="R142" s="33"/>
      <c r="S142" s="33"/>
      <c r="T142" s="33"/>
      <c r="U142" s="33">
        <v>0</v>
      </c>
      <c r="V142" s="33"/>
      <c r="W142" s="33"/>
      <c r="X142" s="33"/>
      <c r="Y142" s="33">
        <f t="shared" si="20"/>
        <v>125</v>
      </c>
      <c r="Z142" s="37" t="str">
        <f t="shared" si="21"/>
        <v/>
      </c>
      <c r="AA142" s="34"/>
      <c r="AB142" s="34"/>
      <c r="AC142" s="34"/>
      <c r="AD142" s="34"/>
    </row>
    <row r="143" spans="1:30" s="38" customFormat="1">
      <c r="A143" s="39" t="s">
        <v>145</v>
      </c>
      <c r="B143" s="39" t="s">
        <v>1068</v>
      </c>
      <c r="C143" s="33">
        <v>2</v>
      </c>
      <c r="D143" s="33">
        <v>200</v>
      </c>
      <c r="E143" s="33">
        <v>0</v>
      </c>
      <c r="F143" s="33">
        <v>0</v>
      </c>
      <c r="G143" s="33">
        <f t="shared" si="22"/>
        <v>0</v>
      </c>
      <c r="H143" s="34"/>
      <c r="I143" s="34">
        <v>2</v>
      </c>
      <c r="J143" s="34" t="s">
        <v>1069</v>
      </c>
      <c r="K143" s="33"/>
      <c r="L143" s="33"/>
      <c r="M143" s="33"/>
      <c r="N143" s="33"/>
      <c r="O143" s="33"/>
      <c r="P143" s="33"/>
      <c r="Q143" s="33"/>
      <c r="R143" s="33"/>
      <c r="S143" s="33"/>
      <c r="T143" s="33">
        <f>(D143/C143)*2</f>
        <v>200</v>
      </c>
      <c r="U143" s="33">
        <f t="shared" ref="U143:U153" si="23">C143-E143-I143</f>
        <v>0</v>
      </c>
      <c r="V143" s="36"/>
      <c r="W143" s="36"/>
      <c r="X143" s="36"/>
      <c r="Y143" s="33">
        <f t="shared" si="20"/>
        <v>200</v>
      </c>
      <c r="Z143" s="37" t="str">
        <f t="shared" si="21"/>
        <v/>
      </c>
      <c r="AA143" s="34"/>
      <c r="AB143" s="34"/>
      <c r="AC143" s="34"/>
      <c r="AD143" s="35"/>
    </row>
    <row r="144" spans="1:30" s="38" customFormat="1">
      <c r="A144" s="32" t="s">
        <v>1285</v>
      </c>
      <c r="B144" s="32" t="s">
        <v>1341</v>
      </c>
      <c r="C144" s="33">
        <v>1</v>
      </c>
      <c r="D144" s="33">
        <v>150</v>
      </c>
      <c r="E144" s="33">
        <v>0</v>
      </c>
      <c r="F144" s="33">
        <v>0</v>
      </c>
      <c r="G144" s="33">
        <f t="shared" si="22"/>
        <v>0</v>
      </c>
      <c r="H144" s="34"/>
      <c r="I144" s="34">
        <v>1</v>
      </c>
      <c r="J144" s="34" t="s">
        <v>1342</v>
      </c>
      <c r="K144" s="33"/>
      <c r="L144" s="33"/>
      <c r="M144" s="33"/>
      <c r="N144" s="33"/>
      <c r="O144" s="33"/>
      <c r="P144" s="33"/>
      <c r="Q144" s="33"/>
      <c r="R144" s="33">
        <f>(D144/C144)*1</f>
        <v>150</v>
      </c>
      <c r="S144" s="33"/>
      <c r="T144" s="33"/>
      <c r="U144" s="33">
        <f t="shared" si="23"/>
        <v>0</v>
      </c>
      <c r="V144" s="36"/>
      <c r="W144" s="36"/>
      <c r="X144" s="36"/>
      <c r="Y144" s="33">
        <f t="shared" si="20"/>
        <v>150</v>
      </c>
      <c r="Z144" s="37" t="str">
        <f t="shared" si="21"/>
        <v/>
      </c>
      <c r="AA144" s="34"/>
      <c r="AB144" s="34"/>
      <c r="AC144" s="47"/>
      <c r="AD144" s="41"/>
    </row>
    <row r="145" spans="1:30" s="38" customFormat="1">
      <c r="A145" s="32" t="s">
        <v>1286</v>
      </c>
      <c r="B145" s="32" t="s">
        <v>1343</v>
      </c>
      <c r="C145" s="33">
        <v>1</v>
      </c>
      <c r="D145" s="33">
        <v>100</v>
      </c>
      <c r="E145" s="33">
        <v>0</v>
      </c>
      <c r="F145" s="33">
        <v>0</v>
      </c>
      <c r="G145" s="33">
        <f t="shared" si="22"/>
        <v>0</v>
      </c>
      <c r="H145" s="34"/>
      <c r="I145" s="34">
        <v>1</v>
      </c>
      <c r="J145" s="34" t="s">
        <v>1317</v>
      </c>
      <c r="K145" s="33"/>
      <c r="L145" s="33"/>
      <c r="M145" s="33"/>
      <c r="N145" s="33"/>
      <c r="O145" s="33"/>
      <c r="P145" s="33"/>
      <c r="Q145" s="33"/>
      <c r="R145" s="33"/>
      <c r="S145" s="33"/>
      <c r="T145" s="33">
        <f>D145</f>
        <v>100</v>
      </c>
      <c r="U145" s="33">
        <f t="shared" si="23"/>
        <v>0</v>
      </c>
      <c r="V145" s="36"/>
      <c r="W145" s="36"/>
      <c r="X145" s="36"/>
      <c r="Y145" s="33">
        <f t="shared" si="20"/>
        <v>100</v>
      </c>
      <c r="Z145" s="37" t="str">
        <f t="shared" si="21"/>
        <v/>
      </c>
      <c r="AA145" s="34"/>
      <c r="AB145" s="34"/>
      <c r="AC145" s="47"/>
      <c r="AD145" s="41"/>
    </row>
    <row r="146" spans="1:30" s="38" customFormat="1">
      <c r="A146" s="39" t="s">
        <v>146</v>
      </c>
      <c r="B146" s="39" t="s">
        <v>1070</v>
      </c>
      <c r="C146" s="33">
        <v>1</v>
      </c>
      <c r="D146" s="33">
        <v>4221</v>
      </c>
      <c r="E146" s="33">
        <v>0</v>
      </c>
      <c r="F146" s="33">
        <v>0</v>
      </c>
      <c r="G146" s="33">
        <f t="shared" si="22"/>
        <v>0</v>
      </c>
      <c r="H146" s="34"/>
      <c r="I146" s="34">
        <v>0</v>
      </c>
      <c r="J146" s="34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>
        <f t="shared" si="23"/>
        <v>1</v>
      </c>
      <c r="V146" s="36"/>
      <c r="W146" s="36">
        <f>(D146/C146)*1</f>
        <v>4221</v>
      </c>
      <c r="X146" s="36" t="s">
        <v>1071</v>
      </c>
      <c r="Y146" s="33">
        <f t="shared" si="20"/>
        <v>4221</v>
      </c>
      <c r="Z146" s="37" t="str">
        <f t="shared" si="21"/>
        <v/>
      </c>
      <c r="AA146" s="34"/>
      <c r="AB146" s="34"/>
      <c r="AC146" s="34"/>
      <c r="AD146" s="34"/>
    </row>
    <row r="147" spans="1:30" s="38" customFormat="1">
      <c r="A147" s="39" t="s">
        <v>147</v>
      </c>
      <c r="B147" s="39" t="s">
        <v>1072</v>
      </c>
      <c r="C147" s="33">
        <v>6</v>
      </c>
      <c r="D147" s="33">
        <v>2322</v>
      </c>
      <c r="E147" s="33">
        <v>0</v>
      </c>
      <c r="F147" s="33">
        <v>0</v>
      </c>
      <c r="G147" s="33">
        <f t="shared" si="22"/>
        <v>0</v>
      </c>
      <c r="H147" s="34"/>
      <c r="I147" s="34">
        <v>0</v>
      </c>
      <c r="J147" s="34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>
        <f t="shared" si="23"/>
        <v>6</v>
      </c>
      <c r="V147" s="36"/>
      <c r="W147" s="36">
        <f>(D147/C147)*6</f>
        <v>2322</v>
      </c>
      <c r="X147" s="36" t="s">
        <v>1073</v>
      </c>
      <c r="Y147" s="33">
        <f t="shared" si="20"/>
        <v>2322</v>
      </c>
      <c r="Z147" s="37" t="str">
        <f t="shared" si="21"/>
        <v/>
      </c>
      <c r="AA147" s="34"/>
      <c r="AB147" s="34"/>
      <c r="AC147" s="34"/>
      <c r="AD147" s="34"/>
    </row>
    <row r="148" spans="1:30" s="38" customFormat="1">
      <c r="A148" s="39" t="s">
        <v>148</v>
      </c>
      <c r="B148" s="39" t="s">
        <v>1074</v>
      </c>
      <c r="C148" s="33">
        <v>7</v>
      </c>
      <c r="D148" s="33">
        <v>4550</v>
      </c>
      <c r="E148" s="33">
        <v>0</v>
      </c>
      <c r="F148" s="33">
        <v>0</v>
      </c>
      <c r="G148" s="33">
        <f t="shared" si="22"/>
        <v>0</v>
      </c>
      <c r="H148" s="34"/>
      <c r="I148" s="34">
        <v>0</v>
      </c>
      <c r="J148" s="34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>
        <f t="shared" si="23"/>
        <v>7</v>
      </c>
      <c r="V148" s="36"/>
      <c r="W148" s="36">
        <f>(D148/C148)*7</f>
        <v>4550</v>
      </c>
      <c r="X148" s="36" t="s">
        <v>1015</v>
      </c>
      <c r="Y148" s="33">
        <f t="shared" si="20"/>
        <v>4550</v>
      </c>
      <c r="Z148" s="37" t="str">
        <f t="shared" si="21"/>
        <v/>
      </c>
      <c r="AA148" s="34"/>
      <c r="AB148" s="34"/>
      <c r="AC148" s="34"/>
      <c r="AD148" s="34"/>
    </row>
    <row r="149" spans="1:30" s="38" customFormat="1" ht="25.5">
      <c r="A149" s="32" t="s">
        <v>149</v>
      </c>
      <c r="B149" s="32" t="s">
        <v>1075</v>
      </c>
      <c r="C149" s="33">
        <v>2</v>
      </c>
      <c r="D149" s="33">
        <v>8100</v>
      </c>
      <c r="E149" s="33">
        <v>0</v>
      </c>
      <c r="F149" s="33">
        <v>0</v>
      </c>
      <c r="G149" s="33">
        <f t="shared" si="22"/>
        <v>0</v>
      </c>
      <c r="H149" s="34"/>
      <c r="I149" s="34">
        <v>0</v>
      </c>
      <c r="J149" s="34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>
        <f t="shared" si="23"/>
        <v>2</v>
      </c>
      <c r="V149" s="36"/>
      <c r="W149" s="36">
        <f>(D149/C149)*2</f>
        <v>8100</v>
      </c>
      <c r="X149" s="36" t="s">
        <v>1076</v>
      </c>
      <c r="Y149" s="33">
        <f t="shared" si="20"/>
        <v>8100</v>
      </c>
      <c r="Z149" s="37" t="str">
        <f t="shared" si="21"/>
        <v/>
      </c>
      <c r="AA149" s="34"/>
      <c r="AB149" s="34"/>
      <c r="AC149" s="34"/>
      <c r="AD149" s="34"/>
    </row>
    <row r="150" spans="1:30" s="38" customFormat="1">
      <c r="A150" s="32" t="s">
        <v>150</v>
      </c>
      <c r="B150" s="32" t="s">
        <v>1077</v>
      </c>
      <c r="C150" s="33">
        <v>1</v>
      </c>
      <c r="D150" s="33">
        <v>12245</v>
      </c>
      <c r="E150" s="33">
        <v>0</v>
      </c>
      <c r="F150" s="33">
        <v>0</v>
      </c>
      <c r="G150" s="33">
        <f t="shared" si="22"/>
        <v>0</v>
      </c>
      <c r="H150" s="34"/>
      <c r="I150" s="34">
        <v>0</v>
      </c>
      <c r="J150" s="34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>
        <f t="shared" si="23"/>
        <v>1</v>
      </c>
      <c r="V150" s="36">
        <f>(D150/C150)*1</f>
        <v>12245</v>
      </c>
      <c r="W150" s="36"/>
      <c r="X150" s="36"/>
      <c r="Y150" s="33">
        <f t="shared" si="20"/>
        <v>12245</v>
      </c>
      <c r="Z150" s="37" t="str">
        <f t="shared" si="21"/>
        <v/>
      </c>
      <c r="AA150" s="34"/>
      <c r="AB150" s="34"/>
      <c r="AC150" s="34"/>
      <c r="AD150" s="34"/>
    </row>
    <row r="151" spans="1:30" s="38" customFormat="1">
      <c r="A151" s="32" t="s">
        <v>151</v>
      </c>
      <c r="B151" s="32" t="s">
        <v>1078</v>
      </c>
      <c r="C151" s="33">
        <v>1</v>
      </c>
      <c r="D151" s="33">
        <v>19600</v>
      </c>
      <c r="E151" s="33">
        <v>0</v>
      </c>
      <c r="F151" s="33">
        <v>0</v>
      </c>
      <c r="G151" s="33">
        <f t="shared" si="22"/>
        <v>0</v>
      </c>
      <c r="H151" s="34"/>
      <c r="I151" s="34">
        <v>0</v>
      </c>
      <c r="J151" s="34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>
        <f t="shared" si="23"/>
        <v>1</v>
      </c>
      <c r="V151" s="36">
        <f>(D151/C151)*1</f>
        <v>19600</v>
      </c>
      <c r="W151" s="36"/>
      <c r="X151" s="36"/>
      <c r="Y151" s="33">
        <f t="shared" si="20"/>
        <v>19600</v>
      </c>
      <c r="Z151" s="37" t="str">
        <f t="shared" si="21"/>
        <v/>
      </c>
      <c r="AA151" s="34"/>
      <c r="AB151" s="34"/>
      <c r="AC151" s="34"/>
      <c r="AD151" s="34"/>
    </row>
    <row r="152" spans="1:30" s="38" customFormat="1">
      <c r="A152" s="43" t="s">
        <v>152</v>
      </c>
      <c r="B152" s="32" t="s">
        <v>1079</v>
      </c>
      <c r="C152" s="33">
        <v>13</v>
      </c>
      <c r="D152" s="33">
        <v>3575</v>
      </c>
      <c r="E152" s="33">
        <v>0</v>
      </c>
      <c r="F152" s="33">
        <v>0</v>
      </c>
      <c r="G152" s="33">
        <f t="shared" si="22"/>
        <v>0</v>
      </c>
      <c r="H152" s="34"/>
      <c r="I152" s="34">
        <v>13</v>
      </c>
      <c r="J152" s="34" t="s">
        <v>1080</v>
      </c>
      <c r="K152" s="33"/>
      <c r="L152" s="33"/>
      <c r="M152" s="33"/>
      <c r="N152" s="33"/>
      <c r="O152" s="33"/>
      <c r="P152" s="33"/>
      <c r="Q152" s="33"/>
      <c r="R152" s="33"/>
      <c r="S152" s="33"/>
      <c r="T152" s="33">
        <f>D152</f>
        <v>3575</v>
      </c>
      <c r="U152" s="33">
        <f t="shared" si="23"/>
        <v>0</v>
      </c>
      <c r="V152" s="36"/>
      <c r="W152" s="36"/>
      <c r="X152" s="36"/>
      <c r="Y152" s="33">
        <f t="shared" si="20"/>
        <v>3575</v>
      </c>
      <c r="Z152" s="37" t="str">
        <f t="shared" si="21"/>
        <v/>
      </c>
      <c r="AA152" s="34"/>
      <c r="AB152" s="34"/>
      <c r="AC152" s="34"/>
      <c r="AD152" s="34"/>
    </row>
    <row r="153" spans="1:30" s="38" customFormat="1">
      <c r="A153" s="32" t="s">
        <v>153</v>
      </c>
      <c r="B153" s="32" t="s">
        <v>154</v>
      </c>
      <c r="C153" s="33">
        <v>2</v>
      </c>
      <c r="D153" s="33">
        <v>900</v>
      </c>
      <c r="E153" s="33">
        <v>0</v>
      </c>
      <c r="F153" s="33">
        <v>0</v>
      </c>
      <c r="G153" s="33">
        <f t="shared" si="22"/>
        <v>0</v>
      </c>
      <c r="H153" s="34"/>
      <c r="I153" s="34">
        <v>0</v>
      </c>
      <c r="J153" s="34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>
        <f t="shared" si="23"/>
        <v>2</v>
      </c>
      <c r="V153" s="36">
        <f>(D153/C153)*2</f>
        <v>900</v>
      </c>
      <c r="W153" s="36"/>
      <c r="X153" s="36"/>
      <c r="Y153" s="33">
        <f t="shared" si="20"/>
        <v>900</v>
      </c>
      <c r="Z153" s="37" t="str">
        <f t="shared" si="21"/>
        <v/>
      </c>
      <c r="AA153" s="34"/>
      <c r="AB153" s="34"/>
      <c r="AC153" s="34"/>
      <c r="AD153" s="34"/>
    </row>
    <row r="154" spans="1:30" s="38" customFormat="1" ht="25.5">
      <c r="A154" s="32" t="s">
        <v>155</v>
      </c>
      <c r="B154" s="32" t="s">
        <v>1081</v>
      </c>
      <c r="C154" s="33">
        <v>29</v>
      </c>
      <c r="D154" s="33">
        <v>522</v>
      </c>
      <c r="E154" s="33">
        <v>0</v>
      </c>
      <c r="F154" s="33">
        <v>0</v>
      </c>
      <c r="G154" s="33">
        <f t="shared" si="22"/>
        <v>0</v>
      </c>
      <c r="H154" s="34"/>
      <c r="I154" s="34">
        <v>0</v>
      </c>
      <c r="J154" s="34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>
        <v>29</v>
      </c>
      <c r="V154" s="36">
        <f>D154</f>
        <v>522</v>
      </c>
      <c r="W154" s="36"/>
      <c r="X154" s="36" t="s">
        <v>1344</v>
      </c>
      <c r="Y154" s="33">
        <f t="shared" si="20"/>
        <v>522</v>
      </c>
      <c r="Z154" s="37" t="str">
        <f t="shared" si="21"/>
        <v/>
      </c>
      <c r="AA154" s="34"/>
      <c r="AB154" s="34"/>
      <c r="AC154" s="34"/>
      <c r="AD154" s="34"/>
    </row>
    <row r="155" spans="1:30" s="38" customFormat="1">
      <c r="A155" s="32" t="s">
        <v>156</v>
      </c>
      <c r="B155" s="32" t="s">
        <v>1082</v>
      </c>
      <c r="C155" s="33">
        <v>1</v>
      </c>
      <c r="D155" s="33">
        <v>1950</v>
      </c>
      <c r="E155" s="33">
        <v>0</v>
      </c>
      <c r="F155" s="33">
        <v>0</v>
      </c>
      <c r="G155" s="33">
        <f t="shared" si="22"/>
        <v>0</v>
      </c>
      <c r="H155" s="34"/>
      <c r="I155" s="34">
        <v>0</v>
      </c>
      <c r="J155" s="34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>
        <f t="shared" ref="U155:U162" si="24">C155-E155-I155</f>
        <v>1</v>
      </c>
      <c r="V155" s="36">
        <f>(D155/C155)*1</f>
        <v>1950</v>
      </c>
      <c r="W155" s="36"/>
      <c r="X155" s="36"/>
      <c r="Y155" s="33">
        <f t="shared" si="20"/>
        <v>1950</v>
      </c>
      <c r="Z155" s="37" t="str">
        <f t="shared" si="21"/>
        <v/>
      </c>
      <c r="AA155" s="34"/>
      <c r="AB155" s="34"/>
      <c r="AC155" s="34"/>
      <c r="AD155" s="34"/>
    </row>
    <row r="156" spans="1:30" s="38" customFormat="1">
      <c r="A156" s="32" t="s">
        <v>157</v>
      </c>
      <c r="B156" s="32" t="s">
        <v>1083</v>
      </c>
      <c r="C156" s="33">
        <v>56</v>
      </c>
      <c r="D156" s="33">
        <v>1848</v>
      </c>
      <c r="E156" s="33">
        <v>12</v>
      </c>
      <c r="F156" s="33">
        <v>0</v>
      </c>
      <c r="G156" s="33">
        <f t="shared" si="22"/>
        <v>12</v>
      </c>
      <c r="H156" s="34" t="s">
        <v>7</v>
      </c>
      <c r="I156" s="34">
        <v>0</v>
      </c>
      <c r="J156" s="34"/>
      <c r="K156" s="33">
        <f>(D156/C156)*12</f>
        <v>396</v>
      </c>
      <c r="L156" s="33"/>
      <c r="M156" s="33"/>
      <c r="N156" s="33"/>
      <c r="O156" s="33"/>
      <c r="P156" s="33"/>
      <c r="Q156" s="33"/>
      <c r="R156" s="33"/>
      <c r="S156" s="33"/>
      <c r="T156" s="33"/>
      <c r="U156" s="33">
        <f t="shared" si="24"/>
        <v>44</v>
      </c>
      <c r="V156" s="36"/>
      <c r="W156" s="36">
        <f>(D156/C156)*44</f>
        <v>1452</v>
      </c>
      <c r="X156" s="36" t="s">
        <v>1073</v>
      </c>
      <c r="Y156" s="33">
        <f t="shared" si="20"/>
        <v>1848</v>
      </c>
      <c r="Z156" s="37" t="str">
        <f t="shared" si="21"/>
        <v/>
      </c>
      <c r="AA156" s="34"/>
      <c r="AB156" s="34"/>
      <c r="AC156" s="34"/>
      <c r="AD156" s="34"/>
    </row>
    <row r="157" spans="1:30" s="38" customFormat="1">
      <c r="A157" s="39" t="s">
        <v>158</v>
      </c>
      <c r="B157" s="39" t="s">
        <v>1084</v>
      </c>
      <c r="C157" s="33">
        <v>49</v>
      </c>
      <c r="D157" s="33">
        <v>1617</v>
      </c>
      <c r="E157" s="33">
        <v>7</v>
      </c>
      <c r="F157" s="33">
        <v>0</v>
      </c>
      <c r="G157" s="33">
        <f t="shared" si="22"/>
        <v>7</v>
      </c>
      <c r="H157" s="34" t="s">
        <v>7</v>
      </c>
      <c r="I157" s="34">
        <v>0</v>
      </c>
      <c r="J157" s="34"/>
      <c r="K157" s="33">
        <f>(D157/C157)*7</f>
        <v>231</v>
      </c>
      <c r="L157" s="33"/>
      <c r="M157" s="33"/>
      <c r="N157" s="33"/>
      <c r="O157" s="33"/>
      <c r="P157" s="33"/>
      <c r="Q157" s="33"/>
      <c r="R157" s="33"/>
      <c r="S157" s="33"/>
      <c r="T157" s="33"/>
      <c r="U157" s="33">
        <f t="shared" si="24"/>
        <v>42</v>
      </c>
      <c r="V157" s="36"/>
      <c r="W157" s="36">
        <f>(D157/C157)*42</f>
        <v>1386</v>
      </c>
      <c r="X157" s="36" t="s">
        <v>1073</v>
      </c>
      <c r="Y157" s="33">
        <f t="shared" si="20"/>
        <v>1617</v>
      </c>
      <c r="Z157" s="37" t="str">
        <f t="shared" si="21"/>
        <v/>
      </c>
      <c r="AA157" s="34"/>
      <c r="AB157" s="34"/>
      <c r="AC157" s="34"/>
      <c r="AD157" s="34"/>
    </row>
    <row r="158" spans="1:30" s="38" customFormat="1">
      <c r="A158" s="32" t="s">
        <v>159</v>
      </c>
      <c r="B158" s="32" t="s">
        <v>1085</v>
      </c>
      <c r="C158" s="33">
        <v>1</v>
      </c>
      <c r="D158" s="33">
        <v>123810</v>
      </c>
      <c r="E158" s="33">
        <v>0</v>
      </c>
      <c r="F158" s="33">
        <v>0</v>
      </c>
      <c r="G158" s="33">
        <f t="shared" si="22"/>
        <v>0</v>
      </c>
      <c r="H158" s="34"/>
      <c r="I158" s="34">
        <v>0</v>
      </c>
      <c r="J158" s="34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>
        <f t="shared" si="24"/>
        <v>1</v>
      </c>
      <c r="V158" s="36"/>
      <c r="W158" s="36">
        <f>(D158/C158)*1</f>
        <v>123810</v>
      </c>
      <c r="X158" s="36" t="s">
        <v>1073</v>
      </c>
      <c r="Y158" s="33">
        <f t="shared" si="20"/>
        <v>123810</v>
      </c>
      <c r="Z158" s="37" t="str">
        <f t="shared" si="21"/>
        <v/>
      </c>
      <c r="AA158" s="34"/>
      <c r="AB158" s="34"/>
      <c r="AC158" s="34"/>
      <c r="AD158" s="34"/>
    </row>
    <row r="159" spans="1:30" s="38" customFormat="1">
      <c r="A159" s="32" t="s">
        <v>160</v>
      </c>
      <c r="B159" s="32" t="s">
        <v>1086</v>
      </c>
      <c r="C159" s="33">
        <v>1</v>
      </c>
      <c r="D159" s="33">
        <v>219048</v>
      </c>
      <c r="E159" s="33">
        <v>0</v>
      </c>
      <c r="F159" s="33">
        <v>0</v>
      </c>
      <c r="G159" s="33">
        <f t="shared" si="22"/>
        <v>0</v>
      </c>
      <c r="H159" s="34"/>
      <c r="I159" s="34">
        <v>0</v>
      </c>
      <c r="J159" s="34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>
        <f t="shared" si="24"/>
        <v>1</v>
      </c>
      <c r="V159" s="36"/>
      <c r="W159" s="36">
        <f>(D159/C159)*1</f>
        <v>219048</v>
      </c>
      <c r="X159" s="36" t="s">
        <v>1073</v>
      </c>
      <c r="Y159" s="33">
        <f t="shared" si="20"/>
        <v>219048</v>
      </c>
      <c r="Z159" s="37" t="str">
        <f t="shared" si="21"/>
        <v/>
      </c>
      <c r="AA159" s="34"/>
      <c r="AB159" s="34"/>
      <c r="AC159" s="34"/>
      <c r="AD159" s="34"/>
    </row>
    <row r="160" spans="1:30" s="38" customFormat="1">
      <c r="A160" s="32" t="s">
        <v>161</v>
      </c>
      <c r="B160" s="32" t="s">
        <v>1087</v>
      </c>
      <c r="C160" s="33">
        <v>1</v>
      </c>
      <c r="D160" s="33">
        <v>133333</v>
      </c>
      <c r="E160" s="33">
        <v>0</v>
      </c>
      <c r="F160" s="33">
        <v>0</v>
      </c>
      <c r="G160" s="33">
        <f t="shared" si="22"/>
        <v>0</v>
      </c>
      <c r="H160" s="34"/>
      <c r="I160" s="34">
        <v>0</v>
      </c>
      <c r="J160" s="34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>
        <f t="shared" si="24"/>
        <v>1</v>
      </c>
      <c r="V160" s="36"/>
      <c r="W160" s="36">
        <f>(D160/C160)*1</f>
        <v>133333</v>
      </c>
      <c r="X160" s="36" t="s">
        <v>1073</v>
      </c>
      <c r="Y160" s="33">
        <f t="shared" si="20"/>
        <v>133333</v>
      </c>
      <c r="Z160" s="37" t="str">
        <f t="shared" si="21"/>
        <v/>
      </c>
      <c r="AA160" s="34"/>
      <c r="AB160" s="34"/>
      <c r="AC160" s="34"/>
      <c r="AD160" s="34"/>
    </row>
    <row r="161" spans="1:30" s="38" customFormat="1">
      <c r="A161" s="32" t="s">
        <v>162</v>
      </c>
      <c r="B161" s="32" t="s">
        <v>1088</v>
      </c>
      <c r="C161" s="33">
        <v>10</v>
      </c>
      <c r="D161" s="33">
        <v>750</v>
      </c>
      <c r="E161" s="33">
        <v>0</v>
      </c>
      <c r="F161" s="33">
        <v>0</v>
      </c>
      <c r="G161" s="33">
        <f t="shared" si="22"/>
        <v>0</v>
      </c>
      <c r="H161" s="34"/>
      <c r="I161" s="34">
        <v>10</v>
      </c>
      <c r="J161" s="34" t="s">
        <v>1089</v>
      </c>
      <c r="K161" s="33"/>
      <c r="L161" s="33"/>
      <c r="M161" s="33"/>
      <c r="N161" s="33"/>
      <c r="O161" s="33"/>
      <c r="P161" s="33"/>
      <c r="Q161" s="33"/>
      <c r="R161" s="33"/>
      <c r="S161" s="33"/>
      <c r="T161" s="33">
        <f>(D161/C161)*10</f>
        <v>750</v>
      </c>
      <c r="U161" s="33">
        <f t="shared" si="24"/>
        <v>0</v>
      </c>
      <c r="V161" s="36"/>
      <c r="W161" s="36"/>
      <c r="X161" s="36"/>
      <c r="Y161" s="33">
        <f t="shared" si="20"/>
        <v>750</v>
      </c>
      <c r="Z161" s="37" t="str">
        <f t="shared" si="21"/>
        <v/>
      </c>
      <c r="AA161" s="34"/>
      <c r="AB161" s="34"/>
      <c r="AC161" s="34"/>
      <c r="AD161" s="34"/>
    </row>
    <row r="162" spans="1:30" s="38" customFormat="1">
      <c r="A162" s="32" t="s">
        <v>163</v>
      </c>
      <c r="B162" s="32" t="s">
        <v>1090</v>
      </c>
      <c r="C162" s="33">
        <v>1</v>
      </c>
      <c r="D162" s="33">
        <v>362</v>
      </c>
      <c r="E162" s="33">
        <v>0</v>
      </c>
      <c r="F162" s="33">
        <v>0</v>
      </c>
      <c r="G162" s="33">
        <f t="shared" si="22"/>
        <v>0</v>
      </c>
      <c r="H162" s="34"/>
      <c r="I162" s="34">
        <v>0</v>
      </c>
      <c r="J162" s="34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>
        <f t="shared" si="24"/>
        <v>1</v>
      </c>
      <c r="V162" s="36">
        <f>(D162/C162)*1</f>
        <v>362</v>
      </c>
      <c r="W162" s="36"/>
      <c r="X162" s="36"/>
      <c r="Y162" s="33">
        <f t="shared" si="20"/>
        <v>362</v>
      </c>
      <c r="Z162" s="37" t="str">
        <f t="shared" si="21"/>
        <v/>
      </c>
      <c r="AA162" s="34"/>
      <c r="AB162" s="34"/>
      <c r="AC162" s="34"/>
      <c r="AD162" s="34"/>
    </row>
    <row r="163" spans="1:30" s="38" customFormat="1" ht="25.5">
      <c r="A163" s="39" t="s">
        <v>1376</v>
      </c>
      <c r="B163" s="39" t="s">
        <v>1091</v>
      </c>
      <c r="C163" s="33">
        <v>2</v>
      </c>
      <c r="D163" s="33">
        <v>80</v>
      </c>
      <c r="E163" s="33">
        <v>0</v>
      </c>
      <c r="F163" s="33">
        <v>0</v>
      </c>
      <c r="G163" s="33">
        <f t="shared" si="22"/>
        <v>0</v>
      </c>
      <c r="H163" s="34"/>
      <c r="I163" s="34">
        <v>2</v>
      </c>
      <c r="J163" s="52" t="s">
        <v>1345</v>
      </c>
      <c r="K163" s="33"/>
      <c r="L163" s="33"/>
      <c r="M163" s="33"/>
      <c r="N163" s="33"/>
      <c r="O163" s="33"/>
      <c r="P163" s="33">
        <f>(D163/C163)*1</f>
        <v>40</v>
      </c>
      <c r="Q163" s="33">
        <f>(D163/C163)*1</f>
        <v>40</v>
      </c>
      <c r="R163" s="33"/>
      <c r="S163" s="33"/>
      <c r="T163" s="33"/>
      <c r="U163" s="33">
        <v>0</v>
      </c>
      <c r="V163" s="33"/>
      <c r="W163" s="33"/>
      <c r="X163" s="33"/>
      <c r="Y163" s="33">
        <f t="shared" si="20"/>
        <v>80</v>
      </c>
      <c r="Z163" s="37" t="str">
        <f t="shared" si="21"/>
        <v/>
      </c>
      <c r="AA163" s="34"/>
      <c r="AB163" s="34"/>
      <c r="AC163" s="34"/>
      <c r="AD163" s="35"/>
    </row>
    <row r="164" spans="1:30" s="38" customFormat="1">
      <c r="A164" s="32" t="s">
        <v>164</v>
      </c>
      <c r="B164" s="32" t="s">
        <v>1092</v>
      </c>
      <c r="C164" s="33">
        <v>3</v>
      </c>
      <c r="D164" s="33">
        <v>2940</v>
      </c>
      <c r="E164" s="33">
        <v>0</v>
      </c>
      <c r="F164" s="33">
        <v>0</v>
      </c>
      <c r="G164" s="33">
        <f t="shared" si="22"/>
        <v>0</v>
      </c>
      <c r="H164" s="34"/>
      <c r="I164" s="34">
        <v>3</v>
      </c>
      <c r="J164" s="34" t="s">
        <v>1093</v>
      </c>
      <c r="K164" s="33"/>
      <c r="L164" s="33"/>
      <c r="M164" s="33"/>
      <c r="N164" s="33"/>
      <c r="O164" s="33"/>
      <c r="P164" s="33"/>
      <c r="Q164" s="33"/>
      <c r="R164" s="33"/>
      <c r="S164" s="33"/>
      <c r="T164" s="33">
        <f>(D164/C164)*3</f>
        <v>2940</v>
      </c>
      <c r="U164" s="33">
        <f t="shared" ref="U164:U170" si="25">C164-E164-I164</f>
        <v>0</v>
      </c>
      <c r="V164" s="33"/>
      <c r="W164" s="33"/>
      <c r="X164" s="33"/>
      <c r="Y164" s="33">
        <f t="shared" si="20"/>
        <v>2940</v>
      </c>
      <c r="Z164" s="37" t="str">
        <f t="shared" si="21"/>
        <v/>
      </c>
      <c r="AA164" s="34"/>
      <c r="AB164" s="34"/>
      <c r="AC164" s="34"/>
      <c r="AD164" s="34"/>
    </row>
    <row r="165" spans="1:30" s="38" customFormat="1">
      <c r="A165" s="39" t="s">
        <v>1266</v>
      </c>
      <c r="B165" s="39" t="s">
        <v>1346</v>
      </c>
      <c r="C165" s="33">
        <v>6</v>
      </c>
      <c r="D165" s="33">
        <v>6300</v>
      </c>
      <c r="E165" s="33">
        <v>0</v>
      </c>
      <c r="F165" s="33">
        <v>0</v>
      </c>
      <c r="G165" s="33">
        <f t="shared" si="22"/>
        <v>0</v>
      </c>
      <c r="H165" s="34"/>
      <c r="I165" s="34">
        <v>6</v>
      </c>
      <c r="J165" s="34" t="s">
        <v>1347</v>
      </c>
      <c r="K165" s="33"/>
      <c r="L165" s="33"/>
      <c r="M165" s="33"/>
      <c r="N165" s="33"/>
      <c r="O165" s="33"/>
      <c r="P165" s="33"/>
      <c r="Q165" s="33"/>
      <c r="R165" s="33"/>
      <c r="S165" s="33"/>
      <c r="T165" s="33">
        <f>(D165/C165)*I165</f>
        <v>6300</v>
      </c>
      <c r="U165" s="33">
        <f t="shared" si="25"/>
        <v>0</v>
      </c>
      <c r="V165" s="33"/>
      <c r="W165" s="33"/>
      <c r="X165" s="33"/>
      <c r="Y165" s="33">
        <f t="shared" si="20"/>
        <v>6300</v>
      </c>
      <c r="Z165" s="37" t="str">
        <f t="shared" si="21"/>
        <v/>
      </c>
      <c r="AA165" s="34"/>
      <c r="AB165" s="34"/>
      <c r="AC165" s="34"/>
      <c r="AD165" s="34"/>
    </row>
    <row r="166" spans="1:30" s="38" customFormat="1">
      <c r="A166" s="39" t="s">
        <v>1236</v>
      </c>
      <c r="B166" s="39" t="s">
        <v>1348</v>
      </c>
      <c r="C166" s="33">
        <v>3</v>
      </c>
      <c r="D166" s="33">
        <v>3150</v>
      </c>
      <c r="E166" s="33">
        <v>0</v>
      </c>
      <c r="F166" s="33">
        <v>0</v>
      </c>
      <c r="G166" s="33">
        <f t="shared" si="22"/>
        <v>0</v>
      </c>
      <c r="H166" s="34"/>
      <c r="I166" s="34">
        <v>3</v>
      </c>
      <c r="J166" s="34" t="s">
        <v>1349</v>
      </c>
      <c r="K166" s="33"/>
      <c r="L166" s="33"/>
      <c r="M166" s="33"/>
      <c r="N166" s="33"/>
      <c r="O166" s="33"/>
      <c r="P166" s="33"/>
      <c r="Q166" s="33"/>
      <c r="R166" s="33"/>
      <c r="S166" s="33"/>
      <c r="T166" s="33">
        <f>(D166/C166)*I166</f>
        <v>3150</v>
      </c>
      <c r="U166" s="33">
        <f t="shared" si="25"/>
        <v>0</v>
      </c>
      <c r="V166" s="33"/>
      <c r="W166" s="33"/>
      <c r="X166" s="33"/>
      <c r="Y166" s="33">
        <f t="shared" si="20"/>
        <v>3150</v>
      </c>
      <c r="Z166" s="37" t="str">
        <f t="shared" si="21"/>
        <v/>
      </c>
      <c r="AA166" s="34"/>
      <c r="AB166" s="34"/>
      <c r="AC166" s="34"/>
      <c r="AD166" s="35"/>
    </row>
    <row r="167" spans="1:30" s="38" customFormat="1">
      <c r="A167" s="39" t="s">
        <v>1237</v>
      </c>
      <c r="B167" s="39" t="s">
        <v>1350</v>
      </c>
      <c r="C167" s="33">
        <v>9</v>
      </c>
      <c r="D167" s="33">
        <v>4950</v>
      </c>
      <c r="E167" s="33">
        <v>0</v>
      </c>
      <c r="F167" s="33">
        <v>0</v>
      </c>
      <c r="G167" s="33">
        <f t="shared" si="22"/>
        <v>0</v>
      </c>
      <c r="H167" s="34"/>
      <c r="I167" s="34">
        <v>9</v>
      </c>
      <c r="J167" s="34" t="s">
        <v>1351</v>
      </c>
      <c r="K167" s="33"/>
      <c r="L167" s="33"/>
      <c r="M167" s="33"/>
      <c r="N167" s="33"/>
      <c r="O167" s="33"/>
      <c r="P167" s="33"/>
      <c r="Q167" s="33"/>
      <c r="R167" s="33"/>
      <c r="S167" s="33"/>
      <c r="T167" s="33">
        <f>(D167/C167)*I167</f>
        <v>4950</v>
      </c>
      <c r="U167" s="33">
        <f t="shared" si="25"/>
        <v>0</v>
      </c>
      <c r="V167" s="33"/>
      <c r="W167" s="33"/>
      <c r="X167" s="33"/>
      <c r="Y167" s="33">
        <f t="shared" si="20"/>
        <v>4950</v>
      </c>
      <c r="Z167" s="37" t="str">
        <f t="shared" si="21"/>
        <v/>
      </c>
      <c r="AA167" s="34"/>
      <c r="AB167" s="34"/>
      <c r="AC167" s="34"/>
      <c r="AD167" s="34"/>
    </row>
    <row r="168" spans="1:30" s="38" customFormat="1">
      <c r="A168" s="39" t="s">
        <v>1238</v>
      </c>
      <c r="B168" s="39" t="s">
        <v>1352</v>
      </c>
      <c r="C168" s="33">
        <v>6</v>
      </c>
      <c r="D168" s="33">
        <v>3300</v>
      </c>
      <c r="E168" s="33">
        <v>0</v>
      </c>
      <c r="F168" s="33">
        <v>0</v>
      </c>
      <c r="G168" s="33">
        <f t="shared" si="22"/>
        <v>0</v>
      </c>
      <c r="H168" s="34"/>
      <c r="I168" s="34">
        <v>6</v>
      </c>
      <c r="J168" s="34" t="s">
        <v>1353</v>
      </c>
      <c r="K168" s="33"/>
      <c r="L168" s="33"/>
      <c r="M168" s="33"/>
      <c r="N168" s="33"/>
      <c r="O168" s="33"/>
      <c r="P168" s="33"/>
      <c r="Q168" s="33"/>
      <c r="R168" s="33"/>
      <c r="S168" s="33"/>
      <c r="T168" s="33">
        <f>(D168/C168)*I168</f>
        <v>3300</v>
      </c>
      <c r="U168" s="33">
        <f t="shared" si="25"/>
        <v>0</v>
      </c>
      <c r="V168" s="33"/>
      <c r="W168" s="33"/>
      <c r="X168" s="33"/>
      <c r="Y168" s="33">
        <f t="shared" si="20"/>
        <v>3300</v>
      </c>
      <c r="Z168" s="37" t="str">
        <f t="shared" si="21"/>
        <v/>
      </c>
      <c r="AA168" s="34"/>
      <c r="AB168" s="34"/>
      <c r="AC168" s="34"/>
      <c r="AD168" s="34"/>
    </row>
    <row r="169" spans="1:30" s="38" customFormat="1" ht="25.5">
      <c r="A169" s="32" t="s">
        <v>1287</v>
      </c>
      <c r="B169" s="32" t="s">
        <v>1354</v>
      </c>
      <c r="C169" s="33">
        <v>1</v>
      </c>
      <c r="D169" s="33">
        <v>14000</v>
      </c>
      <c r="E169" s="33">
        <v>0</v>
      </c>
      <c r="F169" s="33">
        <v>0</v>
      </c>
      <c r="G169" s="33">
        <f t="shared" si="22"/>
        <v>0</v>
      </c>
      <c r="H169" s="34"/>
      <c r="I169" s="34">
        <v>1</v>
      </c>
      <c r="J169" s="34" t="s">
        <v>1355</v>
      </c>
      <c r="K169" s="33"/>
      <c r="L169" s="33"/>
      <c r="M169" s="33"/>
      <c r="N169" s="33"/>
      <c r="O169" s="33"/>
      <c r="P169" s="33"/>
      <c r="Q169" s="33"/>
      <c r="R169" s="33"/>
      <c r="S169" s="33">
        <f>D169</f>
        <v>14000</v>
      </c>
      <c r="T169" s="33"/>
      <c r="U169" s="33">
        <f t="shared" si="25"/>
        <v>0</v>
      </c>
      <c r="V169" s="36"/>
      <c r="W169" s="36"/>
      <c r="X169" s="36"/>
      <c r="Y169" s="33">
        <f t="shared" si="20"/>
        <v>14000</v>
      </c>
      <c r="Z169" s="37" t="str">
        <f t="shared" si="21"/>
        <v/>
      </c>
      <c r="AA169" s="34"/>
      <c r="AB169" s="34"/>
      <c r="AC169" s="47"/>
      <c r="AD169" s="41"/>
    </row>
    <row r="170" spans="1:30" s="38" customFormat="1">
      <c r="A170" s="32" t="s">
        <v>1288</v>
      </c>
      <c r="B170" s="32" t="s">
        <v>1356</v>
      </c>
      <c r="C170" s="33">
        <v>1</v>
      </c>
      <c r="D170" s="33">
        <v>5300</v>
      </c>
      <c r="E170" s="33">
        <v>0</v>
      </c>
      <c r="F170" s="33">
        <v>0</v>
      </c>
      <c r="G170" s="33">
        <f t="shared" ref="G170:G201" si="26">E170-F170</f>
        <v>0</v>
      </c>
      <c r="H170" s="34"/>
      <c r="I170" s="34">
        <v>1</v>
      </c>
      <c r="J170" s="34" t="s">
        <v>1355</v>
      </c>
      <c r="K170" s="33"/>
      <c r="L170" s="33"/>
      <c r="M170" s="33"/>
      <c r="N170" s="33"/>
      <c r="O170" s="33"/>
      <c r="P170" s="33"/>
      <c r="Q170" s="33"/>
      <c r="R170" s="33"/>
      <c r="S170" s="33">
        <f>D170</f>
        <v>5300</v>
      </c>
      <c r="T170" s="33"/>
      <c r="U170" s="33">
        <f t="shared" si="25"/>
        <v>0</v>
      </c>
      <c r="V170" s="36"/>
      <c r="W170" s="36"/>
      <c r="X170" s="36"/>
      <c r="Y170" s="33">
        <f t="shared" si="20"/>
        <v>5300</v>
      </c>
      <c r="Z170" s="37" t="str">
        <f t="shared" si="21"/>
        <v/>
      </c>
      <c r="AA170" s="34"/>
      <c r="AB170" s="34"/>
      <c r="AC170" s="47"/>
      <c r="AD170" s="41"/>
    </row>
    <row r="171" spans="1:30" s="38" customFormat="1">
      <c r="A171" s="32" t="s">
        <v>165</v>
      </c>
      <c r="B171" s="32" t="s">
        <v>1094</v>
      </c>
      <c r="C171" s="33">
        <v>10</v>
      </c>
      <c r="D171" s="33">
        <v>98000</v>
      </c>
      <c r="E171" s="33">
        <v>0</v>
      </c>
      <c r="F171" s="33">
        <v>0</v>
      </c>
      <c r="G171" s="33">
        <f t="shared" si="26"/>
        <v>0</v>
      </c>
      <c r="H171" s="34"/>
      <c r="I171" s="34">
        <v>10</v>
      </c>
      <c r="J171" s="34" t="s">
        <v>1095</v>
      </c>
      <c r="K171" s="33"/>
      <c r="L171" s="33"/>
      <c r="M171" s="33"/>
      <c r="N171" s="33"/>
      <c r="O171" s="33">
        <f>(D171/C171)*I171</f>
        <v>98000</v>
      </c>
      <c r="P171" s="33"/>
      <c r="Q171" s="33"/>
      <c r="R171" s="33"/>
      <c r="S171" s="33"/>
      <c r="T171" s="33"/>
      <c r="U171" s="33">
        <v>0</v>
      </c>
      <c r="V171" s="33"/>
      <c r="W171" s="33"/>
      <c r="X171" s="33"/>
      <c r="Y171" s="33">
        <f t="shared" si="20"/>
        <v>98000</v>
      </c>
      <c r="Z171" s="37" t="str">
        <f t="shared" si="21"/>
        <v/>
      </c>
      <c r="AA171" s="34"/>
      <c r="AB171" s="34"/>
      <c r="AC171" s="34"/>
      <c r="AD171" s="35"/>
    </row>
    <row r="172" spans="1:30" s="38" customFormat="1">
      <c r="A172" s="39" t="s">
        <v>1239</v>
      </c>
      <c r="B172" s="39" t="s">
        <v>1357</v>
      </c>
      <c r="C172" s="33">
        <v>2</v>
      </c>
      <c r="D172" s="33">
        <v>33000</v>
      </c>
      <c r="E172" s="33">
        <v>0</v>
      </c>
      <c r="F172" s="33">
        <v>0</v>
      </c>
      <c r="G172" s="33">
        <f t="shared" si="26"/>
        <v>0</v>
      </c>
      <c r="H172" s="34"/>
      <c r="I172" s="34">
        <v>2</v>
      </c>
      <c r="J172" s="34" t="s">
        <v>1358</v>
      </c>
      <c r="K172" s="33"/>
      <c r="L172" s="33"/>
      <c r="M172" s="33"/>
      <c r="N172" s="33"/>
      <c r="O172" s="33"/>
      <c r="P172" s="33"/>
      <c r="Q172" s="33">
        <f>D172</f>
        <v>33000</v>
      </c>
      <c r="R172" s="33"/>
      <c r="S172" s="33"/>
      <c r="T172" s="33"/>
      <c r="U172" s="33">
        <v>0</v>
      </c>
      <c r="V172" s="33"/>
      <c r="W172" s="33"/>
      <c r="X172" s="33"/>
      <c r="Y172" s="33">
        <f t="shared" si="20"/>
        <v>33000</v>
      </c>
      <c r="Z172" s="37" t="str">
        <f t="shared" si="21"/>
        <v/>
      </c>
      <c r="AA172" s="34"/>
      <c r="AB172" s="34"/>
      <c r="AC172" s="34"/>
      <c r="AD172" s="34"/>
    </row>
    <row r="173" spans="1:30" s="38" customFormat="1">
      <c r="A173" s="39" t="s">
        <v>166</v>
      </c>
      <c r="B173" s="44" t="s">
        <v>1096</v>
      </c>
      <c r="C173" s="33">
        <v>3</v>
      </c>
      <c r="D173" s="33">
        <v>11550</v>
      </c>
      <c r="E173" s="33">
        <v>0</v>
      </c>
      <c r="F173" s="33">
        <v>0</v>
      </c>
      <c r="G173" s="33">
        <f t="shared" si="26"/>
        <v>0</v>
      </c>
      <c r="H173" s="34"/>
      <c r="I173" s="34">
        <v>3</v>
      </c>
      <c r="J173" s="41" t="s">
        <v>1097</v>
      </c>
      <c r="K173" s="33"/>
      <c r="L173" s="33"/>
      <c r="M173" s="33"/>
      <c r="N173" s="33"/>
      <c r="O173" s="33">
        <f>(D173/C173)*I173</f>
        <v>11550</v>
      </c>
      <c r="P173" s="33"/>
      <c r="Q173" s="33"/>
      <c r="R173" s="33"/>
      <c r="S173" s="33"/>
      <c r="T173" s="33"/>
      <c r="U173" s="33">
        <v>0</v>
      </c>
      <c r="V173" s="33"/>
      <c r="W173" s="33"/>
      <c r="X173" s="33"/>
      <c r="Y173" s="33">
        <f t="shared" si="20"/>
        <v>11550</v>
      </c>
      <c r="Z173" s="37" t="str">
        <f t="shared" si="21"/>
        <v/>
      </c>
      <c r="AA173" s="34"/>
      <c r="AB173" s="34"/>
      <c r="AC173" s="34"/>
      <c r="AD173" s="35"/>
    </row>
    <row r="174" spans="1:30" s="38" customFormat="1">
      <c r="A174" s="43" t="s">
        <v>167</v>
      </c>
      <c r="B174" s="32" t="s">
        <v>1098</v>
      </c>
      <c r="C174" s="33">
        <v>3</v>
      </c>
      <c r="D174" s="33">
        <v>5310</v>
      </c>
      <c r="E174" s="33">
        <v>0</v>
      </c>
      <c r="F174" s="33">
        <v>0</v>
      </c>
      <c r="G174" s="33">
        <f t="shared" si="26"/>
        <v>0</v>
      </c>
      <c r="H174" s="34"/>
      <c r="I174" s="34">
        <v>3</v>
      </c>
      <c r="J174" s="35" t="s">
        <v>1359</v>
      </c>
      <c r="K174" s="33"/>
      <c r="L174" s="33"/>
      <c r="M174" s="33"/>
      <c r="N174" s="33"/>
      <c r="O174" s="33">
        <f>(D174/C174)*3</f>
        <v>5310</v>
      </c>
      <c r="P174" s="33"/>
      <c r="Q174" s="33"/>
      <c r="R174" s="33"/>
      <c r="S174" s="33"/>
      <c r="T174" s="33"/>
      <c r="U174" s="33">
        <f>C174-E174-I174</f>
        <v>0</v>
      </c>
      <c r="V174" s="36">
        <f>(D174/C174)*U174</f>
        <v>0</v>
      </c>
      <c r="W174" s="33"/>
      <c r="X174" s="33"/>
      <c r="Y174" s="33">
        <f t="shared" si="20"/>
        <v>5310</v>
      </c>
      <c r="Z174" s="37" t="str">
        <f t="shared" si="21"/>
        <v/>
      </c>
      <c r="AA174" s="34"/>
      <c r="AB174" s="34"/>
      <c r="AC174" s="34"/>
      <c r="AD174" s="35"/>
    </row>
    <row r="175" spans="1:30" s="38" customFormat="1">
      <c r="A175" s="32" t="s">
        <v>168</v>
      </c>
      <c r="B175" s="32" t="s">
        <v>1099</v>
      </c>
      <c r="C175" s="33">
        <v>1</v>
      </c>
      <c r="D175" s="33">
        <v>2150</v>
      </c>
      <c r="E175" s="33">
        <v>0</v>
      </c>
      <c r="F175" s="33">
        <v>0</v>
      </c>
      <c r="G175" s="33">
        <f t="shared" si="26"/>
        <v>0</v>
      </c>
      <c r="H175" s="34"/>
      <c r="I175" s="34">
        <v>1</v>
      </c>
      <c r="J175" s="35" t="s">
        <v>1360</v>
      </c>
      <c r="K175" s="33"/>
      <c r="L175" s="33"/>
      <c r="M175" s="33"/>
      <c r="N175" s="33"/>
      <c r="O175" s="33">
        <f>(D175/C175)*1</f>
        <v>2150</v>
      </c>
      <c r="P175" s="33"/>
      <c r="Q175" s="33"/>
      <c r="R175" s="33"/>
      <c r="S175" s="33"/>
      <c r="T175" s="33"/>
      <c r="U175" s="33">
        <f>C175-E175-I175</f>
        <v>0</v>
      </c>
      <c r="V175" s="36">
        <f>(D175/C175)*U175</f>
        <v>0</v>
      </c>
      <c r="W175" s="33"/>
      <c r="X175" s="33"/>
      <c r="Y175" s="33">
        <f t="shared" si="20"/>
        <v>2150</v>
      </c>
      <c r="Z175" s="37" t="str">
        <f t="shared" si="21"/>
        <v/>
      </c>
      <c r="AA175" s="34"/>
      <c r="AB175" s="34"/>
      <c r="AC175" s="34"/>
      <c r="AD175" s="35"/>
    </row>
    <row r="176" spans="1:30" s="38" customFormat="1">
      <c r="A176" s="32" t="s">
        <v>1289</v>
      </c>
      <c r="B176" s="32" t="s">
        <v>1361</v>
      </c>
      <c r="C176" s="33">
        <v>1</v>
      </c>
      <c r="D176" s="33">
        <v>2200</v>
      </c>
      <c r="E176" s="33">
        <v>0</v>
      </c>
      <c r="F176" s="33">
        <v>0</v>
      </c>
      <c r="G176" s="33">
        <f t="shared" si="26"/>
        <v>0</v>
      </c>
      <c r="H176" s="34"/>
      <c r="I176" s="34">
        <v>1</v>
      </c>
      <c r="J176" s="34" t="s">
        <v>1310</v>
      </c>
      <c r="K176" s="33"/>
      <c r="L176" s="33"/>
      <c r="M176" s="33"/>
      <c r="N176" s="33"/>
      <c r="O176" s="33"/>
      <c r="P176" s="33"/>
      <c r="Q176" s="33">
        <f>D176</f>
        <v>2200</v>
      </c>
      <c r="R176" s="33"/>
      <c r="S176" s="33"/>
      <c r="T176" s="33"/>
      <c r="U176" s="33">
        <f>C176-E176-I176</f>
        <v>0</v>
      </c>
      <c r="V176" s="36"/>
      <c r="W176" s="36"/>
      <c r="X176" s="36"/>
      <c r="Y176" s="33">
        <f t="shared" si="20"/>
        <v>2200</v>
      </c>
      <c r="Z176" s="37" t="str">
        <f t="shared" si="21"/>
        <v/>
      </c>
      <c r="AA176" s="34"/>
      <c r="AB176" s="34"/>
      <c r="AC176" s="47"/>
      <c r="AD176" s="41"/>
    </row>
    <row r="177" spans="1:30" s="38" customFormat="1" ht="25.5">
      <c r="A177" s="32" t="s">
        <v>169</v>
      </c>
      <c r="B177" s="32" t="s">
        <v>1100</v>
      </c>
      <c r="C177" s="33">
        <v>21</v>
      </c>
      <c r="D177" s="33">
        <v>54600</v>
      </c>
      <c r="E177" s="33">
        <v>0</v>
      </c>
      <c r="F177" s="33">
        <v>0</v>
      </c>
      <c r="G177" s="33">
        <f t="shared" si="26"/>
        <v>0</v>
      </c>
      <c r="H177" s="34"/>
      <c r="I177" s="34">
        <v>14</v>
      </c>
      <c r="J177" s="34" t="s">
        <v>1362</v>
      </c>
      <c r="K177" s="33"/>
      <c r="L177" s="33"/>
      <c r="M177" s="33"/>
      <c r="N177" s="33"/>
      <c r="O177" s="33"/>
      <c r="P177" s="33"/>
      <c r="Q177" s="33"/>
      <c r="R177" s="33">
        <f>(D177/C177)*14</f>
        <v>36400</v>
      </c>
      <c r="S177" s="33"/>
      <c r="T177" s="33"/>
      <c r="U177" s="33">
        <f>C177-E177-I177</f>
        <v>7</v>
      </c>
      <c r="V177" s="36">
        <f>(D177/C177)*7</f>
        <v>18200</v>
      </c>
      <c r="W177" s="33"/>
      <c r="X177" s="33"/>
      <c r="Y177" s="33">
        <f t="shared" si="20"/>
        <v>54600</v>
      </c>
      <c r="Z177" s="37" t="str">
        <f t="shared" si="21"/>
        <v/>
      </c>
      <c r="AA177" s="34"/>
      <c r="AB177" s="34"/>
      <c r="AC177" s="34"/>
      <c r="AD177" s="34"/>
    </row>
    <row r="178" spans="1:30" s="38" customFormat="1">
      <c r="A178" s="39" t="s">
        <v>1240</v>
      </c>
      <c r="B178" s="39" t="s">
        <v>1363</v>
      </c>
      <c r="C178" s="33">
        <v>2</v>
      </c>
      <c r="D178" s="33">
        <v>6900</v>
      </c>
      <c r="E178" s="33">
        <v>0</v>
      </c>
      <c r="F178" s="33">
        <v>0</v>
      </c>
      <c r="G178" s="33">
        <f t="shared" si="26"/>
        <v>0</v>
      </c>
      <c r="H178" s="34"/>
      <c r="I178" s="34">
        <v>2</v>
      </c>
      <c r="J178" s="34" t="s">
        <v>1364</v>
      </c>
      <c r="K178" s="33"/>
      <c r="L178" s="33"/>
      <c r="M178" s="33"/>
      <c r="N178" s="33"/>
      <c r="O178" s="33"/>
      <c r="P178" s="33"/>
      <c r="Q178" s="33"/>
      <c r="R178" s="33">
        <f>(D178/C178)*2</f>
        <v>6900</v>
      </c>
      <c r="S178" s="33"/>
      <c r="T178" s="33"/>
      <c r="U178" s="33">
        <v>0</v>
      </c>
      <c r="V178" s="33"/>
      <c r="W178" s="33"/>
      <c r="X178" s="33"/>
      <c r="Y178" s="33">
        <f t="shared" si="20"/>
        <v>6900</v>
      </c>
      <c r="Z178" s="37" t="str">
        <f t="shared" si="21"/>
        <v/>
      </c>
      <c r="AA178" s="34"/>
      <c r="AB178" s="34"/>
      <c r="AC178" s="34"/>
      <c r="AD178" s="34"/>
    </row>
    <row r="179" spans="1:30" s="38" customFormat="1">
      <c r="A179" s="39" t="s">
        <v>1241</v>
      </c>
      <c r="B179" s="39" t="s">
        <v>1365</v>
      </c>
      <c r="C179" s="33">
        <v>17</v>
      </c>
      <c r="D179" s="33">
        <v>87635</v>
      </c>
      <c r="E179" s="33">
        <v>0</v>
      </c>
      <c r="F179" s="33">
        <v>0</v>
      </c>
      <c r="G179" s="33">
        <f t="shared" si="26"/>
        <v>0</v>
      </c>
      <c r="H179" s="34"/>
      <c r="I179" s="34">
        <v>17</v>
      </c>
      <c r="J179" s="34" t="s">
        <v>1366</v>
      </c>
      <c r="K179" s="33"/>
      <c r="L179" s="33"/>
      <c r="M179" s="33"/>
      <c r="N179" s="33"/>
      <c r="O179" s="33"/>
      <c r="P179" s="33"/>
      <c r="Q179" s="33"/>
      <c r="R179" s="33">
        <f>(D179/C179)*17</f>
        <v>87635</v>
      </c>
      <c r="S179" s="33"/>
      <c r="T179" s="33"/>
      <c r="U179" s="33">
        <v>0</v>
      </c>
      <c r="V179" s="33"/>
      <c r="W179" s="33"/>
      <c r="X179" s="33"/>
      <c r="Y179" s="33">
        <f t="shared" si="20"/>
        <v>87635</v>
      </c>
      <c r="Z179" s="37" t="str">
        <f t="shared" si="21"/>
        <v/>
      </c>
      <c r="AA179" s="34"/>
      <c r="AB179" s="34"/>
      <c r="AC179" s="34"/>
      <c r="AD179" s="34"/>
    </row>
    <row r="180" spans="1:30" s="38" customFormat="1">
      <c r="A180" s="39" t="s">
        <v>1242</v>
      </c>
      <c r="B180" s="39" t="s">
        <v>1367</v>
      </c>
      <c r="C180" s="33">
        <v>1</v>
      </c>
      <c r="D180" s="33">
        <v>580</v>
      </c>
      <c r="E180" s="33">
        <v>0</v>
      </c>
      <c r="F180" s="33">
        <v>0</v>
      </c>
      <c r="G180" s="33">
        <f t="shared" si="26"/>
        <v>0</v>
      </c>
      <c r="H180" s="34"/>
      <c r="I180" s="34">
        <v>1</v>
      </c>
      <c r="J180" s="34" t="s">
        <v>1320</v>
      </c>
      <c r="K180" s="33"/>
      <c r="L180" s="33"/>
      <c r="M180" s="33"/>
      <c r="N180" s="33"/>
      <c r="O180" s="33"/>
      <c r="P180" s="33"/>
      <c r="Q180" s="33">
        <f>D180</f>
        <v>580</v>
      </c>
      <c r="R180" s="33"/>
      <c r="S180" s="33"/>
      <c r="T180" s="33"/>
      <c r="U180" s="33">
        <v>0</v>
      </c>
      <c r="V180" s="33"/>
      <c r="W180" s="33"/>
      <c r="X180" s="33"/>
      <c r="Y180" s="33">
        <f t="shared" si="20"/>
        <v>580</v>
      </c>
      <c r="Z180" s="37" t="str">
        <f t="shared" si="21"/>
        <v/>
      </c>
      <c r="AA180" s="34"/>
      <c r="AB180" s="34"/>
      <c r="AC180" s="34"/>
      <c r="AD180" s="34"/>
    </row>
    <row r="181" spans="1:30" s="38" customFormat="1">
      <c r="A181" s="39" t="s">
        <v>1243</v>
      </c>
      <c r="B181" s="39" t="s">
        <v>1368</v>
      </c>
      <c r="C181" s="33">
        <v>1</v>
      </c>
      <c r="D181" s="33">
        <v>350</v>
      </c>
      <c r="E181" s="33">
        <v>0</v>
      </c>
      <c r="F181" s="33">
        <v>0</v>
      </c>
      <c r="G181" s="33">
        <f t="shared" si="26"/>
        <v>0</v>
      </c>
      <c r="H181" s="34"/>
      <c r="I181" s="34">
        <v>1</v>
      </c>
      <c r="J181" s="34" t="s">
        <v>1320</v>
      </c>
      <c r="K181" s="33"/>
      <c r="L181" s="33"/>
      <c r="M181" s="33"/>
      <c r="N181" s="33"/>
      <c r="O181" s="33"/>
      <c r="P181" s="33"/>
      <c r="Q181" s="33">
        <f>D181</f>
        <v>350</v>
      </c>
      <c r="R181" s="33"/>
      <c r="S181" s="33"/>
      <c r="T181" s="33"/>
      <c r="U181" s="33">
        <v>0</v>
      </c>
      <c r="V181" s="33"/>
      <c r="W181" s="33"/>
      <c r="X181" s="33"/>
      <c r="Y181" s="33">
        <f t="shared" si="20"/>
        <v>350</v>
      </c>
      <c r="Z181" s="37" t="str">
        <f t="shared" si="21"/>
        <v/>
      </c>
      <c r="AA181" s="34"/>
      <c r="AB181" s="34"/>
      <c r="AC181" s="34"/>
      <c r="AD181" s="34"/>
    </row>
    <row r="182" spans="1:30" s="38" customFormat="1">
      <c r="A182" s="39" t="s">
        <v>1244</v>
      </c>
      <c r="B182" s="39" t="s">
        <v>1369</v>
      </c>
      <c r="C182" s="33">
        <v>1</v>
      </c>
      <c r="D182" s="33">
        <v>2500</v>
      </c>
      <c r="E182" s="33">
        <v>0</v>
      </c>
      <c r="F182" s="33">
        <v>0</v>
      </c>
      <c r="G182" s="33">
        <f t="shared" si="26"/>
        <v>0</v>
      </c>
      <c r="H182" s="34"/>
      <c r="I182" s="34">
        <v>1</v>
      </c>
      <c r="J182" s="34" t="s">
        <v>1320</v>
      </c>
      <c r="K182" s="33"/>
      <c r="L182" s="33"/>
      <c r="M182" s="33"/>
      <c r="N182" s="33"/>
      <c r="O182" s="33"/>
      <c r="P182" s="33"/>
      <c r="Q182" s="33">
        <f>D182</f>
        <v>2500</v>
      </c>
      <c r="R182" s="33"/>
      <c r="S182" s="33"/>
      <c r="T182" s="33"/>
      <c r="U182" s="33">
        <v>0</v>
      </c>
      <c r="V182" s="33"/>
      <c r="W182" s="33"/>
      <c r="X182" s="33"/>
      <c r="Y182" s="33">
        <f t="shared" si="20"/>
        <v>2500</v>
      </c>
      <c r="Z182" s="37" t="str">
        <f t="shared" si="21"/>
        <v/>
      </c>
      <c r="AA182" s="34"/>
      <c r="AB182" s="34"/>
      <c r="AC182" s="34"/>
      <c r="AD182" s="34"/>
    </row>
    <row r="183" spans="1:30" s="38" customFormat="1">
      <c r="A183" s="32" t="s">
        <v>170</v>
      </c>
      <c r="B183" s="32" t="s">
        <v>1101</v>
      </c>
      <c r="C183" s="33">
        <v>2</v>
      </c>
      <c r="D183" s="33">
        <v>805</v>
      </c>
      <c r="E183" s="33">
        <v>0</v>
      </c>
      <c r="F183" s="33">
        <v>0</v>
      </c>
      <c r="G183" s="33">
        <f t="shared" si="26"/>
        <v>0</v>
      </c>
      <c r="H183" s="34"/>
      <c r="I183" s="34">
        <v>0</v>
      </c>
      <c r="J183" s="34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>
        <f>C183-E183-I183</f>
        <v>2</v>
      </c>
      <c r="V183" s="36">
        <f>(D183/C183)*U183</f>
        <v>805</v>
      </c>
      <c r="W183" s="36"/>
      <c r="X183" s="36"/>
      <c r="Y183" s="33">
        <f t="shared" si="20"/>
        <v>805</v>
      </c>
      <c r="Z183" s="37" t="str">
        <f t="shared" si="21"/>
        <v/>
      </c>
      <c r="AA183" s="34"/>
      <c r="AB183" s="34"/>
      <c r="AC183" s="34"/>
      <c r="AD183" s="34"/>
    </row>
    <row r="184" spans="1:30" s="38" customFormat="1" ht="51">
      <c r="A184" s="32" t="s">
        <v>171</v>
      </c>
      <c r="B184" s="32" t="s">
        <v>1102</v>
      </c>
      <c r="C184" s="33">
        <v>11</v>
      </c>
      <c r="D184" s="33">
        <v>24162</v>
      </c>
      <c r="E184" s="33">
        <v>1</v>
      </c>
      <c r="F184" s="33">
        <v>0</v>
      </c>
      <c r="G184" s="33">
        <f t="shared" si="26"/>
        <v>1</v>
      </c>
      <c r="H184" s="34" t="s">
        <v>172</v>
      </c>
      <c r="I184" s="34">
        <v>10</v>
      </c>
      <c r="J184" s="52" t="s">
        <v>1370</v>
      </c>
      <c r="K184" s="33">
        <f>(D184/C184)*1</f>
        <v>2196.5454545454545</v>
      </c>
      <c r="L184" s="33"/>
      <c r="M184" s="33"/>
      <c r="N184" s="33">
        <f>(D184/C184)*4</f>
        <v>8786.181818181818</v>
      </c>
      <c r="O184" s="33"/>
      <c r="P184" s="33">
        <f>(D184/C184)*3</f>
        <v>6589.636363636364</v>
      </c>
      <c r="Q184" s="33">
        <f>(D184/C184)*2</f>
        <v>4393.090909090909</v>
      </c>
      <c r="R184" s="33"/>
      <c r="S184" s="33"/>
      <c r="T184" s="33">
        <f>(D184/C184)*1</f>
        <v>2196.5454545454545</v>
      </c>
      <c r="U184" s="33">
        <v>0</v>
      </c>
      <c r="V184" s="36"/>
      <c r="W184" s="36"/>
      <c r="X184" s="36"/>
      <c r="Y184" s="33">
        <f t="shared" si="20"/>
        <v>24162</v>
      </c>
      <c r="Z184" s="37" t="str">
        <f t="shared" si="21"/>
        <v/>
      </c>
      <c r="AA184" s="34"/>
      <c r="AB184" s="34"/>
      <c r="AC184" s="34"/>
      <c r="AD184" s="35"/>
    </row>
    <row r="185" spans="1:30" s="38" customFormat="1">
      <c r="A185" s="32" t="s">
        <v>173</v>
      </c>
      <c r="B185" s="32" t="s">
        <v>1103</v>
      </c>
      <c r="C185" s="33">
        <v>1</v>
      </c>
      <c r="D185" s="33">
        <v>900</v>
      </c>
      <c r="E185" s="33">
        <v>1</v>
      </c>
      <c r="F185" s="33">
        <v>0</v>
      </c>
      <c r="G185" s="33">
        <f t="shared" si="26"/>
        <v>1</v>
      </c>
      <c r="H185" s="34" t="s">
        <v>3</v>
      </c>
      <c r="I185" s="34">
        <v>0</v>
      </c>
      <c r="J185" s="34"/>
      <c r="K185" s="33">
        <f>D185</f>
        <v>900</v>
      </c>
      <c r="L185" s="33"/>
      <c r="M185" s="33"/>
      <c r="N185" s="33"/>
      <c r="O185" s="33"/>
      <c r="P185" s="33"/>
      <c r="Q185" s="33"/>
      <c r="R185" s="33"/>
      <c r="S185" s="33"/>
      <c r="T185" s="33"/>
      <c r="U185" s="33">
        <f t="shared" ref="U185:U192" si="27">C185-E185-I185</f>
        <v>0</v>
      </c>
      <c r="V185" s="33"/>
      <c r="W185" s="33"/>
      <c r="X185" s="33"/>
      <c r="Y185" s="33">
        <f t="shared" si="20"/>
        <v>900</v>
      </c>
      <c r="Z185" s="37" t="str">
        <f t="shared" si="21"/>
        <v/>
      </c>
      <c r="AA185" s="34"/>
      <c r="AB185" s="34"/>
      <c r="AC185" s="34"/>
      <c r="AD185" s="34"/>
    </row>
    <row r="186" spans="1:30" s="38" customFormat="1">
      <c r="A186" s="32" t="s">
        <v>174</v>
      </c>
      <c r="B186" s="32" t="s">
        <v>1104</v>
      </c>
      <c r="C186" s="33">
        <v>200</v>
      </c>
      <c r="D186" s="33">
        <v>1600</v>
      </c>
      <c r="E186" s="33">
        <v>0</v>
      </c>
      <c r="F186" s="33">
        <v>0</v>
      </c>
      <c r="G186" s="33">
        <f t="shared" si="26"/>
        <v>0</v>
      </c>
      <c r="H186" s="34"/>
      <c r="I186" s="34">
        <v>0</v>
      </c>
      <c r="J186" s="34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>
        <f t="shared" si="27"/>
        <v>200</v>
      </c>
      <c r="V186" s="36"/>
      <c r="W186" s="36">
        <f>(D186/C186)*200</f>
        <v>1600</v>
      </c>
      <c r="X186" s="36" t="s">
        <v>1015</v>
      </c>
      <c r="Y186" s="33">
        <f t="shared" si="20"/>
        <v>1600</v>
      </c>
      <c r="Z186" s="37" t="str">
        <f t="shared" si="21"/>
        <v/>
      </c>
      <c r="AA186" s="34"/>
      <c r="AB186" s="34"/>
      <c r="AC186" s="34"/>
      <c r="AD186" s="34"/>
    </row>
    <row r="187" spans="1:30" s="38" customFormat="1">
      <c r="A187" s="32" t="s">
        <v>175</v>
      </c>
      <c r="B187" s="32" t="s">
        <v>1105</v>
      </c>
      <c r="C187" s="33">
        <v>1</v>
      </c>
      <c r="D187" s="33">
        <v>28200</v>
      </c>
      <c r="E187" s="33">
        <v>0</v>
      </c>
      <c r="F187" s="33">
        <v>0</v>
      </c>
      <c r="G187" s="33">
        <f t="shared" si="26"/>
        <v>0</v>
      </c>
      <c r="H187" s="34"/>
      <c r="I187" s="34">
        <v>1</v>
      </c>
      <c r="J187" s="34" t="s">
        <v>1106</v>
      </c>
      <c r="K187" s="33"/>
      <c r="L187" s="33"/>
      <c r="M187" s="33"/>
      <c r="N187" s="33"/>
      <c r="O187" s="33"/>
      <c r="P187" s="33"/>
      <c r="Q187" s="33"/>
      <c r="R187" s="33"/>
      <c r="S187" s="33"/>
      <c r="T187" s="33">
        <f>D187</f>
        <v>28200</v>
      </c>
      <c r="U187" s="33">
        <f t="shared" si="27"/>
        <v>0</v>
      </c>
      <c r="V187" s="36"/>
      <c r="W187" s="36"/>
      <c r="X187" s="36"/>
      <c r="Y187" s="33">
        <f t="shared" si="20"/>
        <v>28200</v>
      </c>
      <c r="Z187" s="37" t="str">
        <f t="shared" si="21"/>
        <v/>
      </c>
      <c r="AA187" s="34"/>
      <c r="AB187" s="34"/>
      <c r="AC187" s="34"/>
      <c r="AD187" s="34"/>
    </row>
    <row r="188" spans="1:30" s="38" customFormat="1">
      <c r="A188" s="32" t="s">
        <v>176</v>
      </c>
      <c r="B188" s="32" t="s">
        <v>1107</v>
      </c>
      <c r="C188" s="33">
        <v>1</v>
      </c>
      <c r="D188" s="33">
        <v>25000</v>
      </c>
      <c r="E188" s="33">
        <v>0</v>
      </c>
      <c r="F188" s="33">
        <v>0</v>
      </c>
      <c r="G188" s="33">
        <f t="shared" si="26"/>
        <v>0</v>
      </c>
      <c r="H188" s="34"/>
      <c r="I188" s="34">
        <v>0</v>
      </c>
      <c r="J188" s="34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>
        <f t="shared" si="27"/>
        <v>1</v>
      </c>
      <c r="V188" s="36"/>
      <c r="W188" s="36">
        <f>(D188/C188)*1</f>
        <v>25000</v>
      </c>
      <c r="X188" s="36" t="s">
        <v>1108</v>
      </c>
      <c r="Y188" s="33">
        <f t="shared" si="20"/>
        <v>25000</v>
      </c>
      <c r="Z188" s="37" t="str">
        <f t="shared" si="21"/>
        <v/>
      </c>
      <c r="AA188" s="34"/>
      <c r="AB188" s="34"/>
      <c r="AC188" s="34"/>
      <c r="AD188" s="34"/>
    </row>
    <row r="189" spans="1:30" s="38" customFormat="1">
      <c r="A189" s="32" t="s">
        <v>177</v>
      </c>
      <c r="B189" s="32" t="s">
        <v>1109</v>
      </c>
      <c r="C189" s="33">
        <v>1</v>
      </c>
      <c r="D189" s="33">
        <v>1950</v>
      </c>
      <c r="E189" s="33">
        <v>0</v>
      </c>
      <c r="F189" s="33">
        <v>0</v>
      </c>
      <c r="G189" s="33">
        <f t="shared" si="26"/>
        <v>0</v>
      </c>
      <c r="H189" s="34"/>
      <c r="I189" s="34">
        <v>0</v>
      </c>
      <c r="J189" s="34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>
        <f t="shared" si="27"/>
        <v>1</v>
      </c>
      <c r="V189" s="36"/>
      <c r="W189" s="36">
        <f>(D189/C189)*1</f>
        <v>1950</v>
      </c>
      <c r="X189" s="36" t="s">
        <v>1073</v>
      </c>
      <c r="Y189" s="33">
        <f t="shared" si="20"/>
        <v>1950</v>
      </c>
      <c r="Z189" s="37" t="str">
        <f t="shared" si="21"/>
        <v/>
      </c>
      <c r="AA189" s="34"/>
      <c r="AB189" s="34"/>
      <c r="AC189" s="34"/>
      <c r="AD189" s="34"/>
    </row>
    <row r="190" spans="1:30" s="38" customFormat="1">
      <c r="A190" s="32" t="s">
        <v>178</v>
      </c>
      <c r="B190" s="32" t="s">
        <v>1110</v>
      </c>
      <c r="C190" s="33">
        <v>3</v>
      </c>
      <c r="D190" s="33">
        <v>4500</v>
      </c>
      <c r="E190" s="33">
        <v>0</v>
      </c>
      <c r="F190" s="33">
        <v>0</v>
      </c>
      <c r="G190" s="33">
        <f t="shared" si="26"/>
        <v>0</v>
      </c>
      <c r="H190" s="34"/>
      <c r="I190" s="34">
        <v>0</v>
      </c>
      <c r="J190" s="34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>
        <f t="shared" si="27"/>
        <v>3</v>
      </c>
      <c r="V190" s="36">
        <f>(D190/C190)*3</f>
        <v>4500</v>
      </c>
      <c r="W190" s="36"/>
      <c r="X190" s="36"/>
      <c r="Y190" s="33">
        <f t="shared" si="20"/>
        <v>4500</v>
      </c>
      <c r="Z190" s="37" t="str">
        <f t="shared" si="21"/>
        <v/>
      </c>
      <c r="AA190" s="34"/>
      <c r="AB190" s="34"/>
      <c r="AC190" s="34"/>
      <c r="AD190" s="34"/>
    </row>
    <row r="191" spans="1:30" s="38" customFormat="1">
      <c r="A191" s="32" t="s">
        <v>179</v>
      </c>
      <c r="B191" s="32" t="s">
        <v>1111</v>
      </c>
      <c r="C191" s="33">
        <v>1</v>
      </c>
      <c r="D191" s="33">
        <v>1540</v>
      </c>
      <c r="E191" s="33">
        <v>0</v>
      </c>
      <c r="F191" s="33">
        <v>0</v>
      </c>
      <c r="G191" s="33">
        <f t="shared" si="26"/>
        <v>0</v>
      </c>
      <c r="H191" s="34"/>
      <c r="I191" s="34">
        <v>0</v>
      </c>
      <c r="J191" s="34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>
        <f t="shared" si="27"/>
        <v>1</v>
      </c>
      <c r="V191" s="36"/>
      <c r="W191" s="36">
        <f>(D191/C191)*1</f>
        <v>1540</v>
      </c>
      <c r="X191" s="36" t="s">
        <v>1073</v>
      </c>
      <c r="Y191" s="33">
        <f t="shared" si="20"/>
        <v>1540</v>
      </c>
      <c r="Z191" s="37" t="str">
        <f t="shared" si="21"/>
        <v/>
      </c>
      <c r="AA191" s="34"/>
      <c r="AB191" s="34"/>
      <c r="AC191" s="34"/>
      <c r="AD191" s="34"/>
    </row>
    <row r="192" spans="1:30" s="38" customFormat="1">
      <c r="A192" s="32" t="s">
        <v>180</v>
      </c>
      <c r="B192" s="32" t="s">
        <v>1112</v>
      </c>
      <c r="C192" s="33">
        <v>4</v>
      </c>
      <c r="D192" s="33">
        <v>25372</v>
      </c>
      <c r="E192" s="33">
        <v>0</v>
      </c>
      <c r="F192" s="33">
        <v>0</v>
      </c>
      <c r="G192" s="33">
        <f t="shared" si="26"/>
        <v>0</v>
      </c>
      <c r="H192" s="34"/>
      <c r="I192" s="34">
        <v>0</v>
      </c>
      <c r="J192" s="34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>
        <f t="shared" si="27"/>
        <v>4</v>
      </c>
      <c r="V192" s="36">
        <f>(D192/C192)*4</f>
        <v>25372</v>
      </c>
      <c r="W192" s="36"/>
      <c r="X192" s="36"/>
      <c r="Y192" s="33">
        <f t="shared" si="20"/>
        <v>25372</v>
      </c>
      <c r="Z192" s="37" t="str">
        <f t="shared" si="21"/>
        <v/>
      </c>
      <c r="AA192" s="34"/>
      <c r="AB192" s="34"/>
      <c r="AC192" s="34"/>
      <c r="AD192" s="34"/>
    </row>
    <row r="193" spans="1:30" s="38" customFormat="1">
      <c r="A193" s="39" t="s">
        <v>181</v>
      </c>
      <c r="B193" s="39" t="s">
        <v>1113</v>
      </c>
      <c r="C193" s="33">
        <v>1</v>
      </c>
      <c r="D193" s="33">
        <v>630</v>
      </c>
      <c r="E193" s="33">
        <v>32</v>
      </c>
      <c r="F193" s="33">
        <v>0</v>
      </c>
      <c r="G193" s="33">
        <f t="shared" si="26"/>
        <v>32</v>
      </c>
      <c r="H193" s="34"/>
      <c r="I193" s="34">
        <v>0</v>
      </c>
      <c r="J193" s="34"/>
      <c r="K193" s="33">
        <f>D193</f>
        <v>630</v>
      </c>
      <c r="L193" s="33"/>
      <c r="M193" s="33"/>
      <c r="N193" s="33"/>
      <c r="O193" s="33"/>
      <c r="P193" s="33"/>
      <c r="Q193" s="33"/>
      <c r="R193" s="33"/>
      <c r="S193" s="33"/>
      <c r="T193" s="33"/>
      <c r="U193" s="33">
        <v>0</v>
      </c>
      <c r="V193" s="36"/>
      <c r="W193" s="36"/>
      <c r="X193" s="36"/>
      <c r="Y193" s="33">
        <f t="shared" si="20"/>
        <v>630</v>
      </c>
      <c r="Z193" s="37" t="str">
        <f t="shared" si="21"/>
        <v/>
      </c>
      <c r="AA193" s="34"/>
      <c r="AB193" s="34"/>
      <c r="AC193" s="34"/>
      <c r="AD193" s="34"/>
    </row>
    <row r="194" spans="1:30" s="38" customFormat="1">
      <c r="A194" s="32" t="s">
        <v>182</v>
      </c>
      <c r="B194" s="32" t="s">
        <v>1114</v>
      </c>
      <c r="C194" s="33">
        <v>5</v>
      </c>
      <c r="D194" s="33">
        <v>247</v>
      </c>
      <c r="E194" s="33">
        <v>0</v>
      </c>
      <c r="F194" s="33">
        <v>0</v>
      </c>
      <c r="G194" s="33">
        <f t="shared" si="26"/>
        <v>0</v>
      </c>
      <c r="H194" s="34"/>
      <c r="I194" s="34">
        <v>0</v>
      </c>
      <c r="J194" s="34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>
        <f t="shared" ref="U194:U233" si="28">C194-E194-I194</f>
        <v>5</v>
      </c>
      <c r="V194" s="36"/>
      <c r="W194" s="36">
        <f>(D194/C194)*5</f>
        <v>247</v>
      </c>
      <c r="X194" s="36" t="s">
        <v>1115</v>
      </c>
      <c r="Y194" s="33">
        <f t="shared" si="20"/>
        <v>247</v>
      </c>
      <c r="Z194" s="37" t="str">
        <f t="shared" si="21"/>
        <v/>
      </c>
      <c r="AA194" s="34"/>
      <c r="AB194" s="34"/>
      <c r="AC194" s="34"/>
      <c r="AD194" s="34"/>
    </row>
    <row r="195" spans="1:30" s="38" customFormat="1">
      <c r="A195" s="39" t="s">
        <v>183</v>
      </c>
      <c r="B195" s="39" t="s">
        <v>1116</v>
      </c>
      <c r="C195" s="33">
        <v>4</v>
      </c>
      <c r="D195" s="33">
        <v>2610</v>
      </c>
      <c r="E195" s="33">
        <v>0</v>
      </c>
      <c r="F195" s="33">
        <v>0</v>
      </c>
      <c r="G195" s="33">
        <f t="shared" si="26"/>
        <v>0</v>
      </c>
      <c r="H195" s="34"/>
      <c r="I195" s="34">
        <v>0</v>
      </c>
      <c r="J195" s="34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>
        <f t="shared" si="28"/>
        <v>4</v>
      </c>
      <c r="V195" s="36"/>
      <c r="W195" s="36">
        <f>(D195/C195)*4</f>
        <v>2610</v>
      </c>
      <c r="X195" s="36" t="s">
        <v>1115</v>
      </c>
      <c r="Y195" s="33">
        <f t="shared" si="20"/>
        <v>2610</v>
      </c>
      <c r="Z195" s="37" t="str">
        <f t="shared" si="21"/>
        <v/>
      </c>
      <c r="AA195" s="34"/>
      <c r="AB195" s="34"/>
      <c r="AC195" s="34"/>
      <c r="AD195" s="34"/>
    </row>
    <row r="196" spans="1:30" s="38" customFormat="1">
      <c r="A196" s="39" t="s">
        <v>184</v>
      </c>
      <c r="B196" s="39" t="s">
        <v>1117</v>
      </c>
      <c r="C196" s="33">
        <v>1</v>
      </c>
      <c r="D196" s="33">
        <v>15</v>
      </c>
      <c r="E196" s="33">
        <v>0</v>
      </c>
      <c r="F196" s="33">
        <v>0</v>
      </c>
      <c r="G196" s="33">
        <f t="shared" si="26"/>
        <v>0</v>
      </c>
      <c r="H196" s="34"/>
      <c r="I196" s="34">
        <v>0</v>
      </c>
      <c r="J196" s="34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>
        <f t="shared" si="28"/>
        <v>1</v>
      </c>
      <c r="V196" s="36">
        <f>(D196/C196)*1</f>
        <v>15</v>
      </c>
      <c r="W196" s="36"/>
      <c r="X196" s="36"/>
      <c r="Y196" s="33">
        <f t="shared" ref="Y196:Y259" si="29">SUM(K196:T196)+SUM(V196:W196)</f>
        <v>15</v>
      </c>
      <c r="Z196" s="37" t="str">
        <f t="shared" ref="Z196:Z259" si="30">IF(D196=Y196,"","錯")</f>
        <v/>
      </c>
      <c r="AA196" s="34"/>
      <c r="AB196" s="34"/>
      <c r="AC196" s="34"/>
      <c r="AD196" s="34"/>
    </row>
    <row r="197" spans="1:30" s="38" customFormat="1">
      <c r="A197" s="39" t="s">
        <v>185</v>
      </c>
      <c r="B197" s="39" t="s">
        <v>1118</v>
      </c>
      <c r="C197" s="33">
        <v>1</v>
      </c>
      <c r="D197" s="33">
        <v>140</v>
      </c>
      <c r="E197" s="33">
        <v>0</v>
      </c>
      <c r="F197" s="33">
        <v>0</v>
      </c>
      <c r="G197" s="33">
        <f t="shared" si="26"/>
        <v>0</v>
      </c>
      <c r="H197" s="34"/>
      <c r="I197" s="34">
        <v>0</v>
      </c>
      <c r="J197" s="34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>
        <f t="shared" si="28"/>
        <v>1</v>
      </c>
      <c r="V197" s="36">
        <f>(D197/C197)*1</f>
        <v>140</v>
      </c>
      <c r="W197" s="36"/>
      <c r="X197" s="36"/>
      <c r="Y197" s="33">
        <f t="shared" si="29"/>
        <v>140</v>
      </c>
      <c r="Z197" s="37" t="str">
        <f t="shared" si="30"/>
        <v/>
      </c>
      <c r="AA197" s="34"/>
      <c r="AB197" s="34"/>
      <c r="AC197" s="34"/>
      <c r="AD197" s="34"/>
    </row>
    <row r="198" spans="1:30" s="38" customFormat="1">
      <c r="A198" s="39" t="s">
        <v>186</v>
      </c>
      <c r="B198" s="39" t="s">
        <v>1119</v>
      </c>
      <c r="C198" s="33">
        <v>1</v>
      </c>
      <c r="D198" s="33">
        <v>12830</v>
      </c>
      <c r="E198" s="33">
        <v>0</v>
      </c>
      <c r="F198" s="33">
        <v>0</v>
      </c>
      <c r="G198" s="33">
        <f t="shared" si="26"/>
        <v>0</v>
      </c>
      <c r="H198" s="34"/>
      <c r="I198" s="34">
        <v>0</v>
      </c>
      <c r="J198" s="34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>
        <f t="shared" si="28"/>
        <v>1</v>
      </c>
      <c r="V198" s="36">
        <f>(D198/C198)*1</f>
        <v>12830</v>
      </c>
      <c r="W198" s="36"/>
      <c r="X198" s="36"/>
      <c r="Y198" s="33">
        <f t="shared" si="29"/>
        <v>12830</v>
      </c>
      <c r="Z198" s="37" t="str">
        <f t="shared" si="30"/>
        <v/>
      </c>
      <c r="AA198" s="34"/>
      <c r="AB198" s="34"/>
      <c r="AC198" s="34"/>
      <c r="AD198" s="34"/>
    </row>
    <row r="199" spans="1:30" s="38" customFormat="1" ht="25.5">
      <c r="A199" s="39" t="s">
        <v>187</v>
      </c>
      <c r="B199" s="39" t="s">
        <v>1120</v>
      </c>
      <c r="C199" s="33">
        <v>30</v>
      </c>
      <c r="D199" s="33">
        <v>750</v>
      </c>
      <c r="E199" s="33">
        <v>0</v>
      </c>
      <c r="F199" s="33">
        <v>0</v>
      </c>
      <c r="G199" s="33">
        <f t="shared" si="26"/>
        <v>0</v>
      </c>
      <c r="H199" s="34"/>
      <c r="I199" s="34">
        <v>0</v>
      </c>
      <c r="J199" s="34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>
        <f t="shared" si="28"/>
        <v>30</v>
      </c>
      <c r="V199" s="36"/>
      <c r="W199" s="36">
        <f>D199</f>
        <v>750</v>
      </c>
      <c r="X199" s="36" t="s">
        <v>1371</v>
      </c>
      <c r="Y199" s="33">
        <f t="shared" si="29"/>
        <v>750</v>
      </c>
      <c r="Z199" s="37" t="str">
        <f t="shared" si="30"/>
        <v/>
      </c>
      <c r="AA199" s="34"/>
      <c r="AB199" s="34"/>
      <c r="AC199" s="34"/>
      <c r="AD199" s="34"/>
    </row>
    <row r="200" spans="1:30" s="38" customFormat="1">
      <c r="A200" s="39" t="s">
        <v>188</v>
      </c>
      <c r="B200" s="39" t="s">
        <v>1121</v>
      </c>
      <c r="C200" s="33">
        <v>8</v>
      </c>
      <c r="D200" s="33">
        <v>368</v>
      </c>
      <c r="E200" s="33">
        <v>0</v>
      </c>
      <c r="F200" s="33">
        <v>0</v>
      </c>
      <c r="G200" s="33">
        <f t="shared" si="26"/>
        <v>0</v>
      </c>
      <c r="H200" s="34"/>
      <c r="I200" s="34">
        <v>0</v>
      </c>
      <c r="J200" s="34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>
        <f t="shared" si="28"/>
        <v>8</v>
      </c>
      <c r="V200" s="36">
        <f>(D200/C200)*8</f>
        <v>368</v>
      </c>
      <c r="W200" s="36"/>
      <c r="X200" s="36"/>
      <c r="Y200" s="33">
        <f t="shared" si="29"/>
        <v>368</v>
      </c>
      <c r="Z200" s="37" t="str">
        <f t="shared" si="30"/>
        <v/>
      </c>
      <c r="AA200" s="34"/>
      <c r="AB200" s="34"/>
      <c r="AC200" s="34"/>
      <c r="AD200" s="34"/>
    </row>
    <row r="201" spans="1:30" s="38" customFormat="1">
      <c r="A201" s="39" t="s">
        <v>189</v>
      </c>
      <c r="B201" s="39" t="s">
        <v>1122</v>
      </c>
      <c r="C201" s="33">
        <v>200</v>
      </c>
      <c r="D201" s="33">
        <v>182</v>
      </c>
      <c r="E201" s="33">
        <v>0</v>
      </c>
      <c r="F201" s="33">
        <v>0</v>
      </c>
      <c r="G201" s="33">
        <f t="shared" si="26"/>
        <v>0</v>
      </c>
      <c r="H201" s="34"/>
      <c r="I201" s="34">
        <v>0</v>
      </c>
      <c r="J201" s="34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>
        <f t="shared" si="28"/>
        <v>200</v>
      </c>
      <c r="V201" s="36">
        <f>(D201/C201)*200</f>
        <v>182</v>
      </c>
      <c r="W201" s="36"/>
      <c r="X201" s="36"/>
      <c r="Y201" s="33">
        <f t="shared" si="29"/>
        <v>182</v>
      </c>
      <c r="Z201" s="37" t="str">
        <f t="shared" si="30"/>
        <v/>
      </c>
      <c r="AA201" s="34"/>
      <c r="AB201" s="34"/>
      <c r="AC201" s="34"/>
      <c r="AD201" s="34"/>
    </row>
    <row r="202" spans="1:30" s="38" customFormat="1">
      <c r="A202" s="39" t="s">
        <v>190</v>
      </c>
      <c r="B202" s="39" t="s">
        <v>1123</v>
      </c>
      <c r="C202" s="33">
        <v>1</v>
      </c>
      <c r="D202" s="33">
        <v>210</v>
      </c>
      <c r="E202" s="33">
        <v>0</v>
      </c>
      <c r="F202" s="33">
        <v>0</v>
      </c>
      <c r="G202" s="33">
        <f t="shared" ref="G202:G233" si="31">E202-F202</f>
        <v>0</v>
      </c>
      <c r="H202" s="34"/>
      <c r="I202" s="34">
        <v>0</v>
      </c>
      <c r="J202" s="34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>
        <f t="shared" si="28"/>
        <v>1</v>
      </c>
      <c r="V202" s="36">
        <f>(D202/C202)*1</f>
        <v>210</v>
      </c>
      <c r="W202" s="36"/>
      <c r="X202" s="36"/>
      <c r="Y202" s="33">
        <f t="shared" si="29"/>
        <v>210</v>
      </c>
      <c r="Z202" s="37" t="str">
        <f t="shared" si="30"/>
        <v/>
      </c>
      <c r="AA202" s="34"/>
      <c r="AB202" s="34"/>
      <c r="AC202" s="34"/>
      <c r="AD202" s="34"/>
    </row>
    <row r="203" spans="1:30" s="38" customFormat="1">
      <c r="A203" s="39" t="s">
        <v>191</v>
      </c>
      <c r="B203" s="39" t="s">
        <v>1124</v>
      </c>
      <c r="C203" s="33">
        <v>2</v>
      </c>
      <c r="D203" s="33">
        <v>5600</v>
      </c>
      <c r="E203" s="33">
        <v>0</v>
      </c>
      <c r="F203" s="33">
        <v>0</v>
      </c>
      <c r="G203" s="33">
        <f t="shared" si="31"/>
        <v>0</v>
      </c>
      <c r="H203" s="34"/>
      <c r="I203" s="34">
        <v>0</v>
      </c>
      <c r="J203" s="34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>
        <f t="shared" si="28"/>
        <v>2</v>
      </c>
      <c r="V203" s="36">
        <f>(D203/C203)*2</f>
        <v>5600</v>
      </c>
      <c r="W203" s="36"/>
      <c r="X203" s="36"/>
      <c r="Y203" s="33">
        <f t="shared" si="29"/>
        <v>5600</v>
      </c>
      <c r="Z203" s="37" t="str">
        <f t="shared" si="30"/>
        <v/>
      </c>
      <c r="AA203" s="34"/>
      <c r="AB203" s="34"/>
      <c r="AC203" s="34"/>
      <c r="AD203" s="34"/>
    </row>
    <row r="204" spans="1:30" s="38" customFormat="1">
      <c r="A204" s="39" t="s">
        <v>192</v>
      </c>
      <c r="B204" s="39" t="s">
        <v>1125</v>
      </c>
      <c r="C204" s="33">
        <v>40</v>
      </c>
      <c r="D204" s="33">
        <v>80</v>
      </c>
      <c r="E204" s="33">
        <v>0</v>
      </c>
      <c r="F204" s="33">
        <v>0</v>
      </c>
      <c r="G204" s="33">
        <f t="shared" si="31"/>
        <v>0</v>
      </c>
      <c r="H204" s="34"/>
      <c r="I204" s="34">
        <v>40</v>
      </c>
      <c r="J204" s="34" t="s">
        <v>1126</v>
      </c>
      <c r="K204" s="33"/>
      <c r="L204" s="33">
        <f>(D204/C204)*40</f>
        <v>80</v>
      </c>
      <c r="M204" s="33"/>
      <c r="N204" s="33"/>
      <c r="O204" s="33"/>
      <c r="P204" s="33"/>
      <c r="Q204" s="33"/>
      <c r="R204" s="33"/>
      <c r="S204" s="33"/>
      <c r="T204" s="33"/>
      <c r="U204" s="33">
        <f t="shared" si="28"/>
        <v>0</v>
      </c>
      <c r="V204" s="33"/>
      <c r="W204" s="33"/>
      <c r="X204" s="33"/>
      <c r="Y204" s="33">
        <f t="shared" si="29"/>
        <v>80</v>
      </c>
      <c r="Z204" s="37" t="str">
        <f t="shared" si="30"/>
        <v/>
      </c>
      <c r="AA204" s="34"/>
      <c r="AB204" s="34"/>
      <c r="AC204" s="34"/>
      <c r="AD204" s="34"/>
    </row>
    <row r="205" spans="1:30" s="38" customFormat="1">
      <c r="A205" s="39" t="s">
        <v>193</v>
      </c>
      <c r="B205" s="39" t="s">
        <v>1127</v>
      </c>
      <c r="C205" s="33">
        <v>150</v>
      </c>
      <c r="D205" s="33">
        <v>300</v>
      </c>
      <c r="E205" s="33">
        <v>0</v>
      </c>
      <c r="F205" s="33">
        <v>0</v>
      </c>
      <c r="G205" s="33">
        <f t="shared" si="31"/>
        <v>0</v>
      </c>
      <c r="H205" s="34"/>
      <c r="I205" s="34">
        <v>150</v>
      </c>
      <c r="J205" s="34" t="s">
        <v>1128</v>
      </c>
      <c r="K205" s="33"/>
      <c r="L205" s="33">
        <f>(D205/C205)*150</f>
        <v>300</v>
      </c>
      <c r="M205" s="33"/>
      <c r="N205" s="33"/>
      <c r="O205" s="33"/>
      <c r="P205" s="33"/>
      <c r="Q205" s="33"/>
      <c r="R205" s="33"/>
      <c r="S205" s="33"/>
      <c r="T205" s="33"/>
      <c r="U205" s="33">
        <f t="shared" si="28"/>
        <v>0</v>
      </c>
      <c r="V205" s="33"/>
      <c r="W205" s="33"/>
      <c r="X205" s="33"/>
      <c r="Y205" s="33">
        <f t="shared" si="29"/>
        <v>300</v>
      </c>
      <c r="Z205" s="37" t="str">
        <f t="shared" si="30"/>
        <v/>
      </c>
      <c r="AA205" s="34"/>
      <c r="AB205" s="34"/>
      <c r="AC205" s="34"/>
      <c r="AD205" s="34"/>
    </row>
    <row r="206" spans="1:30" s="38" customFormat="1">
      <c r="A206" s="39" t="s">
        <v>194</v>
      </c>
      <c r="B206" s="39" t="s">
        <v>1129</v>
      </c>
      <c r="C206" s="33">
        <v>20</v>
      </c>
      <c r="D206" s="33">
        <v>40</v>
      </c>
      <c r="E206" s="33">
        <v>0</v>
      </c>
      <c r="F206" s="33">
        <v>0</v>
      </c>
      <c r="G206" s="33">
        <f t="shared" si="31"/>
        <v>0</v>
      </c>
      <c r="H206" s="34"/>
      <c r="I206" s="34">
        <v>20</v>
      </c>
      <c r="J206" s="34" t="s">
        <v>922</v>
      </c>
      <c r="K206" s="33"/>
      <c r="L206" s="33">
        <f>(D206/C206)*20</f>
        <v>40</v>
      </c>
      <c r="M206" s="33"/>
      <c r="N206" s="33"/>
      <c r="O206" s="33"/>
      <c r="P206" s="33"/>
      <c r="Q206" s="33"/>
      <c r="R206" s="33"/>
      <c r="S206" s="33"/>
      <c r="T206" s="33"/>
      <c r="U206" s="33">
        <f t="shared" si="28"/>
        <v>0</v>
      </c>
      <c r="V206" s="33"/>
      <c r="W206" s="33"/>
      <c r="X206" s="33"/>
      <c r="Y206" s="33">
        <f t="shared" si="29"/>
        <v>40</v>
      </c>
      <c r="Z206" s="37" t="str">
        <f t="shared" si="30"/>
        <v/>
      </c>
      <c r="AA206" s="34"/>
      <c r="AB206" s="34"/>
      <c r="AC206" s="34"/>
      <c r="AD206" s="34"/>
    </row>
    <row r="207" spans="1:30" s="38" customFormat="1">
      <c r="A207" s="39" t="s">
        <v>195</v>
      </c>
      <c r="B207" s="39" t="s">
        <v>1130</v>
      </c>
      <c r="C207" s="33">
        <v>1</v>
      </c>
      <c r="D207" s="33">
        <v>2274</v>
      </c>
      <c r="E207" s="33">
        <v>0</v>
      </c>
      <c r="F207" s="33">
        <v>0</v>
      </c>
      <c r="G207" s="33">
        <f t="shared" si="31"/>
        <v>0</v>
      </c>
      <c r="H207" s="34"/>
      <c r="I207" s="34">
        <v>0</v>
      </c>
      <c r="J207" s="34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>
        <f t="shared" si="28"/>
        <v>1</v>
      </c>
      <c r="V207" s="36">
        <f>(D207/C207)*1</f>
        <v>2274</v>
      </c>
      <c r="W207" s="36"/>
      <c r="X207" s="36"/>
      <c r="Y207" s="33">
        <f t="shared" si="29"/>
        <v>2274</v>
      </c>
      <c r="Z207" s="37" t="str">
        <f t="shared" si="30"/>
        <v/>
      </c>
      <c r="AA207" s="34"/>
      <c r="AB207" s="34"/>
      <c r="AC207" s="34"/>
      <c r="AD207" s="34"/>
    </row>
    <row r="208" spans="1:30" s="38" customFormat="1">
      <c r="A208" s="39" t="s">
        <v>196</v>
      </c>
      <c r="B208" s="39" t="s">
        <v>1131</v>
      </c>
      <c r="C208" s="33">
        <v>1</v>
      </c>
      <c r="D208" s="33">
        <v>72489</v>
      </c>
      <c r="E208" s="33">
        <v>0</v>
      </c>
      <c r="F208" s="33">
        <v>0</v>
      </c>
      <c r="G208" s="33">
        <f t="shared" si="31"/>
        <v>0</v>
      </c>
      <c r="H208" s="34"/>
      <c r="I208" s="34">
        <v>1</v>
      </c>
      <c r="J208" s="34" t="s">
        <v>924</v>
      </c>
      <c r="K208" s="33"/>
      <c r="L208" s="33">
        <f>(D208/C208)*1</f>
        <v>72489</v>
      </c>
      <c r="M208" s="33"/>
      <c r="N208" s="33"/>
      <c r="O208" s="33"/>
      <c r="P208" s="33"/>
      <c r="Q208" s="33"/>
      <c r="R208" s="33"/>
      <c r="S208" s="33"/>
      <c r="T208" s="33"/>
      <c r="U208" s="33">
        <f t="shared" si="28"/>
        <v>0</v>
      </c>
      <c r="V208" s="33"/>
      <c r="W208" s="33"/>
      <c r="X208" s="33"/>
      <c r="Y208" s="33">
        <f t="shared" si="29"/>
        <v>72489</v>
      </c>
      <c r="Z208" s="37" t="str">
        <f t="shared" si="30"/>
        <v/>
      </c>
      <c r="AA208" s="34"/>
      <c r="AB208" s="34"/>
      <c r="AC208" s="34"/>
      <c r="AD208" s="34"/>
    </row>
    <row r="209" spans="1:30" s="38" customFormat="1">
      <c r="A209" s="39" t="s">
        <v>197</v>
      </c>
      <c r="B209" s="39" t="s">
        <v>1132</v>
      </c>
      <c r="C209" s="33">
        <v>1</v>
      </c>
      <c r="D209" s="33">
        <v>4500</v>
      </c>
      <c r="E209" s="33">
        <v>0</v>
      </c>
      <c r="F209" s="33">
        <v>0</v>
      </c>
      <c r="G209" s="33">
        <f t="shared" si="31"/>
        <v>0</v>
      </c>
      <c r="H209" s="34"/>
      <c r="I209" s="34">
        <v>0</v>
      </c>
      <c r="J209" s="34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>
        <f t="shared" si="28"/>
        <v>1</v>
      </c>
      <c r="V209" s="36"/>
      <c r="W209" s="36">
        <f>(D209/C209)*1</f>
        <v>4500</v>
      </c>
      <c r="X209" s="36" t="s">
        <v>1133</v>
      </c>
      <c r="Y209" s="33">
        <f t="shared" si="29"/>
        <v>4500</v>
      </c>
      <c r="Z209" s="37" t="str">
        <f t="shared" si="30"/>
        <v/>
      </c>
      <c r="AA209" s="34"/>
      <c r="AB209" s="34"/>
      <c r="AC209" s="34"/>
      <c r="AD209" s="34"/>
    </row>
    <row r="210" spans="1:30" s="38" customFormat="1">
      <c r="A210" s="39" t="s">
        <v>198</v>
      </c>
      <c r="B210" s="39" t="s">
        <v>1134</v>
      </c>
      <c r="C210" s="33">
        <v>1</v>
      </c>
      <c r="D210" s="33">
        <v>5000</v>
      </c>
      <c r="E210" s="33">
        <v>0</v>
      </c>
      <c r="F210" s="33">
        <v>0</v>
      </c>
      <c r="G210" s="33">
        <f t="shared" si="31"/>
        <v>0</v>
      </c>
      <c r="H210" s="34"/>
      <c r="I210" s="34">
        <v>1</v>
      </c>
      <c r="J210" s="34" t="s">
        <v>1135</v>
      </c>
      <c r="K210" s="33"/>
      <c r="L210" s="33"/>
      <c r="M210" s="33"/>
      <c r="N210" s="33"/>
      <c r="O210" s="33"/>
      <c r="P210" s="33"/>
      <c r="Q210" s="33"/>
      <c r="R210" s="33"/>
      <c r="S210" s="33"/>
      <c r="T210" s="33">
        <v>5000</v>
      </c>
      <c r="U210" s="33">
        <f t="shared" si="28"/>
        <v>0</v>
      </c>
      <c r="V210" s="36"/>
      <c r="W210" s="36"/>
      <c r="X210" s="36"/>
      <c r="Y210" s="33">
        <f t="shared" si="29"/>
        <v>5000</v>
      </c>
      <c r="Z210" s="37" t="str">
        <f t="shared" si="30"/>
        <v/>
      </c>
      <c r="AA210" s="34"/>
      <c r="AB210" s="34"/>
      <c r="AC210" s="34"/>
      <c r="AD210" s="34"/>
    </row>
    <row r="211" spans="1:30" s="38" customFormat="1">
      <c r="A211" s="39" t="s">
        <v>199</v>
      </c>
      <c r="B211" s="39" t="s">
        <v>1136</v>
      </c>
      <c r="C211" s="33">
        <v>1</v>
      </c>
      <c r="D211" s="33">
        <v>9500</v>
      </c>
      <c r="E211" s="33">
        <v>0</v>
      </c>
      <c r="F211" s="33">
        <v>0</v>
      </c>
      <c r="G211" s="33">
        <f t="shared" si="31"/>
        <v>0</v>
      </c>
      <c r="H211" s="34"/>
      <c r="I211" s="34">
        <v>0</v>
      </c>
      <c r="J211" s="34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>
        <f t="shared" si="28"/>
        <v>1</v>
      </c>
      <c r="V211" s="36">
        <f>(D211/C211)*1</f>
        <v>9500</v>
      </c>
      <c r="W211" s="36"/>
      <c r="X211" s="36"/>
      <c r="Y211" s="33">
        <f t="shared" si="29"/>
        <v>9500</v>
      </c>
      <c r="Z211" s="37" t="str">
        <f t="shared" si="30"/>
        <v/>
      </c>
      <c r="AA211" s="34"/>
      <c r="AB211" s="34"/>
      <c r="AC211" s="34"/>
      <c r="AD211" s="34"/>
    </row>
    <row r="212" spans="1:30" s="38" customFormat="1">
      <c r="A212" s="39" t="s">
        <v>200</v>
      </c>
      <c r="B212" s="39" t="s">
        <v>1137</v>
      </c>
      <c r="C212" s="33">
        <v>1</v>
      </c>
      <c r="D212" s="33">
        <v>9500</v>
      </c>
      <c r="E212" s="33">
        <v>0</v>
      </c>
      <c r="F212" s="33">
        <v>0</v>
      </c>
      <c r="G212" s="33">
        <f t="shared" si="31"/>
        <v>0</v>
      </c>
      <c r="H212" s="34"/>
      <c r="I212" s="34">
        <v>1</v>
      </c>
      <c r="J212" s="34" t="s">
        <v>1135</v>
      </c>
      <c r="K212" s="33"/>
      <c r="L212" s="33"/>
      <c r="M212" s="33"/>
      <c r="N212" s="33"/>
      <c r="O212" s="33"/>
      <c r="P212" s="33"/>
      <c r="Q212" s="33"/>
      <c r="R212" s="33"/>
      <c r="S212" s="33"/>
      <c r="T212" s="33">
        <f>D212</f>
        <v>9500</v>
      </c>
      <c r="U212" s="33">
        <f t="shared" si="28"/>
        <v>0</v>
      </c>
      <c r="V212" s="36"/>
      <c r="W212" s="36"/>
      <c r="X212" s="36"/>
      <c r="Y212" s="33">
        <f t="shared" si="29"/>
        <v>9500</v>
      </c>
      <c r="Z212" s="37" t="str">
        <f t="shared" si="30"/>
        <v/>
      </c>
      <c r="AA212" s="34"/>
      <c r="AB212" s="34"/>
      <c r="AC212" s="34"/>
      <c r="AD212" s="34"/>
    </row>
    <row r="213" spans="1:30" s="38" customFormat="1">
      <c r="A213" s="39" t="s">
        <v>201</v>
      </c>
      <c r="B213" s="39" t="s">
        <v>1138</v>
      </c>
      <c r="C213" s="33">
        <v>1</v>
      </c>
      <c r="D213" s="33">
        <v>9500</v>
      </c>
      <c r="E213" s="33">
        <v>0</v>
      </c>
      <c r="F213" s="33">
        <v>0</v>
      </c>
      <c r="G213" s="33">
        <f t="shared" si="31"/>
        <v>0</v>
      </c>
      <c r="H213" s="34"/>
      <c r="I213" s="34">
        <v>1</v>
      </c>
      <c r="J213" s="34" t="s">
        <v>1139</v>
      </c>
      <c r="K213" s="33"/>
      <c r="L213" s="33"/>
      <c r="M213" s="33"/>
      <c r="N213" s="33"/>
      <c r="O213" s="33"/>
      <c r="P213" s="33"/>
      <c r="Q213" s="33"/>
      <c r="R213" s="33"/>
      <c r="S213" s="33"/>
      <c r="T213" s="33">
        <f>D213</f>
        <v>9500</v>
      </c>
      <c r="U213" s="33">
        <f t="shared" si="28"/>
        <v>0</v>
      </c>
      <c r="V213" s="36"/>
      <c r="W213" s="36"/>
      <c r="X213" s="36"/>
      <c r="Y213" s="33">
        <f t="shared" si="29"/>
        <v>9500</v>
      </c>
      <c r="Z213" s="37" t="str">
        <f t="shared" si="30"/>
        <v/>
      </c>
      <c r="AA213" s="34"/>
      <c r="AB213" s="34"/>
      <c r="AC213" s="34"/>
      <c r="AD213" s="34"/>
    </row>
    <row r="214" spans="1:30" s="38" customFormat="1">
      <c r="A214" s="39" t="s">
        <v>202</v>
      </c>
      <c r="B214" s="39" t="s">
        <v>1140</v>
      </c>
      <c r="C214" s="33">
        <v>2</v>
      </c>
      <c r="D214" s="33">
        <v>1100</v>
      </c>
      <c r="E214" s="33">
        <v>0</v>
      </c>
      <c r="F214" s="33">
        <v>0</v>
      </c>
      <c r="G214" s="33">
        <f t="shared" si="31"/>
        <v>0</v>
      </c>
      <c r="H214" s="34"/>
      <c r="I214" s="34">
        <v>2</v>
      </c>
      <c r="J214" s="34" t="s">
        <v>1067</v>
      </c>
      <c r="K214" s="33"/>
      <c r="L214" s="33">
        <f>(D214/C214)*2</f>
        <v>1100</v>
      </c>
      <c r="M214" s="33"/>
      <c r="N214" s="33"/>
      <c r="O214" s="33"/>
      <c r="P214" s="33"/>
      <c r="Q214" s="33"/>
      <c r="R214" s="33"/>
      <c r="S214" s="33"/>
      <c r="T214" s="33"/>
      <c r="U214" s="33">
        <f t="shared" si="28"/>
        <v>0</v>
      </c>
      <c r="V214" s="33"/>
      <c r="W214" s="33"/>
      <c r="X214" s="33"/>
      <c r="Y214" s="33">
        <f t="shared" si="29"/>
        <v>1100</v>
      </c>
      <c r="Z214" s="37" t="str">
        <f t="shared" si="30"/>
        <v/>
      </c>
      <c r="AA214" s="34"/>
      <c r="AB214" s="34"/>
      <c r="AC214" s="34"/>
      <c r="AD214" s="34"/>
    </row>
    <row r="215" spans="1:30" s="38" customFormat="1">
      <c r="A215" s="32" t="s">
        <v>203</v>
      </c>
      <c r="B215" s="32" t="s">
        <v>1141</v>
      </c>
      <c r="C215" s="33">
        <v>1</v>
      </c>
      <c r="D215" s="33">
        <v>46200</v>
      </c>
      <c r="E215" s="33">
        <v>0</v>
      </c>
      <c r="F215" s="33">
        <v>0</v>
      </c>
      <c r="G215" s="33">
        <f t="shared" si="31"/>
        <v>0</v>
      </c>
      <c r="H215" s="34"/>
      <c r="I215" s="34">
        <v>1</v>
      </c>
      <c r="J215" s="34" t="s">
        <v>924</v>
      </c>
      <c r="K215" s="33"/>
      <c r="L215" s="33">
        <f>D215</f>
        <v>46200</v>
      </c>
      <c r="M215" s="33"/>
      <c r="N215" s="33"/>
      <c r="O215" s="33"/>
      <c r="P215" s="33"/>
      <c r="Q215" s="33"/>
      <c r="R215" s="33"/>
      <c r="S215" s="33"/>
      <c r="T215" s="33"/>
      <c r="U215" s="33">
        <f t="shared" si="28"/>
        <v>0</v>
      </c>
      <c r="V215" s="36"/>
      <c r="W215" s="36"/>
      <c r="X215" s="36"/>
      <c r="Y215" s="33">
        <f t="shared" si="29"/>
        <v>46200</v>
      </c>
      <c r="Z215" s="37" t="str">
        <f t="shared" si="30"/>
        <v/>
      </c>
      <c r="AA215" s="34"/>
      <c r="AB215" s="34"/>
      <c r="AC215" s="34"/>
      <c r="AD215" s="34"/>
    </row>
    <row r="216" spans="1:30" s="38" customFormat="1">
      <c r="A216" s="39" t="s">
        <v>204</v>
      </c>
      <c r="B216" s="39" t="s">
        <v>1142</v>
      </c>
      <c r="C216" s="33">
        <v>1</v>
      </c>
      <c r="D216" s="33">
        <v>10000</v>
      </c>
      <c r="E216" s="33">
        <v>0</v>
      </c>
      <c r="F216" s="33">
        <v>0</v>
      </c>
      <c r="G216" s="33">
        <f t="shared" si="31"/>
        <v>0</v>
      </c>
      <c r="H216" s="34"/>
      <c r="I216" s="34">
        <v>1</v>
      </c>
      <c r="J216" s="34" t="s">
        <v>1143</v>
      </c>
      <c r="K216" s="33"/>
      <c r="L216" s="33"/>
      <c r="M216" s="33"/>
      <c r="N216" s="33"/>
      <c r="O216" s="33"/>
      <c r="P216" s="33"/>
      <c r="Q216" s="33"/>
      <c r="R216" s="33"/>
      <c r="S216" s="33"/>
      <c r="T216" s="33">
        <f>(D216/C216)*1</f>
        <v>10000</v>
      </c>
      <c r="U216" s="33">
        <f t="shared" si="28"/>
        <v>0</v>
      </c>
      <c r="V216" s="36"/>
      <c r="W216" s="36"/>
      <c r="X216" s="36"/>
      <c r="Y216" s="33">
        <f t="shared" si="29"/>
        <v>10000</v>
      </c>
      <c r="Z216" s="37" t="str">
        <f t="shared" si="30"/>
        <v/>
      </c>
      <c r="AA216" s="34"/>
      <c r="AB216" s="34"/>
      <c r="AC216" s="34"/>
      <c r="AD216" s="34"/>
    </row>
    <row r="217" spans="1:30" s="38" customFormat="1">
      <c r="A217" s="39" t="s">
        <v>205</v>
      </c>
      <c r="B217" s="39" t="s">
        <v>1144</v>
      </c>
      <c r="C217" s="33">
        <v>1</v>
      </c>
      <c r="D217" s="33">
        <v>1855700</v>
      </c>
      <c r="E217" s="33">
        <v>0</v>
      </c>
      <c r="F217" s="33">
        <v>0</v>
      </c>
      <c r="G217" s="33">
        <f t="shared" si="31"/>
        <v>0</v>
      </c>
      <c r="H217" s="34"/>
      <c r="I217" s="34">
        <v>1</v>
      </c>
      <c r="J217" s="34" t="s">
        <v>924</v>
      </c>
      <c r="K217" s="33"/>
      <c r="L217" s="33">
        <f>(D217/C217)*1</f>
        <v>1855700</v>
      </c>
      <c r="M217" s="33"/>
      <c r="N217" s="33"/>
      <c r="O217" s="33"/>
      <c r="P217" s="33"/>
      <c r="Q217" s="33"/>
      <c r="R217" s="33"/>
      <c r="S217" s="33"/>
      <c r="T217" s="33"/>
      <c r="U217" s="33">
        <f t="shared" si="28"/>
        <v>0</v>
      </c>
      <c r="V217" s="33"/>
      <c r="W217" s="33"/>
      <c r="X217" s="33"/>
      <c r="Y217" s="33">
        <f t="shared" si="29"/>
        <v>1855700</v>
      </c>
      <c r="Z217" s="37" t="str">
        <f t="shared" si="30"/>
        <v/>
      </c>
      <c r="AA217" s="34"/>
      <c r="AB217" s="34"/>
      <c r="AC217" s="34"/>
      <c r="AD217" s="34"/>
    </row>
    <row r="218" spans="1:30" s="38" customFormat="1">
      <c r="A218" s="39" t="s">
        <v>206</v>
      </c>
      <c r="B218" s="39" t="s">
        <v>1145</v>
      </c>
      <c r="C218" s="33">
        <v>1</v>
      </c>
      <c r="D218" s="33">
        <v>161905</v>
      </c>
      <c r="E218" s="33">
        <v>0</v>
      </c>
      <c r="F218" s="33">
        <v>0</v>
      </c>
      <c r="G218" s="33">
        <f t="shared" si="31"/>
        <v>0</v>
      </c>
      <c r="H218" s="34"/>
      <c r="I218" s="34">
        <v>1</v>
      </c>
      <c r="J218" s="34" t="s">
        <v>924</v>
      </c>
      <c r="K218" s="33"/>
      <c r="L218" s="33">
        <f>(D218/C218)*1</f>
        <v>161905</v>
      </c>
      <c r="M218" s="33"/>
      <c r="N218" s="33"/>
      <c r="O218" s="33"/>
      <c r="P218" s="33"/>
      <c r="Q218" s="33"/>
      <c r="R218" s="33"/>
      <c r="S218" s="33"/>
      <c r="T218" s="33"/>
      <c r="U218" s="33">
        <f t="shared" si="28"/>
        <v>0</v>
      </c>
      <c r="V218" s="33"/>
      <c r="W218" s="33"/>
      <c r="X218" s="33"/>
      <c r="Y218" s="33">
        <f t="shared" si="29"/>
        <v>161905</v>
      </c>
      <c r="Z218" s="37" t="str">
        <f t="shared" si="30"/>
        <v/>
      </c>
      <c r="AA218" s="34"/>
      <c r="AB218" s="34"/>
      <c r="AC218" s="34"/>
      <c r="AD218" s="34"/>
    </row>
    <row r="219" spans="1:30" s="38" customFormat="1">
      <c r="A219" s="32" t="s">
        <v>207</v>
      </c>
      <c r="B219" s="32" t="s">
        <v>1146</v>
      </c>
      <c r="C219" s="33">
        <v>1</v>
      </c>
      <c r="D219" s="33">
        <v>200</v>
      </c>
      <c r="E219" s="33">
        <v>0</v>
      </c>
      <c r="F219" s="33">
        <v>0</v>
      </c>
      <c r="G219" s="33">
        <f t="shared" si="31"/>
        <v>0</v>
      </c>
      <c r="H219" s="34"/>
      <c r="I219" s="34">
        <v>0</v>
      </c>
      <c r="J219" s="34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>
        <f t="shared" si="28"/>
        <v>1</v>
      </c>
      <c r="V219" s="36">
        <f>(D219/C219)*1</f>
        <v>200</v>
      </c>
      <c r="W219" s="36"/>
      <c r="X219" s="36"/>
      <c r="Y219" s="33">
        <f t="shared" si="29"/>
        <v>200</v>
      </c>
      <c r="Z219" s="37" t="str">
        <f t="shared" si="30"/>
        <v/>
      </c>
      <c r="AA219" s="34"/>
      <c r="AB219" s="34"/>
      <c r="AC219" s="34"/>
      <c r="AD219" s="34"/>
    </row>
    <row r="220" spans="1:30" s="38" customFormat="1">
      <c r="A220" s="39" t="s">
        <v>208</v>
      </c>
      <c r="B220" s="39" t="s">
        <v>208</v>
      </c>
      <c r="C220" s="33">
        <v>1</v>
      </c>
      <c r="D220" s="33">
        <v>13200</v>
      </c>
      <c r="E220" s="33">
        <v>0</v>
      </c>
      <c r="F220" s="33">
        <v>0</v>
      </c>
      <c r="G220" s="33">
        <f t="shared" si="31"/>
        <v>0</v>
      </c>
      <c r="H220" s="34"/>
      <c r="I220" s="34">
        <v>1</v>
      </c>
      <c r="J220" s="34" t="s">
        <v>1147</v>
      </c>
      <c r="K220" s="33"/>
      <c r="L220" s="33"/>
      <c r="M220" s="33"/>
      <c r="N220" s="33"/>
      <c r="O220" s="33"/>
      <c r="P220" s="33"/>
      <c r="Q220" s="33"/>
      <c r="R220" s="33"/>
      <c r="S220" s="33"/>
      <c r="T220" s="33">
        <f>D220</f>
        <v>13200</v>
      </c>
      <c r="U220" s="33">
        <f t="shared" si="28"/>
        <v>0</v>
      </c>
      <c r="V220" s="36"/>
      <c r="W220" s="36"/>
      <c r="X220" s="36"/>
      <c r="Y220" s="33">
        <f t="shared" si="29"/>
        <v>13200</v>
      </c>
      <c r="Z220" s="37" t="str">
        <f t="shared" si="30"/>
        <v/>
      </c>
      <c r="AA220" s="34"/>
      <c r="AB220" s="34"/>
      <c r="AC220" s="34"/>
      <c r="AD220" s="34"/>
    </row>
    <row r="221" spans="1:30" s="38" customFormat="1">
      <c r="A221" s="39" t="s">
        <v>209</v>
      </c>
      <c r="B221" s="39" t="s">
        <v>1148</v>
      </c>
      <c r="C221" s="33">
        <v>2</v>
      </c>
      <c r="D221" s="33">
        <v>100000</v>
      </c>
      <c r="E221" s="33">
        <v>0</v>
      </c>
      <c r="F221" s="33">
        <v>0</v>
      </c>
      <c r="G221" s="33">
        <f t="shared" si="31"/>
        <v>0</v>
      </c>
      <c r="H221" s="34"/>
      <c r="I221" s="34">
        <v>0</v>
      </c>
      <c r="J221" s="34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>
        <f t="shared" si="28"/>
        <v>2</v>
      </c>
      <c r="V221" s="36"/>
      <c r="W221" s="36">
        <f>(D221/C221)*2</f>
        <v>100000</v>
      </c>
      <c r="X221" s="36" t="s">
        <v>1149</v>
      </c>
      <c r="Y221" s="33">
        <f t="shared" si="29"/>
        <v>100000</v>
      </c>
      <c r="Z221" s="37" t="str">
        <f t="shared" si="30"/>
        <v/>
      </c>
      <c r="AA221" s="34"/>
      <c r="AB221" s="34"/>
      <c r="AC221" s="34"/>
      <c r="AD221" s="34"/>
    </row>
    <row r="222" spans="1:30" s="38" customFormat="1">
      <c r="A222" s="32" t="s">
        <v>210</v>
      </c>
      <c r="B222" s="32" t="s">
        <v>1150</v>
      </c>
      <c r="C222" s="33">
        <v>1</v>
      </c>
      <c r="D222" s="33">
        <v>55021</v>
      </c>
      <c r="E222" s="33">
        <v>0</v>
      </c>
      <c r="F222" s="33">
        <v>0</v>
      </c>
      <c r="G222" s="33">
        <f t="shared" si="31"/>
        <v>0</v>
      </c>
      <c r="H222" s="34"/>
      <c r="I222" s="34">
        <v>0</v>
      </c>
      <c r="J222" s="34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>
        <f t="shared" si="28"/>
        <v>1</v>
      </c>
      <c r="V222" s="36"/>
      <c r="W222" s="36">
        <f>(D222/C222)*1</f>
        <v>55021</v>
      </c>
      <c r="X222" s="36" t="s">
        <v>1151</v>
      </c>
      <c r="Y222" s="33">
        <f t="shared" si="29"/>
        <v>55021</v>
      </c>
      <c r="Z222" s="37" t="str">
        <f t="shared" si="30"/>
        <v/>
      </c>
      <c r="AA222" s="34"/>
      <c r="AB222" s="34"/>
      <c r="AC222" s="34"/>
      <c r="AD222" s="34"/>
    </row>
    <row r="223" spans="1:30" s="38" customFormat="1">
      <c r="A223" s="32" t="s">
        <v>211</v>
      </c>
      <c r="B223" s="32" t="s">
        <v>1152</v>
      </c>
      <c r="C223" s="33">
        <v>4</v>
      </c>
      <c r="D223" s="33">
        <v>21000</v>
      </c>
      <c r="E223" s="33">
        <v>0</v>
      </c>
      <c r="F223" s="33">
        <v>0</v>
      </c>
      <c r="G223" s="33">
        <f t="shared" si="31"/>
        <v>0</v>
      </c>
      <c r="H223" s="34"/>
      <c r="I223" s="34">
        <v>0</v>
      </c>
      <c r="J223" s="34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>
        <f t="shared" si="28"/>
        <v>4</v>
      </c>
      <c r="V223" s="36"/>
      <c r="W223" s="36">
        <f>(D223/C223)*4</f>
        <v>21000</v>
      </c>
      <c r="X223" s="36" t="s">
        <v>1153</v>
      </c>
      <c r="Y223" s="33">
        <f t="shared" si="29"/>
        <v>21000</v>
      </c>
      <c r="Z223" s="37" t="str">
        <f t="shared" si="30"/>
        <v/>
      </c>
      <c r="AA223" s="34"/>
      <c r="AB223" s="34"/>
      <c r="AC223" s="34"/>
      <c r="AD223" s="34"/>
    </row>
    <row r="224" spans="1:30" s="38" customFormat="1">
      <c r="A224" s="32" t="s">
        <v>212</v>
      </c>
      <c r="B224" s="32" t="s">
        <v>1154</v>
      </c>
      <c r="C224" s="33">
        <v>2</v>
      </c>
      <c r="D224" s="33">
        <v>1400</v>
      </c>
      <c r="E224" s="33">
        <v>0</v>
      </c>
      <c r="F224" s="33">
        <v>0</v>
      </c>
      <c r="G224" s="33">
        <f t="shared" si="31"/>
        <v>0</v>
      </c>
      <c r="H224" s="34"/>
      <c r="I224" s="34">
        <v>0</v>
      </c>
      <c r="J224" s="34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>
        <f t="shared" si="28"/>
        <v>2</v>
      </c>
      <c r="V224" s="36"/>
      <c r="W224" s="36">
        <f>(D224/C224)*2</f>
        <v>1400</v>
      </c>
      <c r="X224" s="36" t="s">
        <v>1155</v>
      </c>
      <c r="Y224" s="33">
        <f t="shared" si="29"/>
        <v>1400</v>
      </c>
      <c r="Z224" s="37" t="str">
        <f t="shared" si="30"/>
        <v/>
      </c>
      <c r="AA224" s="34"/>
      <c r="AB224" s="34"/>
      <c r="AC224" s="34"/>
      <c r="AD224" s="34"/>
    </row>
    <row r="225" spans="1:30" s="38" customFormat="1">
      <c r="A225" s="32" t="s">
        <v>213</v>
      </c>
      <c r="B225" s="32" t="s">
        <v>1156</v>
      </c>
      <c r="C225" s="33">
        <v>1</v>
      </c>
      <c r="D225" s="33">
        <v>3650</v>
      </c>
      <c r="E225" s="33">
        <v>0</v>
      </c>
      <c r="F225" s="33">
        <v>0</v>
      </c>
      <c r="G225" s="33">
        <f t="shared" si="31"/>
        <v>0</v>
      </c>
      <c r="H225" s="34"/>
      <c r="I225" s="34">
        <v>0</v>
      </c>
      <c r="J225" s="34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>
        <f t="shared" si="28"/>
        <v>1</v>
      </c>
      <c r="V225" s="36">
        <f>(D225/C225)*1</f>
        <v>3650</v>
      </c>
      <c r="W225" s="36"/>
      <c r="X225" s="36"/>
      <c r="Y225" s="33">
        <f t="shared" si="29"/>
        <v>3650</v>
      </c>
      <c r="Z225" s="37" t="str">
        <f t="shared" si="30"/>
        <v/>
      </c>
      <c r="AA225" s="34"/>
      <c r="AB225" s="34"/>
      <c r="AC225" s="34"/>
      <c r="AD225" s="34"/>
    </row>
    <row r="226" spans="1:30" s="38" customFormat="1">
      <c r="A226" s="32" t="s">
        <v>214</v>
      </c>
      <c r="B226" s="32" t="s">
        <v>1157</v>
      </c>
      <c r="C226" s="33">
        <v>1</v>
      </c>
      <c r="D226" s="33">
        <v>190000</v>
      </c>
      <c r="E226" s="33">
        <v>0</v>
      </c>
      <c r="F226" s="33">
        <v>0</v>
      </c>
      <c r="G226" s="33">
        <f t="shared" si="31"/>
        <v>0</v>
      </c>
      <c r="H226" s="34"/>
      <c r="I226" s="34">
        <v>0</v>
      </c>
      <c r="J226" s="34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>
        <f t="shared" si="28"/>
        <v>1</v>
      </c>
      <c r="V226" s="36"/>
      <c r="W226" s="36">
        <f>(D226/C226)*1</f>
        <v>190000</v>
      </c>
      <c r="X226" s="36" t="s">
        <v>1073</v>
      </c>
      <c r="Y226" s="33">
        <f t="shared" si="29"/>
        <v>190000</v>
      </c>
      <c r="Z226" s="37" t="str">
        <f t="shared" si="30"/>
        <v/>
      </c>
      <c r="AA226" s="34"/>
      <c r="AB226" s="34"/>
      <c r="AC226" s="34"/>
      <c r="AD226" s="34"/>
    </row>
    <row r="227" spans="1:30" s="38" customFormat="1">
      <c r="A227" s="32" t="s">
        <v>215</v>
      </c>
      <c r="B227" s="32" t="s">
        <v>1158</v>
      </c>
      <c r="C227" s="33">
        <v>2</v>
      </c>
      <c r="D227" s="33">
        <v>44000</v>
      </c>
      <c r="E227" s="33">
        <v>0</v>
      </c>
      <c r="F227" s="33">
        <v>0</v>
      </c>
      <c r="G227" s="33">
        <f t="shared" si="31"/>
        <v>0</v>
      </c>
      <c r="H227" s="34"/>
      <c r="I227" s="34">
        <v>0</v>
      </c>
      <c r="J227" s="34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>
        <f t="shared" si="28"/>
        <v>2</v>
      </c>
      <c r="V227" s="36"/>
      <c r="W227" s="36">
        <f>(D227/C227)*2</f>
        <v>44000</v>
      </c>
      <c r="X227" s="36" t="s">
        <v>1159</v>
      </c>
      <c r="Y227" s="33">
        <f t="shared" si="29"/>
        <v>44000</v>
      </c>
      <c r="Z227" s="37" t="str">
        <f t="shared" si="30"/>
        <v/>
      </c>
      <c r="AA227" s="34"/>
      <c r="AB227" s="34"/>
      <c r="AC227" s="34"/>
      <c r="AD227" s="34"/>
    </row>
    <row r="228" spans="1:30" s="38" customFormat="1">
      <c r="A228" s="32" t="s">
        <v>216</v>
      </c>
      <c r="B228" s="32" t="s">
        <v>217</v>
      </c>
      <c r="C228" s="33">
        <v>2</v>
      </c>
      <c r="D228" s="33">
        <v>5900</v>
      </c>
      <c r="E228" s="33">
        <v>2</v>
      </c>
      <c r="F228" s="33">
        <v>0</v>
      </c>
      <c r="G228" s="33">
        <f t="shared" si="31"/>
        <v>2</v>
      </c>
      <c r="H228" s="34" t="s">
        <v>7</v>
      </c>
      <c r="I228" s="34">
        <v>0</v>
      </c>
      <c r="J228" s="34"/>
      <c r="K228" s="33">
        <f>(D228/C228)*E228</f>
        <v>5900</v>
      </c>
      <c r="L228" s="33"/>
      <c r="M228" s="33"/>
      <c r="N228" s="33"/>
      <c r="O228" s="33"/>
      <c r="P228" s="33"/>
      <c r="Q228" s="33"/>
      <c r="R228" s="33"/>
      <c r="S228" s="33"/>
      <c r="T228" s="33"/>
      <c r="U228" s="33">
        <f t="shared" si="28"/>
        <v>0</v>
      </c>
      <c r="V228" s="36"/>
      <c r="W228" s="36"/>
      <c r="X228" s="36"/>
      <c r="Y228" s="33">
        <f t="shared" si="29"/>
        <v>5900</v>
      </c>
      <c r="Z228" s="37" t="str">
        <f t="shared" si="30"/>
        <v/>
      </c>
      <c r="AA228" s="34"/>
      <c r="AB228" s="34"/>
      <c r="AC228" s="34"/>
      <c r="AD228" s="34"/>
    </row>
    <row r="229" spans="1:30" s="38" customFormat="1">
      <c r="A229" s="32" t="s">
        <v>218</v>
      </c>
      <c r="B229" s="32" t="s">
        <v>1160</v>
      </c>
      <c r="C229" s="33">
        <v>1</v>
      </c>
      <c r="D229" s="33">
        <v>2000</v>
      </c>
      <c r="E229" s="33">
        <v>0</v>
      </c>
      <c r="F229" s="33">
        <v>0</v>
      </c>
      <c r="G229" s="33">
        <f t="shared" si="31"/>
        <v>0</v>
      </c>
      <c r="H229" s="34"/>
      <c r="I229" s="34">
        <v>0</v>
      </c>
      <c r="J229" s="34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>
        <f t="shared" si="28"/>
        <v>1</v>
      </c>
      <c r="V229" s="36">
        <f>(D229/C229)*1</f>
        <v>2000</v>
      </c>
      <c r="W229" s="36"/>
      <c r="X229" s="36"/>
      <c r="Y229" s="33">
        <f t="shared" si="29"/>
        <v>2000</v>
      </c>
      <c r="Z229" s="37" t="str">
        <f t="shared" si="30"/>
        <v/>
      </c>
      <c r="AA229" s="34"/>
      <c r="AB229" s="34"/>
      <c r="AC229" s="34"/>
      <c r="AD229" s="34"/>
    </row>
    <row r="230" spans="1:30" s="38" customFormat="1">
      <c r="A230" s="32" t="s">
        <v>219</v>
      </c>
      <c r="B230" s="32" t="s">
        <v>1161</v>
      </c>
      <c r="C230" s="33">
        <v>10</v>
      </c>
      <c r="D230" s="33">
        <v>171</v>
      </c>
      <c r="E230" s="33">
        <v>10</v>
      </c>
      <c r="F230" s="33">
        <v>0</v>
      </c>
      <c r="G230" s="33">
        <f t="shared" si="31"/>
        <v>10</v>
      </c>
      <c r="H230" s="34" t="s">
        <v>7</v>
      </c>
      <c r="I230" s="34">
        <v>0</v>
      </c>
      <c r="J230" s="34"/>
      <c r="K230" s="33">
        <f>(D230/C230)*E230</f>
        <v>171</v>
      </c>
      <c r="L230" s="33"/>
      <c r="M230" s="33"/>
      <c r="N230" s="33"/>
      <c r="O230" s="33"/>
      <c r="P230" s="33"/>
      <c r="Q230" s="33"/>
      <c r="R230" s="33"/>
      <c r="S230" s="33"/>
      <c r="T230" s="33"/>
      <c r="U230" s="33">
        <f t="shared" si="28"/>
        <v>0</v>
      </c>
      <c r="V230" s="36"/>
      <c r="W230" s="36"/>
      <c r="X230" s="36"/>
      <c r="Y230" s="33">
        <f t="shared" si="29"/>
        <v>171</v>
      </c>
      <c r="Z230" s="37" t="str">
        <f t="shared" si="30"/>
        <v/>
      </c>
      <c r="AA230" s="34"/>
      <c r="AB230" s="34"/>
      <c r="AC230" s="34"/>
      <c r="AD230" s="34"/>
    </row>
    <row r="231" spans="1:30" s="38" customFormat="1">
      <c r="A231" s="32" t="s">
        <v>220</v>
      </c>
      <c r="B231" s="32" t="s">
        <v>1162</v>
      </c>
      <c r="C231" s="33">
        <v>28</v>
      </c>
      <c r="D231" s="33">
        <v>4480</v>
      </c>
      <c r="E231" s="33">
        <v>0</v>
      </c>
      <c r="F231" s="33">
        <v>0</v>
      </c>
      <c r="G231" s="33">
        <f t="shared" si="31"/>
        <v>0</v>
      </c>
      <c r="H231" s="34"/>
      <c r="I231" s="34">
        <v>28</v>
      </c>
      <c r="J231" s="34" t="s">
        <v>1163</v>
      </c>
      <c r="K231" s="33"/>
      <c r="L231" s="33">
        <f>(D231/C231)*28</f>
        <v>4480</v>
      </c>
      <c r="M231" s="33"/>
      <c r="N231" s="33"/>
      <c r="O231" s="33"/>
      <c r="P231" s="33"/>
      <c r="Q231" s="33"/>
      <c r="R231" s="33"/>
      <c r="S231" s="33"/>
      <c r="T231" s="33"/>
      <c r="U231" s="33">
        <f t="shared" si="28"/>
        <v>0</v>
      </c>
      <c r="V231" s="33"/>
      <c r="W231" s="33"/>
      <c r="X231" s="33"/>
      <c r="Y231" s="33">
        <f t="shared" si="29"/>
        <v>4480</v>
      </c>
      <c r="Z231" s="37" t="str">
        <f t="shared" si="30"/>
        <v/>
      </c>
      <c r="AA231" s="34"/>
      <c r="AB231" s="34"/>
      <c r="AC231" s="34"/>
      <c r="AD231" s="34"/>
    </row>
    <row r="232" spans="1:30" s="38" customFormat="1">
      <c r="A232" s="32" t="s">
        <v>221</v>
      </c>
      <c r="B232" s="32" t="s">
        <v>1164</v>
      </c>
      <c r="C232" s="33">
        <v>53</v>
      </c>
      <c r="D232" s="33">
        <v>8480</v>
      </c>
      <c r="E232" s="33">
        <v>0</v>
      </c>
      <c r="F232" s="33">
        <v>0</v>
      </c>
      <c r="G232" s="33">
        <f t="shared" si="31"/>
        <v>0</v>
      </c>
      <c r="H232" s="34">
        <v>53</v>
      </c>
      <c r="I232" s="34">
        <v>53</v>
      </c>
      <c r="J232" s="34" t="s">
        <v>1165</v>
      </c>
      <c r="K232" s="33"/>
      <c r="L232" s="33">
        <f>(D232/C232)*53</f>
        <v>8480</v>
      </c>
      <c r="M232" s="33"/>
      <c r="N232" s="33"/>
      <c r="O232" s="33"/>
      <c r="P232" s="33"/>
      <c r="Q232" s="33"/>
      <c r="R232" s="33"/>
      <c r="S232" s="33"/>
      <c r="T232" s="33"/>
      <c r="U232" s="33">
        <f t="shared" si="28"/>
        <v>0</v>
      </c>
      <c r="V232" s="33"/>
      <c r="W232" s="33"/>
      <c r="X232" s="33"/>
      <c r="Y232" s="33">
        <f t="shared" si="29"/>
        <v>8480</v>
      </c>
      <c r="Z232" s="37" t="str">
        <f t="shared" si="30"/>
        <v/>
      </c>
      <c r="AA232" s="34"/>
      <c r="AB232" s="34"/>
      <c r="AC232" s="34"/>
      <c r="AD232" s="34"/>
    </row>
    <row r="233" spans="1:30" s="38" customFormat="1">
      <c r="A233" s="39" t="s">
        <v>222</v>
      </c>
      <c r="B233" s="39" t="s">
        <v>1166</v>
      </c>
      <c r="C233" s="33">
        <v>4</v>
      </c>
      <c r="D233" s="33">
        <v>760</v>
      </c>
      <c r="E233" s="33">
        <v>0</v>
      </c>
      <c r="F233" s="33">
        <v>0</v>
      </c>
      <c r="G233" s="33">
        <f t="shared" si="31"/>
        <v>0</v>
      </c>
      <c r="H233" s="34"/>
      <c r="I233" s="34">
        <v>4</v>
      </c>
      <c r="J233" s="54" t="s">
        <v>1372</v>
      </c>
      <c r="K233" s="33"/>
      <c r="L233" s="33">
        <f>(D233/C233)*4</f>
        <v>760</v>
      </c>
      <c r="M233" s="33"/>
      <c r="N233" s="33"/>
      <c r="O233" s="33"/>
      <c r="P233" s="33"/>
      <c r="Q233" s="33"/>
      <c r="R233" s="33"/>
      <c r="S233" s="33"/>
      <c r="T233" s="33"/>
      <c r="U233" s="33">
        <f t="shared" si="28"/>
        <v>0</v>
      </c>
      <c r="V233" s="33"/>
      <c r="W233" s="33"/>
      <c r="X233" s="33"/>
      <c r="Y233" s="33">
        <f t="shared" si="29"/>
        <v>760</v>
      </c>
      <c r="Z233" s="37" t="str">
        <f t="shared" si="30"/>
        <v/>
      </c>
      <c r="AA233" s="34"/>
      <c r="AB233" s="34"/>
      <c r="AC233" s="34"/>
      <c r="AD233" s="34"/>
    </row>
    <row r="234" spans="1:30" s="38" customFormat="1" ht="215.25">
      <c r="A234" s="39" t="s">
        <v>1829</v>
      </c>
      <c r="B234" s="39" t="s">
        <v>1167</v>
      </c>
      <c r="C234" s="33">
        <v>63</v>
      </c>
      <c r="D234" s="33">
        <v>5355</v>
      </c>
      <c r="E234" s="33">
        <v>26</v>
      </c>
      <c r="F234" s="33">
        <v>3</v>
      </c>
      <c r="G234" s="33">
        <f t="shared" ref="G234:G265" si="32">E234-F234</f>
        <v>23</v>
      </c>
      <c r="H234" s="34" t="s">
        <v>64</v>
      </c>
      <c r="I234" s="34">
        <v>0</v>
      </c>
      <c r="J234" s="55" t="s">
        <v>1954</v>
      </c>
      <c r="K234" s="33">
        <f>(D234/C234)*63</f>
        <v>5355</v>
      </c>
      <c r="L234" s="33"/>
      <c r="M234" s="33"/>
      <c r="N234" s="33"/>
      <c r="O234" s="33"/>
      <c r="P234" s="33"/>
      <c r="Q234" s="33"/>
      <c r="R234" s="33"/>
      <c r="S234" s="33"/>
      <c r="T234" s="33"/>
      <c r="U234" s="33">
        <v>0</v>
      </c>
      <c r="V234" s="33"/>
      <c r="W234" s="33"/>
      <c r="X234" s="33"/>
      <c r="Y234" s="33">
        <f t="shared" si="29"/>
        <v>5355</v>
      </c>
      <c r="Z234" s="37" t="str">
        <f t="shared" si="30"/>
        <v/>
      </c>
      <c r="AA234" s="35" t="s">
        <v>65</v>
      </c>
      <c r="AB234" s="35" t="s">
        <v>66</v>
      </c>
      <c r="AC234" s="35" t="s">
        <v>976</v>
      </c>
      <c r="AD234" s="35"/>
    </row>
    <row r="235" spans="1:30" s="38" customFormat="1" ht="135">
      <c r="A235" s="39" t="s">
        <v>1830</v>
      </c>
      <c r="B235" s="39" t="s">
        <v>1168</v>
      </c>
      <c r="C235" s="33">
        <v>64</v>
      </c>
      <c r="D235" s="33">
        <v>4480</v>
      </c>
      <c r="E235" s="33">
        <v>44</v>
      </c>
      <c r="F235" s="33">
        <v>3</v>
      </c>
      <c r="G235" s="33">
        <f t="shared" si="32"/>
        <v>41</v>
      </c>
      <c r="H235" s="34" t="s">
        <v>64</v>
      </c>
      <c r="I235" s="34">
        <v>0</v>
      </c>
      <c r="J235" s="55" t="s">
        <v>1955</v>
      </c>
      <c r="K235" s="33">
        <f>D235</f>
        <v>4480</v>
      </c>
      <c r="L235" s="33"/>
      <c r="M235" s="33"/>
      <c r="N235" s="33"/>
      <c r="O235" s="33"/>
      <c r="P235" s="33"/>
      <c r="Q235" s="33"/>
      <c r="R235" s="33"/>
      <c r="S235" s="33"/>
      <c r="T235" s="33"/>
      <c r="U235" s="33">
        <v>0</v>
      </c>
      <c r="V235" s="33"/>
      <c r="W235" s="33"/>
      <c r="X235" s="33"/>
      <c r="Y235" s="33">
        <f t="shared" si="29"/>
        <v>4480</v>
      </c>
      <c r="Z235" s="37" t="str">
        <f t="shared" si="30"/>
        <v/>
      </c>
      <c r="AA235" s="35" t="s">
        <v>65</v>
      </c>
      <c r="AB235" s="35" t="s">
        <v>66</v>
      </c>
      <c r="AC235" s="35" t="s">
        <v>976</v>
      </c>
      <c r="AD235" s="35"/>
    </row>
    <row r="236" spans="1:30" s="38" customFormat="1" ht="148.5">
      <c r="A236" s="39" t="s">
        <v>1831</v>
      </c>
      <c r="B236" s="39" t="s">
        <v>1169</v>
      </c>
      <c r="C236" s="33">
        <v>72</v>
      </c>
      <c r="D236" s="33">
        <v>126107</v>
      </c>
      <c r="E236" s="33">
        <v>46</v>
      </c>
      <c r="F236" s="33">
        <v>2</v>
      </c>
      <c r="G236" s="33">
        <f t="shared" si="32"/>
        <v>44</v>
      </c>
      <c r="H236" s="34" t="s">
        <v>64</v>
      </c>
      <c r="I236" s="34">
        <v>0</v>
      </c>
      <c r="J236" s="55" t="s">
        <v>1956</v>
      </c>
      <c r="K236" s="33">
        <f>D236</f>
        <v>126107</v>
      </c>
      <c r="L236" s="33"/>
      <c r="M236" s="33"/>
      <c r="N236" s="33"/>
      <c r="O236" s="33"/>
      <c r="P236" s="33"/>
      <c r="Q236" s="33"/>
      <c r="R236" s="33"/>
      <c r="S236" s="33"/>
      <c r="T236" s="33"/>
      <c r="U236" s="33">
        <v>0</v>
      </c>
      <c r="V236" s="33"/>
      <c r="W236" s="33"/>
      <c r="X236" s="33"/>
      <c r="Y236" s="33">
        <f t="shared" si="29"/>
        <v>126107</v>
      </c>
      <c r="Z236" s="37" t="str">
        <f t="shared" si="30"/>
        <v/>
      </c>
      <c r="AA236" s="35" t="s">
        <v>65</v>
      </c>
      <c r="AB236" s="35" t="s">
        <v>223</v>
      </c>
      <c r="AC236" s="35" t="s">
        <v>976</v>
      </c>
      <c r="AD236" s="35"/>
    </row>
    <row r="237" spans="1:30" s="38" customFormat="1">
      <c r="A237" s="39" t="s">
        <v>224</v>
      </c>
      <c r="B237" s="39" t="s">
        <v>225</v>
      </c>
      <c r="C237" s="33">
        <v>1</v>
      </c>
      <c r="D237" s="33">
        <v>46500</v>
      </c>
      <c r="E237" s="33">
        <v>0</v>
      </c>
      <c r="F237" s="33">
        <v>0</v>
      </c>
      <c r="G237" s="33">
        <f t="shared" si="32"/>
        <v>0</v>
      </c>
      <c r="H237" s="34"/>
      <c r="I237" s="34">
        <v>0</v>
      </c>
      <c r="J237" s="34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>
        <f t="shared" ref="U237:U283" si="33">C237-E237-I237</f>
        <v>1</v>
      </c>
      <c r="V237" s="36">
        <f>(D237/C237)*1</f>
        <v>46500</v>
      </c>
      <c r="W237" s="36"/>
      <c r="X237" s="36"/>
      <c r="Y237" s="33">
        <f t="shared" si="29"/>
        <v>46500</v>
      </c>
      <c r="Z237" s="37" t="str">
        <f t="shared" si="30"/>
        <v/>
      </c>
      <c r="AA237" s="34"/>
      <c r="AB237" s="34"/>
      <c r="AC237" s="34"/>
      <c r="AD237" s="34"/>
    </row>
    <row r="238" spans="1:30" s="38" customFormat="1">
      <c r="A238" s="39" t="s">
        <v>226</v>
      </c>
      <c r="B238" s="39" t="s">
        <v>1170</v>
      </c>
      <c r="C238" s="33">
        <v>71</v>
      </c>
      <c r="D238" s="33">
        <v>70290</v>
      </c>
      <c r="E238" s="33">
        <v>0</v>
      </c>
      <c r="F238" s="33">
        <v>0</v>
      </c>
      <c r="G238" s="33">
        <f t="shared" si="32"/>
        <v>0</v>
      </c>
      <c r="H238" s="34"/>
      <c r="I238" s="34">
        <v>0</v>
      </c>
      <c r="J238" s="34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>
        <f t="shared" si="33"/>
        <v>71</v>
      </c>
      <c r="V238" s="36">
        <f>(D238/C238)*71</f>
        <v>70290</v>
      </c>
      <c r="W238" s="36"/>
      <c r="X238" s="36"/>
      <c r="Y238" s="33">
        <f t="shared" si="29"/>
        <v>70290</v>
      </c>
      <c r="Z238" s="37" t="str">
        <f t="shared" si="30"/>
        <v/>
      </c>
      <c r="AA238" s="34"/>
      <c r="AB238" s="34"/>
      <c r="AC238" s="34"/>
      <c r="AD238" s="34"/>
    </row>
    <row r="239" spans="1:30" s="38" customFormat="1">
      <c r="A239" s="39" t="s">
        <v>227</v>
      </c>
      <c r="B239" s="39" t="s">
        <v>1171</v>
      </c>
      <c r="C239" s="33">
        <v>300</v>
      </c>
      <c r="D239" s="33">
        <v>3700</v>
      </c>
      <c r="E239" s="33">
        <v>0</v>
      </c>
      <c r="F239" s="33">
        <v>0</v>
      </c>
      <c r="G239" s="33">
        <f t="shared" si="32"/>
        <v>0</v>
      </c>
      <c r="H239" s="34"/>
      <c r="I239" s="34">
        <v>300</v>
      </c>
      <c r="J239" s="34" t="s">
        <v>1172</v>
      </c>
      <c r="K239" s="33"/>
      <c r="L239" s="33">
        <f>(D239/C239)*300</f>
        <v>3700</v>
      </c>
      <c r="M239" s="33"/>
      <c r="N239" s="33"/>
      <c r="O239" s="33"/>
      <c r="P239" s="33"/>
      <c r="Q239" s="33"/>
      <c r="R239" s="33"/>
      <c r="S239" s="33"/>
      <c r="T239" s="33"/>
      <c r="U239" s="33">
        <f t="shared" si="33"/>
        <v>0</v>
      </c>
      <c r="V239" s="33"/>
      <c r="W239" s="33"/>
      <c r="X239" s="33"/>
      <c r="Y239" s="33">
        <f t="shared" si="29"/>
        <v>3700</v>
      </c>
      <c r="Z239" s="37" t="str">
        <f t="shared" si="30"/>
        <v/>
      </c>
      <c r="AA239" s="34"/>
      <c r="AB239" s="34"/>
      <c r="AC239" s="34"/>
      <c r="AD239" s="34"/>
    </row>
    <row r="240" spans="1:30" s="38" customFormat="1">
      <c r="A240" s="39" t="s">
        <v>228</v>
      </c>
      <c r="B240" s="39" t="s">
        <v>1173</v>
      </c>
      <c r="C240" s="33">
        <v>20</v>
      </c>
      <c r="D240" s="33">
        <v>3600</v>
      </c>
      <c r="E240" s="33">
        <v>14</v>
      </c>
      <c r="F240" s="33">
        <v>0</v>
      </c>
      <c r="G240" s="33">
        <f t="shared" si="32"/>
        <v>14</v>
      </c>
      <c r="H240" s="34"/>
      <c r="I240" s="34">
        <v>6</v>
      </c>
      <c r="J240" s="34" t="s">
        <v>1174</v>
      </c>
      <c r="K240" s="33">
        <f>(D240/C240)*E240</f>
        <v>2520</v>
      </c>
      <c r="L240" s="33"/>
      <c r="M240" s="33"/>
      <c r="N240" s="33"/>
      <c r="O240" s="33"/>
      <c r="P240" s="33"/>
      <c r="Q240" s="33"/>
      <c r="R240" s="33"/>
      <c r="S240" s="33"/>
      <c r="T240" s="33">
        <f>(D240/C240)*I240</f>
        <v>1080</v>
      </c>
      <c r="U240" s="33">
        <f t="shared" si="33"/>
        <v>0</v>
      </c>
      <c r="V240" s="36"/>
      <c r="W240" s="36"/>
      <c r="X240" s="36"/>
      <c r="Y240" s="33">
        <f t="shared" si="29"/>
        <v>3600</v>
      </c>
      <c r="Z240" s="37" t="str">
        <f t="shared" si="30"/>
        <v/>
      </c>
      <c r="AA240" s="34"/>
      <c r="AB240" s="34"/>
      <c r="AC240" s="34"/>
      <c r="AD240" s="34"/>
    </row>
    <row r="241" spans="1:30" s="38" customFormat="1" ht="25.5">
      <c r="A241" s="32" t="s">
        <v>229</v>
      </c>
      <c r="B241" s="32" t="s">
        <v>1175</v>
      </c>
      <c r="C241" s="33">
        <v>52</v>
      </c>
      <c r="D241" s="33">
        <v>18200</v>
      </c>
      <c r="E241" s="33">
        <v>0</v>
      </c>
      <c r="F241" s="33">
        <v>0</v>
      </c>
      <c r="G241" s="33">
        <f t="shared" si="32"/>
        <v>0</v>
      </c>
      <c r="H241" s="34"/>
      <c r="I241" s="34">
        <v>52</v>
      </c>
      <c r="J241" s="34" t="s">
        <v>1176</v>
      </c>
      <c r="K241" s="33"/>
      <c r="L241" s="33">
        <f>(D241/C241)*52</f>
        <v>18200</v>
      </c>
      <c r="M241" s="33"/>
      <c r="N241" s="33"/>
      <c r="O241" s="33"/>
      <c r="P241" s="33"/>
      <c r="Q241" s="33"/>
      <c r="R241" s="33"/>
      <c r="S241" s="33"/>
      <c r="T241" s="33"/>
      <c r="U241" s="33">
        <f t="shared" si="33"/>
        <v>0</v>
      </c>
      <c r="V241" s="33"/>
      <c r="W241" s="33"/>
      <c r="X241" s="33"/>
      <c r="Y241" s="33">
        <f t="shared" si="29"/>
        <v>18200</v>
      </c>
      <c r="Z241" s="37" t="str">
        <f t="shared" si="30"/>
        <v/>
      </c>
      <c r="AA241" s="34"/>
      <c r="AB241" s="34"/>
      <c r="AC241" s="34"/>
      <c r="AD241" s="34"/>
    </row>
    <row r="242" spans="1:30" s="38" customFormat="1">
      <c r="A242" s="39" t="s">
        <v>230</v>
      </c>
      <c r="B242" s="39" t="s">
        <v>1177</v>
      </c>
      <c r="C242" s="33">
        <v>52</v>
      </c>
      <c r="D242" s="33">
        <v>18200</v>
      </c>
      <c r="E242" s="33">
        <v>0</v>
      </c>
      <c r="F242" s="33">
        <v>0</v>
      </c>
      <c r="G242" s="33">
        <f t="shared" si="32"/>
        <v>0</v>
      </c>
      <c r="H242" s="34"/>
      <c r="I242" s="34">
        <v>52</v>
      </c>
      <c r="J242" s="34" t="s">
        <v>1176</v>
      </c>
      <c r="K242" s="33"/>
      <c r="L242" s="33">
        <f>(D242/C242)*52</f>
        <v>18200</v>
      </c>
      <c r="M242" s="33"/>
      <c r="N242" s="33"/>
      <c r="O242" s="33"/>
      <c r="P242" s="33"/>
      <c r="Q242" s="33"/>
      <c r="R242" s="33"/>
      <c r="S242" s="33"/>
      <c r="T242" s="33"/>
      <c r="U242" s="33">
        <f t="shared" si="33"/>
        <v>0</v>
      </c>
      <c r="V242" s="33"/>
      <c r="W242" s="33"/>
      <c r="X242" s="33"/>
      <c r="Y242" s="33">
        <f t="shared" si="29"/>
        <v>18200</v>
      </c>
      <c r="Z242" s="37" t="str">
        <f t="shared" si="30"/>
        <v/>
      </c>
      <c r="AA242" s="34"/>
      <c r="AB242" s="34"/>
      <c r="AC242" s="34"/>
      <c r="AD242" s="34"/>
    </row>
    <row r="243" spans="1:30" s="38" customFormat="1">
      <c r="A243" s="39" t="s">
        <v>231</v>
      </c>
      <c r="B243" s="39" t="s">
        <v>1178</v>
      </c>
      <c r="C243" s="33">
        <v>1</v>
      </c>
      <c r="D243" s="33">
        <v>31000</v>
      </c>
      <c r="E243" s="33">
        <v>0</v>
      </c>
      <c r="F243" s="33">
        <v>0</v>
      </c>
      <c r="G243" s="33">
        <f t="shared" si="32"/>
        <v>0</v>
      </c>
      <c r="H243" s="34"/>
      <c r="I243" s="34">
        <v>1</v>
      </c>
      <c r="J243" s="34" t="s">
        <v>924</v>
      </c>
      <c r="K243" s="33"/>
      <c r="L243" s="33">
        <f>(D243/C243)*1</f>
        <v>31000</v>
      </c>
      <c r="M243" s="33"/>
      <c r="N243" s="33"/>
      <c r="O243" s="33"/>
      <c r="P243" s="33"/>
      <c r="Q243" s="33"/>
      <c r="R243" s="33"/>
      <c r="S243" s="33"/>
      <c r="T243" s="33"/>
      <c r="U243" s="33">
        <f t="shared" si="33"/>
        <v>0</v>
      </c>
      <c r="V243" s="33"/>
      <c r="W243" s="33"/>
      <c r="X243" s="33"/>
      <c r="Y243" s="33">
        <f t="shared" si="29"/>
        <v>31000</v>
      </c>
      <c r="Z243" s="37" t="str">
        <f t="shared" si="30"/>
        <v/>
      </c>
      <c r="AA243" s="34"/>
      <c r="AB243" s="34"/>
      <c r="AC243" s="34"/>
      <c r="AD243" s="34"/>
    </row>
    <row r="244" spans="1:30" s="38" customFormat="1">
      <c r="A244" s="39" t="s">
        <v>232</v>
      </c>
      <c r="B244" s="39" t="s">
        <v>1179</v>
      </c>
      <c r="C244" s="33">
        <v>1</v>
      </c>
      <c r="D244" s="33">
        <v>7500</v>
      </c>
      <c r="E244" s="33">
        <v>0</v>
      </c>
      <c r="F244" s="33">
        <v>0</v>
      </c>
      <c r="G244" s="33">
        <f t="shared" si="32"/>
        <v>0</v>
      </c>
      <c r="H244" s="34"/>
      <c r="I244" s="34">
        <v>1</v>
      </c>
      <c r="J244" s="34" t="s">
        <v>924</v>
      </c>
      <c r="K244" s="33"/>
      <c r="L244" s="33">
        <f>(D244/C244)*1</f>
        <v>7500</v>
      </c>
      <c r="M244" s="33"/>
      <c r="N244" s="33"/>
      <c r="O244" s="33"/>
      <c r="P244" s="33"/>
      <c r="Q244" s="33"/>
      <c r="R244" s="33"/>
      <c r="S244" s="33"/>
      <c r="T244" s="33"/>
      <c r="U244" s="33">
        <f t="shared" si="33"/>
        <v>0</v>
      </c>
      <c r="V244" s="33"/>
      <c r="W244" s="33"/>
      <c r="X244" s="33"/>
      <c r="Y244" s="33">
        <f t="shared" si="29"/>
        <v>7500</v>
      </c>
      <c r="Z244" s="37" t="str">
        <f t="shared" si="30"/>
        <v/>
      </c>
      <c r="AA244" s="34"/>
      <c r="AB244" s="34"/>
      <c r="AC244" s="34"/>
      <c r="AD244" s="34"/>
    </row>
    <row r="245" spans="1:30" s="38" customFormat="1">
      <c r="A245" s="39" t="s">
        <v>233</v>
      </c>
      <c r="B245" s="39" t="s">
        <v>1140</v>
      </c>
      <c r="C245" s="33">
        <v>2</v>
      </c>
      <c r="D245" s="33">
        <v>250</v>
      </c>
      <c r="E245" s="33">
        <v>0</v>
      </c>
      <c r="F245" s="33">
        <v>0</v>
      </c>
      <c r="G245" s="33">
        <f t="shared" si="32"/>
        <v>0</v>
      </c>
      <c r="H245" s="34"/>
      <c r="I245" s="34">
        <v>2</v>
      </c>
      <c r="J245" s="34" t="s">
        <v>1067</v>
      </c>
      <c r="K245" s="33"/>
      <c r="L245" s="33">
        <f>(D245/C245)*2</f>
        <v>250</v>
      </c>
      <c r="M245" s="33"/>
      <c r="N245" s="33"/>
      <c r="O245" s="33"/>
      <c r="P245" s="33"/>
      <c r="Q245" s="33"/>
      <c r="R245" s="33"/>
      <c r="S245" s="33"/>
      <c r="T245" s="33"/>
      <c r="U245" s="33">
        <f t="shared" si="33"/>
        <v>0</v>
      </c>
      <c r="V245" s="33"/>
      <c r="W245" s="33"/>
      <c r="X245" s="33"/>
      <c r="Y245" s="33">
        <f t="shared" si="29"/>
        <v>250</v>
      </c>
      <c r="Z245" s="37" t="str">
        <f t="shared" si="30"/>
        <v/>
      </c>
      <c r="AA245" s="34"/>
      <c r="AB245" s="34"/>
      <c r="AC245" s="34"/>
      <c r="AD245" s="34"/>
    </row>
    <row r="246" spans="1:30" s="38" customFormat="1">
      <c r="A246" s="39" t="s">
        <v>234</v>
      </c>
      <c r="B246" s="39" t="s">
        <v>1180</v>
      </c>
      <c r="C246" s="33">
        <v>14</v>
      </c>
      <c r="D246" s="33">
        <v>2450</v>
      </c>
      <c r="E246" s="33">
        <v>0</v>
      </c>
      <c r="F246" s="33">
        <v>0</v>
      </c>
      <c r="G246" s="33">
        <f t="shared" si="32"/>
        <v>0</v>
      </c>
      <c r="H246" s="34"/>
      <c r="I246" s="34">
        <v>14</v>
      </c>
      <c r="J246" s="34" t="s">
        <v>999</v>
      </c>
      <c r="K246" s="33"/>
      <c r="L246" s="33">
        <f>(D246/C246)*14</f>
        <v>2450</v>
      </c>
      <c r="M246" s="33"/>
      <c r="N246" s="33"/>
      <c r="O246" s="33"/>
      <c r="P246" s="33"/>
      <c r="Q246" s="33"/>
      <c r="R246" s="33"/>
      <c r="S246" s="33"/>
      <c r="T246" s="33"/>
      <c r="U246" s="33">
        <f t="shared" si="33"/>
        <v>0</v>
      </c>
      <c r="V246" s="33"/>
      <c r="W246" s="33"/>
      <c r="X246" s="33"/>
      <c r="Y246" s="33">
        <f t="shared" si="29"/>
        <v>2450</v>
      </c>
      <c r="Z246" s="37" t="str">
        <f t="shared" si="30"/>
        <v/>
      </c>
      <c r="AA246" s="34"/>
      <c r="AB246" s="34"/>
      <c r="AC246" s="34"/>
      <c r="AD246" s="34"/>
    </row>
    <row r="247" spans="1:30" s="38" customFormat="1">
      <c r="A247" s="39" t="s">
        <v>235</v>
      </c>
      <c r="B247" s="39" t="s">
        <v>1181</v>
      </c>
      <c r="C247" s="33">
        <v>15</v>
      </c>
      <c r="D247" s="33">
        <v>2625</v>
      </c>
      <c r="E247" s="33">
        <v>0</v>
      </c>
      <c r="F247" s="33">
        <v>0</v>
      </c>
      <c r="G247" s="33">
        <f t="shared" si="32"/>
        <v>0</v>
      </c>
      <c r="H247" s="34"/>
      <c r="I247" s="34">
        <v>15</v>
      </c>
      <c r="J247" s="34" t="s">
        <v>1182</v>
      </c>
      <c r="K247" s="33"/>
      <c r="L247" s="33">
        <f>(D247/C247)*15</f>
        <v>2625</v>
      </c>
      <c r="M247" s="33"/>
      <c r="N247" s="33"/>
      <c r="O247" s="33"/>
      <c r="P247" s="33"/>
      <c r="Q247" s="33"/>
      <c r="R247" s="33"/>
      <c r="S247" s="33"/>
      <c r="T247" s="33"/>
      <c r="U247" s="33">
        <f t="shared" si="33"/>
        <v>0</v>
      </c>
      <c r="V247" s="33"/>
      <c r="W247" s="33"/>
      <c r="X247" s="33"/>
      <c r="Y247" s="33">
        <f t="shared" si="29"/>
        <v>2625</v>
      </c>
      <c r="Z247" s="37" t="str">
        <f t="shared" si="30"/>
        <v/>
      </c>
      <c r="AA247" s="34"/>
      <c r="AB247" s="34"/>
      <c r="AC247" s="34"/>
      <c r="AD247" s="34"/>
    </row>
    <row r="248" spans="1:30" s="38" customFormat="1">
      <c r="A248" s="39" t="s">
        <v>236</v>
      </c>
      <c r="B248" s="39" t="s">
        <v>1183</v>
      </c>
      <c r="C248" s="33">
        <v>52</v>
      </c>
      <c r="D248" s="33">
        <v>6240</v>
      </c>
      <c r="E248" s="33">
        <v>0</v>
      </c>
      <c r="F248" s="33">
        <v>0</v>
      </c>
      <c r="G248" s="33">
        <f t="shared" si="32"/>
        <v>0</v>
      </c>
      <c r="H248" s="34"/>
      <c r="I248" s="34">
        <v>52</v>
      </c>
      <c r="J248" s="34" t="s">
        <v>1176</v>
      </c>
      <c r="K248" s="33"/>
      <c r="L248" s="33">
        <f>(D248/C248)*52</f>
        <v>6240</v>
      </c>
      <c r="M248" s="33"/>
      <c r="N248" s="33"/>
      <c r="O248" s="33"/>
      <c r="P248" s="33"/>
      <c r="Q248" s="33"/>
      <c r="R248" s="33"/>
      <c r="S248" s="33"/>
      <c r="T248" s="33"/>
      <c r="U248" s="33">
        <f t="shared" si="33"/>
        <v>0</v>
      </c>
      <c r="V248" s="33"/>
      <c r="W248" s="33"/>
      <c r="X248" s="33"/>
      <c r="Y248" s="33">
        <f t="shared" si="29"/>
        <v>6240</v>
      </c>
      <c r="Z248" s="37" t="str">
        <f t="shared" si="30"/>
        <v/>
      </c>
      <c r="AA248" s="34"/>
      <c r="AB248" s="34"/>
      <c r="AC248" s="34"/>
      <c r="AD248" s="34"/>
    </row>
    <row r="249" spans="1:30" s="38" customFormat="1">
      <c r="A249" s="39" t="s">
        <v>237</v>
      </c>
      <c r="B249" s="39" t="s">
        <v>1184</v>
      </c>
      <c r="C249" s="33">
        <v>12</v>
      </c>
      <c r="D249" s="33">
        <v>3960</v>
      </c>
      <c r="E249" s="33">
        <v>0</v>
      </c>
      <c r="F249" s="33">
        <v>0</v>
      </c>
      <c r="G249" s="33">
        <f t="shared" si="32"/>
        <v>0</v>
      </c>
      <c r="H249" s="34"/>
      <c r="I249" s="34">
        <v>12</v>
      </c>
      <c r="J249" s="34" t="s">
        <v>1185</v>
      </c>
      <c r="K249" s="33"/>
      <c r="L249" s="33">
        <f>(D249/C249)*12</f>
        <v>3960</v>
      </c>
      <c r="M249" s="33"/>
      <c r="N249" s="33"/>
      <c r="O249" s="33"/>
      <c r="P249" s="33"/>
      <c r="Q249" s="33"/>
      <c r="R249" s="33"/>
      <c r="S249" s="33"/>
      <c r="T249" s="33"/>
      <c r="U249" s="33">
        <f t="shared" si="33"/>
        <v>0</v>
      </c>
      <c r="V249" s="33"/>
      <c r="W249" s="33"/>
      <c r="X249" s="33"/>
      <c r="Y249" s="33">
        <f t="shared" si="29"/>
        <v>3960</v>
      </c>
      <c r="Z249" s="37" t="str">
        <f t="shared" si="30"/>
        <v/>
      </c>
      <c r="AA249" s="34"/>
      <c r="AB249" s="34"/>
      <c r="AC249" s="34"/>
      <c r="AD249" s="34"/>
    </row>
    <row r="250" spans="1:30" s="38" customFormat="1">
      <c r="A250" s="39" t="s">
        <v>238</v>
      </c>
      <c r="B250" s="39" t="s">
        <v>1186</v>
      </c>
      <c r="C250" s="33">
        <v>12</v>
      </c>
      <c r="D250" s="33">
        <v>3960</v>
      </c>
      <c r="E250" s="33">
        <v>0</v>
      </c>
      <c r="F250" s="33">
        <v>0</v>
      </c>
      <c r="G250" s="33">
        <f t="shared" si="32"/>
        <v>0</v>
      </c>
      <c r="H250" s="34"/>
      <c r="I250" s="34">
        <v>12</v>
      </c>
      <c r="J250" s="34" t="s">
        <v>1185</v>
      </c>
      <c r="K250" s="33"/>
      <c r="L250" s="33">
        <f>(D250/C250)*12</f>
        <v>3960</v>
      </c>
      <c r="M250" s="33"/>
      <c r="N250" s="33"/>
      <c r="O250" s="33"/>
      <c r="P250" s="33"/>
      <c r="Q250" s="33"/>
      <c r="R250" s="33"/>
      <c r="S250" s="33"/>
      <c r="T250" s="33"/>
      <c r="U250" s="33">
        <f t="shared" si="33"/>
        <v>0</v>
      </c>
      <c r="V250" s="33"/>
      <c r="W250" s="33"/>
      <c r="X250" s="33"/>
      <c r="Y250" s="33">
        <f t="shared" si="29"/>
        <v>3960</v>
      </c>
      <c r="Z250" s="37" t="str">
        <f t="shared" si="30"/>
        <v/>
      </c>
      <c r="AA250" s="34"/>
      <c r="AB250" s="34"/>
      <c r="AC250" s="34"/>
      <c r="AD250" s="34"/>
    </row>
    <row r="251" spans="1:30" s="38" customFormat="1" ht="25.5">
      <c r="A251" s="39" t="s">
        <v>239</v>
      </c>
      <c r="B251" s="39" t="s">
        <v>1187</v>
      </c>
      <c r="C251" s="33">
        <v>1</v>
      </c>
      <c r="D251" s="33">
        <v>750</v>
      </c>
      <c r="E251" s="33">
        <v>0</v>
      </c>
      <c r="F251" s="33">
        <v>0</v>
      </c>
      <c r="G251" s="33">
        <f t="shared" si="32"/>
        <v>0</v>
      </c>
      <c r="H251" s="34"/>
      <c r="I251" s="34">
        <v>0</v>
      </c>
      <c r="J251" s="34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>
        <f t="shared" si="33"/>
        <v>1</v>
      </c>
      <c r="V251" s="36"/>
      <c r="W251" s="36">
        <f>(D251/C251)</f>
        <v>750</v>
      </c>
      <c r="X251" s="36" t="s">
        <v>1321</v>
      </c>
      <c r="Y251" s="33">
        <f t="shared" si="29"/>
        <v>750</v>
      </c>
      <c r="Z251" s="37" t="str">
        <f t="shared" si="30"/>
        <v/>
      </c>
      <c r="AA251" s="34"/>
      <c r="AB251" s="34"/>
      <c r="AC251" s="34"/>
      <c r="AD251" s="34"/>
    </row>
    <row r="252" spans="1:30" s="38" customFormat="1">
      <c r="A252" s="39" t="s">
        <v>240</v>
      </c>
      <c r="B252" s="39" t="s">
        <v>1188</v>
      </c>
      <c r="C252" s="33">
        <v>500</v>
      </c>
      <c r="D252" s="33">
        <v>8500</v>
      </c>
      <c r="E252" s="33">
        <v>0</v>
      </c>
      <c r="F252" s="33">
        <v>0</v>
      </c>
      <c r="G252" s="33">
        <f t="shared" si="32"/>
        <v>0</v>
      </c>
      <c r="H252" s="34"/>
      <c r="I252" s="34">
        <v>500</v>
      </c>
      <c r="J252" s="34" t="s">
        <v>1189</v>
      </c>
      <c r="K252" s="33"/>
      <c r="L252" s="33">
        <f>(D252/C252)*500</f>
        <v>8500</v>
      </c>
      <c r="M252" s="33"/>
      <c r="N252" s="33"/>
      <c r="O252" s="33"/>
      <c r="P252" s="33"/>
      <c r="Q252" s="33"/>
      <c r="R252" s="33"/>
      <c r="S252" s="33"/>
      <c r="T252" s="33"/>
      <c r="U252" s="33">
        <f t="shared" si="33"/>
        <v>0</v>
      </c>
      <c r="V252" s="33"/>
      <c r="W252" s="33"/>
      <c r="X252" s="33"/>
      <c r="Y252" s="33">
        <f t="shared" si="29"/>
        <v>8500</v>
      </c>
      <c r="Z252" s="37" t="str">
        <f t="shared" si="30"/>
        <v/>
      </c>
      <c r="AA252" s="34"/>
      <c r="AB252" s="34"/>
      <c r="AC252" s="34"/>
      <c r="AD252" s="34"/>
    </row>
    <row r="253" spans="1:30" s="38" customFormat="1" ht="25.5">
      <c r="A253" s="39" t="s">
        <v>241</v>
      </c>
      <c r="B253" s="39" t="s">
        <v>1190</v>
      </c>
      <c r="C253" s="33">
        <v>1</v>
      </c>
      <c r="D253" s="33">
        <v>250</v>
      </c>
      <c r="E253" s="33">
        <v>0</v>
      </c>
      <c r="F253" s="33">
        <v>0</v>
      </c>
      <c r="G253" s="33">
        <f t="shared" si="32"/>
        <v>0</v>
      </c>
      <c r="H253" s="34"/>
      <c r="I253" s="34">
        <v>0</v>
      </c>
      <c r="J253" s="34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>
        <f t="shared" si="33"/>
        <v>1</v>
      </c>
      <c r="V253" s="36"/>
      <c r="W253" s="36">
        <f>(D253/C253)*1</f>
        <v>250</v>
      </c>
      <c r="X253" s="36" t="s">
        <v>1321</v>
      </c>
      <c r="Y253" s="33">
        <f t="shared" si="29"/>
        <v>250</v>
      </c>
      <c r="Z253" s="37" t="str">
        <f t="shared" si="30"/>
        <v/>
      </c>
      <c r="AA253" s="34"/>
      <c r="AB253" s="34"/>
      <c r="AC253" s="34"/>
      <c r="AD253" s="34"/>
    </row>
    <row r="254" spans="1:30" s="38" customFormat="1">
      <c r="A254" s="39" t="s">
        <v>242</v>
      </c>
      <c r="B254" s="39" t="s">
        <v>1191</v>
      </c>
      <c r="C254" s="33">
        <v>224</v>
      </c>
      <c r="D254" s="33">
        <v>1344</v>
      </c>
      <c r="E254" s="33">
        <v>0</v>
      </c>
      <c r="F254" s="33">
        <v>0</v>
      </c>
      <c r="G254" s="33">
        <f t="shared" si="32"/>
        <v>0</v>
      </c>
      <c r="H254" s="34"/>
      <c r="I254" s="34">
        <v>224</v>
      </c>
      <c r="J254" s="34" t="s">
        <v>1192</v>
      </c>
      <c r="K254" s="33"/>
      <c r="L254" s="33">
        <f>(D254/C254)*224</f>
        <v>1344</v>
      </c>
      <c r="M254" s="33"/>
      <c r="N254" s="33"/>
      <c r="O254" s="33"/>
      <c r="P254" s="33"/>
      <c r="Q254" s="33"/>
      <c r="R254" s="33"/>
      <c r="S254" s="33"/>
      <c r="T254" s="33"/>
      <c r="U254" s="33">
        <f t="shared" si="33"/>
        <v>0</v>
      </c>
      <c r="V254" s="33"/>
      <c r="W254" s="33"/>
      <c r="X254" s="33"/>
      <c r="Y254" s="33">
        <f t="shared" si="29"/>
        <v>1344</v>
      </c>
      <c r="Z254" s="37" t="str">
        <f t="shared" si="30"/>
        <v/>
      </c>
      <c r="AA254" s="34"/>
      <c r="AB254" s="34"/>
      <c r="AC254" s="34"/>
      <c r="AD254" s="34"/>
    </row>
    <row r="255" spans="1:30" s="38" customFormat="1">
      <c r="A255" s="39" t="s">
        <v>243</v>
      </c>
      <c r="B255" s="39" t="s">
        <v>1193</v>
      </c>
      <c r="C255" s="33">
        <v>1</v>
      </c>
      <c r="D255" s="33">
        <v>200</v>
      </c>
      <c r="E255" s="33">
        <v>0</v>
      </c>
      <c r="F255" s="33">
        <v>0</v>
      </c>
      <c r="G255" s="33">
        <f t="shared" si="32"/>
        <v>0</v>
      </c>
      <c r="H255" s="34"/>
      <c r="I255" s="34">
        <v>1</v>
      </c>
      <c r="J255" s="34" t="s">
        <v>924</v>
      </c>
      <c r="K255" s="33"/>
      <c r="L255" s="33">
        <f>(D255/C255)*1</f>
        <v>200</v>
      </c>
      <c r="M255" s="33"/>
      <c r="N255" s="33"/>
      <c r="O255" s="33"/>
      <c r="P255" s="33"/>
      <c r="Q255" s="33"/>
      <c r="R255" s="33"/>
      <c r="S255" s="33"/>
      <c r="T255" s="33"/>
      <c r="U255" s="33">
        <f t="shared" si="33"/>
        <v>0</v>
      </c>
      <c r="V255" s="33"/>
      <c r="W255" s="33"/>
      <c r="X255" s="33"/>
      <c r="Y255" s="33">
        <f t="shared" si="29"/>
        <v>200</v>
      </c>
      <c r="Z255" s="37" t="str">
        <f t="shared" si="30"/>
        <v/>
      </c>
      <c r="AA255" s="34"/>
      <c r="AB255" s="34"/>
      <c r="AC255" s="34"/>
      <c r="AD255" s="34"/>
    </row>
    <row r="256" spans="1:30" s="38" customFormat="1">
      <c r="A256" s="39" t="s">
        <v>244</v>
      </c>
      <c r="B256" s="39" t="s">
        <v>1194</v>
      </c>
      <c r="C256" s="33">
        <v>3100</v>
      </c>
      <c r="D256" s="33">
        <v>13700</v>
      </c>
      <c r="E256" s="33">
        <v>0</v>
      </c>
      <c r="F256" s="33">
        <v>0</v>
      </c>
      <c r="G256" s="33">
        <f t="shared" si="32"/>
        <v>0</v>
      </c>
      <c r="H256" s="34"/>
      <c r="I256" s="34">
        <v>3100</v>
      </c>
      <c r="J256" s="34" t="s">
        <v>1195</v>
      </c>
      <c r="K256" s="33"/>
      <c r="L256" s="33">
        <f>(D256/C256)*3100</f>
        <v>13699.999999999998</v>
      </c>
      <c r="M256" s="33"/>
      <c r="N256" s="33"/>
      <c r="O256" s="33"/>
      <c r="P256" s="33"/>
      <c r="Q256" s="33"/>
      <c r="R256" s="33"/>
      <c r="S256" s="33"/>
      <c r="T256" s="33"/>
      <c r="U256" s="33">
        <f t="shared" si="33"/>
        <v>0</v>
      </c>
      <c r="V256" s="33"/>
      <c r="W256" s="33"/>
      <c r="X256" s="33"/>
      <c r="Y256" s="33">
        <f t="shared" si="29"/>
        <v>13699.999999999998</v>
      </c>
      <c r="Z256" s="37" t="str">
        <f t="shared" si="30"/>
        <v/>
      </c>
      <c r="AA256" s="34"/>
      <c r="AB256" s="34"/>
      <c r="AC256" s="34"/>
      <c r="AD256" s="34"/>
    </row>
    <row r="257" spans="1:30" s="38" customFormat="1">
      <c r="A257" s="39" t="s">
        <v>245</v>
      </c>
      <c r="B257" s="39" t="s">
        <v>1196</v>
      </c>
      <c r="C257" s="33">
        <v>300</v>
      </c>
      <c r="D257" s="33">
        <v>3000</v>
      </c>
      <c r="E257" s="33">
        <v>0</v>
      </c>
      <c r="F257" s="33">
        <v>0</v>
      </c>
      <c r="G257" s="33">
        <f t="shared" si="32"/>
        <v>0</v>
      </c>
      <c r="H257" s="34"/>
      <c r="I257" s="34">
        <v>300</v>
      </c>
      <c r="J257" s="34" t="s">
        <v>1172</v>
      </c>
      <c r="K257" s="33"/>
      <c r="L257" s="33">
        <f>(D257/C257)*300</f>
        <v>3000</v>
      </c>
      <c r="M257" s="33"/>
      <c r="N257" s="33"/>
      <c r="O257" s="33"/>
      <c r="P257" s="33"/>
      <c r="Q257" s="33"/>
      <c r="R257" s="33"/>
      <c r="S257" s="33"/>
      <c r="T257" s="33"/>
      <c r="U257" s="33">
        <f t="shared" si="33"/>
        <v>0</v>
      </c>
      <c r="V257" s="33"/>
      <c r="W257" s="33"/>
      <c r="X257" s="33"/>
      <c r="Y257" s="33">
        <f t="shared" si="29"/>
        <v>3000</v>
      </c>
      <c r="Z257" s="37" t="str">
        <f t="shared" si="30"/>
        <v/>
      </c>
      <c r="AA257" s="34"/>
      <c r="AB257" s="34"/>
      <c r="AC257" s="34"/>
      <c r="AD257" s="34"/>
    </row>
    <row r="258" spans="1:30" s="38" customFormat="1">
      <c r="A258" s="39" t="s">
        <v>246</v>
      </c>
      <c r="B258" s="39" t="s">
        <v>1197</v>
      </c>
      <c r="C258" s="33">
        <v>170</v>
      </c>
      <c r="D258" s="33">
        <v>680</v>
      </c>
      <c r="E258" s="33">
        <v>0</v>
      </c>
      <c r="F258" s="33">
        <v>0</v>
      </c>
      <c r="G258" s="33">
        <f t="shared" si="32"/>
        <v>0</v>
      </c>
      <c r="H258" s="34"/>
      <c r="I258" s="34">
        <v>170</v>
      </c>
      <c r="J258" s="34" t="s">
        <v>1031</v>
      </c>
      <c r="K258" s="33"/>
      <c r="L258" s="33">
        <f>(D258/C258)*170</f>
        <v>680</v>
      </c>
      <c r="M258" s="33"/>
      <c r="N258" s="33"/>
      <c r="O258" s="33"/>
      <c r="P258" s="33"/>
      <c r="Q258" s="33"/>
      <c r="R258" s="33"/>
      <c r="S258" s="33"/>
      <c r="T258" s="33"/>
      <c r="U258" s="33">
        <f t="shared" si="33"/>
        <v>0</v>
      </c>
      <c r="V258" s="33"/>
      <c r="W258" s="33"/>
      <c r="X258" s="33"/>
      <c r="Y258" s="33">
        <f t="shared" si="29"/>
        <v>680</v>
      </c>
      <c r="Z258" s="37" t="str">
        <f t="shared" si="30"/>
        <v/>
      </c>
      <c r="AA258" s="34"/>
      <c r="AB258" s="34"/>
      <c r="AC258" s="34"/>
      <c r="AD258" s="34"/>
    </row>
    <row r="259" spans="1:30" s="38" customFormat="1">
      <c r="A259" s="39" t="s">
        <v>247</v>
      </c>
      <c r="B259" s="39" t="s">
        <v>1198</v>
      </c>
      <c r="C259" s="33">
        <v>170</v>
      </c>
      <c r="D259" s="33">
        <v>3230</v>
      </c>
      <c r="E259" s="33">
        <v>0</v>
      </c>
      <c r="F259" s="33">
        <v>0</v>
      </c>
      <c r="G259" s="33">
        <f t="shared" si="32"/>
        <v>0</v>
      </c>
      <c r="H259" s="34"/>
      <c r="I259" s="34">
        <v>170</v>
      </c>
      <c r="J259" s="34" t="s">
        <v>1031</v>
      </c>
      <c r="K259" s="33"/>
      <c r="L259" s="33">
        <f>(D259/C259)*170</f>
        <v>3230</v>
      </c>
      <c r="M259" s="33"/>
      <c r="N259" s="33"/>
      <c r="O259" s="33"/>
      <c r="P259" s="33"/>
      <c r="Q259" s="33"/>
      <c r="R259" s="33"/>
      <c r="S259" s="33"/>
      <c r="T259" s="33"/>
      <c r="U259" s="33">
        <f t="shared" si="33"/>
        <v>0</v>
      </c>
      <c r="V259" s="33"/>
      <c r="W259" s="33"/>
      <c r="X259" s="33"/>
      <c r="Y259" s="33">
        <f t="shared" si="29"/>
        <v>3230</v>
      </c>
      <c r="Z259" s="37" t="str">
        <f t="shared" si="30"/>
        <v/>
      </c>
      <c r="AA259" s="34"/>
      <c r="AB259" s="34"/>
      <c r="AC259" s="34"/>
      <c r="AD259" s="34"/>
    </row>
    <row r="260" spans="1:30" s="38" customFormat="1">
      <c r="A260" s="39" t="s">
        <v>248</v>
      </c>
      <c r="B260" s="39" t="s">
        <v>1199</v>
      </c>
      <c r="C260" s="33">
        <v>5</v>
      </c>
      <c r="D260" s="33">
        <v>28500</v>
      </c>
      <c r="E260" s="33">
        <v>0</v>
      </c>
      <c r="F260" s="33">
        <v>0</v>
      </c>
      <c r="G260" s="33">
        <f t="shared" si="32"/>
        <v>0</v>
      </c>
      <c r="H260" s="34"/>
      <c r="I260" s="34">
        <v>5</v>
      </c>
      <c r="J260" s="34" t="s">
        <v>1200</v>
      </c>
      <c r="K260" s="33"/>
      <c r="L260" s="33">
        <f>(D260/C260)*5</f>
        <v>28500</v>
      </c>
      <c r="M260" s="33"/>
      <c r="N260" s="33"/>
      <c r="O260" s="33"/>
      <c r="P260" s="33"/>
      <c r="Q260" s="33"/>
      <c r="R260" s="33"/>
      <c r="S260" s="33"/>
      <c r="T260" s="33"/>
      <c r="U260" s="33">
        <f t="shared" si="33"/>
        <v>0</v>
      </c>
      <c r="V260" s="33"/>
      <c r="W260" s="33"/>
      <c r="X260" s="33"/>
      <c r="Y260" s="33">
        <f t="shared" ref="Y260:Y283" si="34">SUM(K260:T260)+SUM(V260:W260)</f>
        <v>28500</v>
      </c>
      <c r="Z260" s="37" t="str">
        <f t="shared" ref="Z260:Z283" si="35">IF(D260=Y260,"","錯")</f>
        <v/>
      </c>
      <c r="AA260" s="34"/>
      <c r="AB260" s="34"/>
      <c r="AC260" s="34"/>
      <c r="AD260" s="34"/>
    </row>
    <row r="261" spans="1:30" s="38" customFormat="1">
      <c r="A261" s="39" t="s">
        <v>249</v>
      </c>
      <c r="B261" s="39" t="s">
        <v>1201</v>
      </c>
      <c r="C261" s="33">
        <v>1</v>
      </c>
      <c r="D261" s="33">
        <v>150</v>
      </c>
      <c r="E261" s="33">
        <v>0</v>
      </c>
      <c r="F261" s="33">
        <v>0</v>
      </c>
      <c r="G261" s="33">
        <f t="shared" si="32"/>
        <v>0</v>
      </c>
      <c r="H261" s="34"/>
      <c r="I261" s="34">
        <v>1</v>
      </c>
      <c r="J261" s="34" t="s">
        <v>924</v>
      </c>
      <c r="K261" s="33"/>
      <c r="L261" s="33">
        <f>(D261/C261)*1</f>
        <v>150</v>
      </c>
      <c r="M261" s="33"/>
      <c r="N261" s="33"/>
      <c r="O261" s="33"/>
      <c r="P261" s="33"/>
      <c r="Q261" s="33"/>
      <c r="R261" s="33"/>
      <c r="S261" s="33"/>
      <c r="T261" s="33"/>
      <c r="U261" s="33">
        <f t="shared" si="33"/>
        <v>0</v>
      </c>
      <c r="V261" s="33"/>
      <c r="W261" s="33"/>
      <c r="X261" s="33"/>
      <c r="Y261" s="33">
        <f t="shared" si="34"/>
        <v>150</v>
      </c>
      <c r="Z261" s="37" t="str">
        <f t="shared" si="35"/>
        <v/>
      </c>
      <c r="AA261" s="34"/>
      <c r="AB261" s="34"/>
      <c r="AC261" s="34"/>
      <c r="AD261" s="34"/>
    </row>
    <row r="262" spans="1:30" s="38" customFormat="1">
      <c r="A262" s="39" t="s">
        <v>250</v>
      </c>
      <c r="B262" s="39" t="s">
        <v>1202</v>
      </c>
      <c r="C262" s="33">
        <v>1</v>
      </c>
      <c r="D262" s="33">
        <v>240</v>
      </c>
      <c r="E262" s="33">
        <v>0</v>
      </c>
      <c r="F262" s="33">
        <v>0</v>
      </c>
      <c r="G262" s="33">
        <f t="shared" si="32"/>
        <v>0</v>
      </c>
      <c r="H262" s="34"/>
      <c r="I262" s="34">
        <v>1</v>
      </c>
      <c r="J262" s="34" t="s">
        <v>924</v>
      </c>
      <c r="K262" s="33"/>
      <c r="L262" s="33">
        <f>(D262/C262)*1</f>
        <v>240</v>
      </c>
      <c r="M262" s="33"/>
      <c r="N262" s="33"/>
      <c r="O262" s="33"/>
      <c r="P262" s="33"/>
      <c r="Q262" s="33"/>
      <c r="R262" s="33"/>
      <c r="S262" s="33"/>
      <c r="T262" s="33"/>
      <c r="U262" s="33">
        <f t="shared" si="33"/>
        <v>0</v>
      </c>
      <c r="V262" s="33"/>
      <c r="W262" s="33"/>
      <c r="X262" s="33"/>
      <c r="Y262" s="33">
        <f t="shared" si="34"/>
        <v>240</v>
      </c>
      <c r="Z262" s="37" t="str">
        <f t="shared" si="35"/>
        <v/>
      </c>
      <c r="AA262" s="34"/>
      <c r="AB262" s="34"/>
      <c r="AC262" s="34"/>
      <c r="AD262" s="34"/>
    </row>
    <row r="263" spans="1:30" s="38" customFormat="1">
      <c r="A263" s="39" t="s">
        <v>251</v>
      </c>
      <c r="B263" s="39" t="s">
        <v>1203</v>
      </c>
      <c r="C263" s="33">
        <v>100</v>
      </c>
      <c r="D263" s="33">
        <v>16500</v>
      </c>
      <c r="E263" s="33">
        <v>0</v>
      </c>
      <c r="F263" s="33">
        <v>0</v>
      </c>
      <c r="G263" s="33">
        <f t="shared" si="32"/>
        <v>0</v>
      </c>
      <c r="H263" s="34"/>
      <c r="I263" s="34">
        <v>100</v>
      </c>
      <c r="J263" s="34" t="s">
        <v>949</v>
      </c>
      <c r="K263" s="33"/>
      <c r="L263" s="33">
        <f>(D263/C263)*100</f>
        <v>16500</v>
      </c>
      <c r="M263" s="33"/>
      <c r="N263" s="33"/>
      <c r="O263" s="33"/>
      <c r="P263" s="33"/>
      <c r="Q263" s="33"/>
      <c r="R263" s="33"/>
      <c r="S263" s="33"/>
      <c r="T263" s="33"/>
      <c r="U263" s="33">
        <f t="shared" si="33"/>
        <v>0</v>
      </c>
      <c r="V263" s="33"/>
      <c r="W263" s="33"/>
      <c r="X263" s="33"/>
      <c r="Y263" s="33">
        <f t="shared" si="34"/>
        <v>16500</v>
      </c>
      <c r="Z263" s="37" t="str">
        <f t="shared" si="35"/>
        <v/>
      </c>
      <c r="AA263" s="34"/>
      <c r="AB263" s="34"/>
      <c r="AC263" s="34"/>
      <c r="AD263" s="34"/>
    </row>
    <row r="264" spans="1:30" s="38" customFormat="1">
      <c r="A264" s="39" t="s">
        <v>252</v>
      </c>
      <c r="B264" s="39" t="s">
        <v>1204</v>
      </c>
      <c r="C264" s="33">
        <v>1</v>
      </c>
      <c r="D264" s="33">
        <v>950</v>
      </c>
      <c r="E264" s="33">
        <v>0</v>
      </c>
      <c r="F264" s="33">
        <v>0</v>
      </c>
      <c r="G264" s="33">
        <f t="shared" si="32"/>
        <v>0</v>
      </c>
      <c r="H264" s="34"/>
      <c r="I264" s="34">
        <v>1</v>
      </c>
      <c r="J264" s="34" t="s">
        <v>924</v>
      </c>
      <c r="K264" s="33"/>
      <c r="L264" s="33">
        <f>(D264/C264)*1</f>
        <v>950</v>
      </c>
      <c r="M264" s="33"/>
      <c r="N264" s="33"/>
      <c r="O264" s="33"/>
      <c r="P264" s="33"/>
      <c r="Q264" s="33"/>
      <c r="R264" s="33"/>
      <c r="S264" s="33"/>
      <c r="T264" s="33"/>
      <c r="U264" s="33">
        <f t="shared" si="33"/>
        <v>0</v>
      </c>
      <c r="V264" s="33"/>
      <c r="W264" s="33"/>
      <c r="X264" s="33"/>
      <c r="Y264" s="33">
        <f t="shared" si="34"/>
        <v>950</v>
      </c>
      <c r="Z264" s="37" t="str">
        <f t="shared" si="35"/>
        <v/>
      </c>
      <c r="AA264" s="34"/>
      <c r="AB264" s="34"/>
      <c r="AC264" s="34"/>
      <c r="AD264" s="34"/>
    </row>
    <row r="265" spans="1:30" s="38" customFormat="1">
      <c r="A265" s="39" t="s">
        <v>253</v>
      </c>
      <c r="B265" s="39" t="s">
        <v>1205</v>
      </c>
      <c r="C265" s="33">
        <v>1000</v>
      </c>
      <c r="D265" s="33">
        <v>500</v>
      </c>
      <c r="E265" s="33">
        <v>0</v>
      </c>
      <c r="F265" s="33">
        <v>0</v>
      </c>
      <c r="G265" s="33">
        <f t="shared" si="32"/>
        <v>0</v>
      </c>
      <c r="H265" s="34"/>
      <c r="I265" s="34">
        <v>1000</v>
      </c>
      <c r="J265" s="34" t="s">
        <v>993</v>
      </c>
      <c r="K265" s="33"/>
      <c r="L265" s="33">
        <f>(D265/C265)*1000</f>
        <v>500</v>
      </c>
      <c r="M265" s="33"/>
      <c r="N265" s="33"/>
      <c r="O265" s="33"/>
      <c r="P265" s="33"/>
      <c r="Q265" s="33"/>
      <c r="R265" s="33"/>
      <c r="S265" s="33"/>
      <c r="T265" s="33"/>
      <c r="U265" s="33">
        <f t="shared" si="33"/>
        <v>0</v>
      </c>
      <c r="V265" s="33"/>
      <c r="W265" s="33"/>
      <c r="X265" s="33"/>
      <c r="Y265" s="33">
        <f t="shared" si="34"/>
        <v>500</v>
      </c>
      <c r="Z265" s="37" t="str">
        <f t="shared" si="35"/>
        <v/>
      </c>
      <c r="AA265" s="34"/>
      <c r="AB265" s="34"/>
      <c r="AC265" s="34"/>
      <c r="AD265" s="34"/>
    </row>
    <row r="266" spans="1:30" s="38" customFormat="1">
      <c r="A266" s="39" t="s">
        <v>254</v>
      </c>
      <c r="B266" s="39" t="s">
        <v>1193</v>
      </c>
      <c r="C266" s="33">
        <v>1</v>
      </c>
      <c r="D266" s="33">
        <v>200</v>
      </c>
      <c r="E266" s="33">
        <v>0</v>
      </c>
      <c r="F266" s="33">
        <v>0</v>
      </c>
      <c r="G266" s="33">
        <f t="shared" ref="G266:G283" si="36">E266-F266</f>
        <v>0</v>
      </c>
      <c r="H266" s="34"/>
      <c r="I266" s="34">
        <v>1</v>
      </c>
      <c r="J266" s="34" t="s">
        <v>924</v>
      </c>
      <c r="K266" s="33"/>
      <c r="L266" s="33">
        <f>(D266/C266)*1</f>
        <v>200</v>
      </c>
      <c r="M266" s="33"/>
      <c r="N266" s="33"/>
      <c r="O266" s="33"/>
      <c r="P266" s="33"/>
      <c r="Q266" s="33"/>
      <c r="R266" s="33"/>
      <c r="S266" s="33"/>
      <c r="T266" s="33"/>
      <c r="U266" s="33">
        <f t="shared" si="33"/>
        <v>0</v>
      </c>
      <c r="V266" s="33"/>
      <c r="W266" s="33"/>
      <c r="X266" s="33"/>
      <c r="Y266" s="33">
        <f t="shared" si="34"/>
        <v>200</v>
      </c>
      <c r="Z266" s="37" t="str">
        <f t="shared" si="35"/>
        <v/>
      </c>
      <c r="AA266" s="34"/>
      <c r="AB266" s="34"/>
      <c r="AC266" s="34"/>
      <c r="AD266" s="34"/>
    </row>
    <row r="267" spans="1:30" s="38" customFormat="1">
      <c r="A267" s="39" t="s">
        <v>255</v>
      </c>
      <c r="B267" s="39" t="s">
        <v>1206</v>
      </c>
      <c r="C267" s="33">
        <v>1</v>
      </c>
      <c r="D267" s="33">
        <v>150</v>
      </c>
      <c r="E267" s="33">
        <v>0</v>
      </c>
      <c r="F267" s="33">
        <v>0</v>
      </c>
      <c r="G267" s="33">
        <f t="shared" si="36"/>
        <v>0</v>
      </c>
      <c r="H267" s="34"/>
      <c r="I267" s="34">
        <v>1</v>
      </c>
      <c r="J267" s="34" t="s">
        <v>924</v>
      </c>
      <c r="K267" s="33"/>
      <c r="L267" s="33">
        <f>(D267/C267)*1</f>
        <v>150</v>
      </c>
      <c r="M267" s="33"/>
      <c r="N267" s="33"/>
      <c r="O267" s="33"/>
      <c r="P267" s="33"/>
      <c r="Q267" s="33"/>
      <c r="R267" s="33"/>
      <c r="S267" s="33"/>
      <c r="T267" s="33"/>
      <c r="U267" s="33">
        <f t="shared" si="33"/>
        <v>0</v>
      </c>
      <c r="V267" s="33"/>
      <c r="W267" s="33"/>
      <c r="X267" s="33"/>
      <c r="Y267" s="33">
        <f t="shared" si="34"/>
        <v>150</v>
      </c>
      <c r="Z267" s="37" t="str">
        <f t="shared" si="35"/>
        <v/>
      </c>
      <c r="AA267" s="34"/>
      <c r="AB267" s="34"/>
      <c r="AC267" s="34"/>
      <c r="AD267" s="34"/>
    </row>
    <row r="268" spans="1:30" s="38" customFormat="1">
      <c r="A268" s="39" t="s">
        <v>256</v>
      </c>
      <c r="B268" s="39" t="s">
        <v>1207</v>
      </c>
      <c r="C268" s="33">
        <v>1</v>
      </c>
      <c r="D268" s="33">
        <v>180</v>
      </c>
      <c r="E268" s="33">
        <v>0</v>
      </c>
      <c r="F268" s="33">
        <v>0</v>
      </c>
      <c r="G268" s="33">
        <f t="shared" si="36"/>
        <v>0</v>
      </c>
      <c r="H268" s="34"/>
      <c r="I268" s="34">
        <v>0</v>
      </c>
      <c r="J268" s="34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>
        <f t="shared" si="33"/>
        <v>1</v>
      </c>
      <c r="V268" s="36">
        <f>(D268/C268)*1</f>
        <v>180</v>
      </c>
      <c r="W268" s="36"/>
      <c r="X268" s="36"/>
      <c r="Y268" s="33">
        <f t="shared" si="34"/>
        <v>180</v>
      </c>
      <c r="Z268" s="37" t="str">
        <f t="shared" si="35"/>
        <v/>
      </c>
      <c r="AA268" s="34"/>
      <c r="AB268" s="34"/>
      <c r="AC268" s="34"/>
      <c r="AD268" s="34"/>
    </row>
    <row r="269" spans="1:30" s="38" customFormat="1">
      <c r="A269" s="39" t="s">
        <v>257</v>
      </c>
      <c r="B269" s="39" t="s">
        <v>1208</v>
      </c>
      <c r="C269" s="33">
        <v>1</v>
      </c>
      <c r="D269" s="33">
        <v>21000</v>
      </c>
      <c r="E269" s="33">
        <v>1</v>
      </c>
      <c r="F269" s="33">
        <v>0</v>
      </c>
      <c r="G269" s="33">
        <f t="shared" si="36"/>
        <v>1</v>
      </c>
      <c r="H269" s="34" t="s">
        <v>38</v>
      </c>
      <c r="I269" s="34">
        <v>0</v>
      </c>
      <c r="J269" s="34"/>
      <c r="K269" s="33">
        <f>D269</f>
        <v>21000</v>
      </c>
      <c r="L269" s="33"/>
      <c r="M269" s="33"/>
      <c r="N269" s="33"/>
      <c r="O269" s="33"/>
      <c r="P269" s="33"/>
      <c r="Q269" s="33"/>
      <c r="R269" s="33"/>
      <c r="S269" s="33"/>
      <c r="T269" s="33"/>
      <c r="U269" s="33">
        <f t="shared" si="33"/>
        <v>0</v>
      </c>
      <c r="V269" s="36"/>
      <c r="W269" s="36"/>
      <c r="X269" s="36"/>
      <c r="Y269" s="33">
        <f t="shared" si="34"/>
        <v>21000</v>
      </c>
      <c r="Z269" s="37" t="str">
        <f t="shared" si="35"/>
        <v/>
      </c>
      <c r="AA269" s="34"/>
      <c r="AB269" s="34"/>
      <c r="AC269" s="34"/>
      <c r="AD269" s="34"/>
    </row>
    <row r="270" spans="1:30" s="38" customFormat="1">
      <c r="A270" s="39" t="s">
        <v>258</v>
      </c>
      <c r="B270" s="39" t="s">
        <v>1209</v>
      </c>
      <c r="C270" s="33">
        <v>224</v>
      </c>
      <c r="D270" s="33">
        <v>41440</v>
      </c>
      <c r="E270" s="33">
        <v>0</v>
      </c>
      <c r="F270" s="33">
        <v>0</v>
      </c>
      <c r="G270" s="33">
        <f t="shared" si="36"/>
        <v>0</v>
      </c>
      <c r="H270" s="34"/>
      <c r="I270" s="34">
        <v>224</v>
      </c>
      <c r="J270" s="34" t="s">
        <v>1192</v>
      </c>
      <c r="K270" s="33"/>
      <c r="L270" s="33">
        <f>(D270/C270)*224</f>
        <v>41440</v>
      </c>
      <c r="M270" s="33"/>
      <c r="N270" s="33"/>
      <c r="O270" s="33"/>
      <c r="P270" s="33"/>
      <c r="Q270" s="33"/>
      <c r="R270" s="33"/>
      <c r="S270" s="33"/>
      <c r="T270" s="33"/>
      <c r="U270" s="33">
        <f t="shared" si="33"/>
        <v>0</v>
      </c>
      <c r="V270" s="33"/>
      <c r="W270" s="33"/>
      <c r="X270" s="33"/>
      <c r="Y270" s="33">
        <f t="shared" si="34"/>
        <v>41440</v>
      </c>
      <c r="Z270" s="37" t="str">
        <f t="shared" si="35"/>
        <v/>
      </c>
      <c r="AA270" s="34"/>
      <c r="AB270" s="34"/>
      <c r="AC270" s="34"/>
      <c r="AD270" s="34"/>
    </row>
    <row r="271" spans="1:30" s="38" customFormat="1">
      <c r="A271" s="39" t="s">
        <v>259</v>
      </c>
      <c r="B271" s="39" t="s">
        <v>1210</v>
      </c>
      <c r="C271" s="33">
        <v>14</v>
      </c>
      <c r="D271" s="33">
        <v>25620</v>
      </c>
      <c r="E271" s="33">
        <v>0</v>
      </c>
      <c r="F271" s="33">
        <v>0</v>
      </c>
      <c r="G271" s="33">
        <f t="shared" si="36"/>
        <v>0</v>
      </c>
      <c r="H271" s="34"/>
      <c r="I271" s="34">
        <v>14</v>
      </c>
      <c r="J271" s="34" t="s">
        <v>999</v>
      </c>
      <c r="K271" s="33"/>
      <c r="L271" s="33">
        <f>(D271/C271)*14</f>
        <v>25620</v>
      </c>
      <c r="M271" s="33"/>
      <c r="N271" s="33"/>
      <c r="O271" s="33"/>
      <c r="P271" s="33"/>
      <c r="Q271" s="33"/>
      <c r="R271" s="33"/>
      <c r="S271" s="33"/>
      <c r="T271" s="33"/>
      <c r="U271" s="33">
        <f t="shared" si="33"/>
        <v>0</v>
      </c>
      <c r="V271" s="33"/>
      <c r="W271" s="33"/>
      <c r="X271" s="33"/>
      <c r="Y271" s="33">
        <f t="shared" si="34"/>
        <v>25620</v>
      </c>
      <c r="Z271" s="37" t="str">
        <f t="shared" si="35"/>
        <v/>
      </c>
      <c r="AA271" s="34"/>
      <c r="AB271" s="34"/>
      <c r="AC271" s="34"/>
      <c r="AD271" s="34"/>
    </row>
    <row r="272" spans="1:30" s="38" customFormat="1">
      <c r="A272" s="39" t="s">
        <v>260</v>
      </c>
      <c r="B272" s="39" t="s">
        <v>1211</v>
      </c>
      <c r="C272" s="33">
        <v>100</v>
      </c>
      <c r="D272" s="33">
        <v>35000</v>
      </c>
      <c r="E272" s="33">
        <v>0</v>
      </c>
      <c r="F272" s="33">
        <v>0</v>
      </c>
      <c r="G272" s="33">
        <f t="shared" si="36"/>
        <v>0</v>
      </c>
      <c r="H272" s="34"/>
      <c r="I272" s="34">
        <v>100</v>
      </c>
      <c r="J272" s="34" t="s">
        <v>1373</v>
      </c>
      <c r="K272" s="33"/>
      <c r="L272" s="33"/>
      <c r="M272" s="33"/>
      <c r="N272" s="33"/>
      <c r="O272" s="33"/>
      <c r="P272" s="33"/>
      <c r="Q272" s="33">
        <f>D272</f>
        <v>35000</v>
      </c>
      <c r="R272" s="33"/>
      <c r="S272" s="33"/>
      <c r="T272" s="33"/>
      <c r="U272" s="33">
        <f t="shared" si="33"/>
        <v>0</v>
      </c>
      <c r="V272" s="36"/>
      <c r="W272" s="36"/>
      <c r="X272" s="36"/>
      <c r="Y272" s="33">
        <f t="shared" si="34"/>
        <v>35000</v>
      </c>
      <c r="Z272" s="37" t="str">
        <f t="shared" si="35"/>
        <v/>
      </c>
      <c r="AA272" s="34"/>
      <c r="AB272" s="34"/>
      <c r="AC272" s="34"/>
      <c r="AD272" s="34"/>
    </row>
    <row r="273" spans="1:30" s="38" customFormat="1">
      <c r="A273" s="39" t="s">
        <v>261</v>
      </c>
      <c r="B273" s="39" t="s">
        <v>1212</v>
      </c>
      <c r="C273" s="33">
        <v>1</v>
      </c>
      <c r="D273" s="33">
        <v>2200</v>
      </c>
      <c r="E273" s="33">
        <v>0</v>
      </c>
      <c r="F273" s="33">
        <v>0</v>
      </c>
      <c r="G273" s="33">
        <f t="shared" si="36"/>
        <v>0</v>
      </c>
      <c r="H273" s="34"/>
      <c r="I273" s="34">
        <v>0</v>
      </c>
      <c r="J273" s="34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>
        <f t="shared" si="33"/>
        <v>1</v>
      </c>
      <c r="V273" s="36">
        <f>(D273/C273)*1</f>
        <v>2200</v>
      </c>
      <c r="W273" s="36"/>
      <c r="X273" s="36"/>
      <c r="Y273" s="33">
        <f t="shared" si="34"/>
        <v>2200</v>
      </c>
      <c r="Z273" s="37" t="str">
        <f t="shared" si="35"/>
        <v/>
      </c>
      <c r="AA273" s="34"/>
      <c r="AB273" s="34"/>
      <c r="AC273" s="34"/>
      <c r="AD273" s="34"/>
    </row>
    <row r="274" spans="1:30" s="38" customFormat="1">
      <c r="A274" s="39" t="s">
        <v>262</v>
      </c>
      <c r="B274" s="39" t="s">
        <v>1213</v>
      </c>
      <c r="C274" s="33">
        <v>2900</v>
      </c>
      <c r="D274" s="33">
        <v>49300</v>
      </c>
      <c r="E274" s="33">
        <v>0</v>
      </c>
      <c r="F274" s="33">
        <v>0</v>
      </c>
      <c r="G274" s="33">
        <f t="shared" si="36"/>
        <v>0</v>
      </c>
      <c r="H274" s="34"/>
      <c r="I274" s="34">
        <v>2900</v>
      </c>
      <c r="J274" s="34" t="s">
        <v>1214</v>
      </c>
      <c r="K274" s="33"/>
      <c r="L274" s="33">
        <f>(D274/C274)*2900</f>
        <v>49300</v>
      </c>
      <c r="M274" s="33"/>
      <c r="N274" s="33"/>
      <c r="O274" s="33"/>
      <c r="P274" s="33"/>
      <c r="Q274" s="33"/>
      <c r="R274" s="33"/>
      <c r="S274" s="33"/>
      <c r="T274" s="33"/>
      <c r="U274" s="33">
        <f t="shared" si="33"/>
        <v>0</v>
      </c>
      <c r="V274" s="33"/>
      <c r="W274" s="33"/>
      <c r="X274" s="33"/>
      <c r="Y274" s="33">
        <f t="shared" si="34"/>
        <v>49300</v>
      </c>
      <c r="Z274" s="37" t="str">
        <f t="shared" si="35"/>
        <v/>
      </c>
      <c r="AA274" s="34"/>
      <c r="AB274" s="34"/>
      <c r="AC274" s="34"/>
      <c r="AD274" s="34"/>
    </row>
    <row r="275" spans="1:30" s="38" customFormat="1">
      <c r="A275" s="39" t="s">
        <v>263</v>
      </c>
      <c r="B275" s="39" t="s">
        <v>1215</v>
      </c>
      <c r="C275" s="33">
        <v>500</v>
      </c>
      <c r="D275" s="33">
        <v>2500</v>
      </c>
      <c r="E275" s="33">
        <v>0</v>
      </c>
      <c r="F275" s="33">
        <v>0</v>
      </c>
      <c r="G275" s="33">
        <f t="shared" si="36"/>
        <v>0</v>
      </c>
      <c r="H275" s="34"/>
      <c r="I275" s="34">
        <v>500</v>
      </c>
      <c r="J275" s="34" t="s">
        <v>1189</v>
      </c>
      <c r="K275" s="33"/>
      <c r="L275" s="33">
        <f>(D275/C275)*500</f>
        <v>2500</v>
      </c>
      <c r="M275" s="33"/>
      <c r="N275" s="33"/>
      <c r="O275" s="33"/>
      <c r="P275" s="33"/>
      <c r="Q275" s="33"/>
      <c r="R275" s="33"/>
      <c r="S275" s="33"/>
      <c r="T275" s="33"/>
      <c r="U275" s="33">
        <f t="shared" si="33"/>
        <v>0</v>
      </c>
      <c r="V275" s="33"/>
      <c r="W275" s="33"/>
      <c r="X275" s="33"/>
      <c r="Y275" s="33">
        <f t="shared" si="34"/>
        <v>2500</v>
      </c>
      <c r="Z275" s="37" t="str">
        <f t="shared" si="35"/>
        <v/>
      </c>
      <c r="AA275" s="34"/>
      <c r="AB275" s="34"/>
      <c r="AC275" s="34"/>
      <c r="AD275" s="34"/>
    </row>
    <row r="276" spans="1:30" s="38" customFormat="1">
      <c r="A276" s="39" t="s">
        <v>264</v>
      </c>
      <c r="B276" s="39" t="s">
        <v>1216</v>
      </c>
      <c r="C276" s="33">
        <v>1</v>
      </c>
      <c r="D276" s="33">
        <v>39500</v>
      </c>
      <c r="E276" s="33">
        <v>0</v>
      </c>
      <c r="F276" s="33">
        <v>0</v>
      </c>
      <c r="G276" s="33">
        <f t="shared" si="36"/>
        <v>0</v>
      </c>
      <c r="H276" s="34"/>
      <c r="I276" s="34">
        <v>0</v>
      </c>
      <c r="J276" s="34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>
        <f t="shared" si="33"/>
        <v>1</v>
      </c>
      <c r="V276" s="36"/>
      <c r="W276" s="36">
        <f>(D276/C276)*1</f>
        <v>39500</v>
      </c>
      <c r="X276" s="36" t="s">
        <v>1077</v>
      </c>
      <c r="Y276" s="33">
        <f t="shared" si="34"/>
        <v>39500</v>
      </c>
      <c r="Z276" s="37" t="str">
        <f t="shared" si="35"/>
        <v/>
      </c>
      <c r="AA276" s="34"/>
      <c r="AB276" s="34"/>
      <c r="AC276" s="34"/>
      <c r="AD276" s="34"/>
    </row>
    <row r="277" spans="1:30" s="38" customFormat="1">
      <c r="A277" s="39" t="s">
        <v>265</v>
      </c>
      <c r="B277" s="39" t="s">
        <v>1217</v>
      </c>
      <c r="C277" s="33">
        <v>1</v>
      </c>
      <c r="D277" s="33">
        <v>10000</v>
      </c>
      <c r="E277" s="33">
        <v>0</v>
      </c>
      <c r="F277" s="33">
        <v>0</v>
      </c>
      <c r="G277" s="33">
        <f t="shared" si="36"/>
        <v>0</v>
      </c>
      <c r="H277" s="34"/>
      <c r="I277" s="34">
        <v>0</v>
      </c>
      <c r="J277" s="34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>
        <f t="shared" si="33"/>
        <v>1</v>
      </c>
      <c r="V277" s="36">
        <f>(D277/C277)*1</f>
        <v>10000</v>
      </c>
      <c r="W277" s="36"/>
      <c r="X277" s="36"/>
      <c r="Y277" s="33">
        <f t="shared" si="34"/>
        <v>10000</v>
      </c>
      <c r="Z277" s="37" t="str">
        <f t="shared" si="35"/>
        <v/>
      </c>
      <c r="AA277" s="34"/>
      <c r="AB277" s="34"/>
      <c r="AC277" s="34"/>
      <c r="AD277" s="34"/>
    </row>
    <row r="278" spans="1:30" s="38" customFormat="1">
      <c r="A278" s="39" t="s">
        <v>266</v>
      </c>
      <c r="B278" s="39" t="s">
        <v>1218</v>
      </c>
      <c r="C278" s="33">
        <v>1</v>
      </c>
      <c r="D278" s="33">
        <v>19211</v>
      </c>
      <c r="E278" s="33">
        <v>0</v>
      </c>
      <c r="F278" s="33">
        <v>0</v>
      </c>
      <c r="G278" s="33">
        <f t="shared" si="36"/>
        <v>0</v>
      </c>
      <c r="H278" s="34"/>
      <c r="I278" s="34">
        <v>0</v>
      </c>
      <c r="J278" s="34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>
        <f t="shared" si="33"/>
        <v>1</v>
      </c>
      <c r="V278" s="36"/>
      <c r="W278" s="36">
        <f>(D278/C278)*1</f>
        <v>19211</v>
      </c>
      <c r="X278" s="36" t="s">
        <v>1219</v>
      </c>
      <c r="Y278" s="33">
        <f t="shared" si="34"/>
        <v>19211</v>
      </c>
      <c r="Z278" s="37" t="str">
        <f t="shared" si="35"/>
        <v/>
      </c>
      <c r="AA278" s="34"/>
      <c r="AB278" s="34"/>
      <c r="AC278" s="34"/>
      <c r="AD278" s="34"/>
    </row>
    <row r="279" spans="1:30" s="38" customFormat="1">
      <c r="A279" s="39" t="s">
        <v>267</v>
      </c>
      <c r="B279" s="39" t="s">
        <v>1220</v>
      </c>
      <c r="C279" s="33">
        <v>1</v>
      </c>
      <c r="D279" s="33">
        <v>320</v>
      </c>
      <c r="E279" s="33">
        <v>0</v>
      </c>
      <c r="F279" s="33">
        <v>0</v>
      </c>
      <c r="G279" s="33">
        <f t="shared" si="36"/>
        <v>0</v>
      </c>
      <c r="H279" s="34"/>
      <c r="I279" s="34">
        <v>0</v>
      </c>
      <c r="J279" s="34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>
        <f t="shared" si="33"/>
        <v>1</v>
      </c>
      <c r="V279" s="36"/>
      <c r="W279" s="36">
        <f>(D279/C279)*1</f>
        <v>320</v>
      </c>
      <c r="X279" s="36" t="s">
        <v>1221</v>
      </c>
      <c r="Y279" s="33">
        <f t="shared" si="34"/>
        <v>320</v>
      </c>
      <c r="Z279" s="37" t="str">
        <f t="shared" si="35"/>
        <v/>
      </c>
      <c r="AA279" s="34"/>
      <c r="AB279" s="34"/>
      <c r="AC279" s="34"/>
      <c r="AD279" s="34"/>
    </row>
    <row r="280" spans="1:30" s="38" customFormat="1">
      <c r="A280" s="39" t="s">
        <v>268</v>
      </c>
      <c r="B280" s="39" t="s">
        <v>1222</v>
      </c>
      <c r="C280" s="33">
        <v>1</v>
      </c>
      <c r="D280" s="33">
        <v>450</v>
      </c>
      <c r="E280" s="33">
        <v>0</v>
      </c>
      <c r="F280" s="33">
        <v>0</v>
      </c>
      <c r="G280" s="33">
        <f t="shared" si="36"/>
        <v>0</v>
      </c>
      <c r="H280" s="34"/>
      <c r="I280" s="34">
        <v>0</v>
      </c>
      <c r="J280" s="34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>
        <f t="shared" si="33"/>
        <v>1</v>
      </c>
      <c r="V280" s="36"/>
      <c r="W280" s="36">
        <f>(D280/C280)*1</f>
        <v>450</v>
      </c>
      <c r="X280" s="36" t="s">
        <v>1221</v>
      </c>
      <c r="Y280" s="33">
        <f t="shared" si="34"/>
        <v>450</v>
      </c>
      <c r="Z280" s="37" t="str">
        <f t="shared" si="35"/>
        <v/>
      </c>
      <c r="AA280" s="34"/>
      <c r="AB280" s="34"/>
      <c r="AC280" s="34"/>
      <c r="AD280" s="34"/>
    </row>
    <row r="281" spans="1:30" s="38" customFormat="1">
      <c r="A281" s="39" t="s">
        <v>269</v>
      </c>
      <c r="B281" s="39" t="s">
        <v>1223</v>
      </c>
      <c r="C281" s="33">
        <v>1</v>
      </c>
      <c r="D281" s="33">
        <v>1200</v>
      </c>
      <c r="E281" s="33">
        <v>0</v>
      </c>
      <c r="F281" s="33">
        <v>0</v>
      </c>
      <c r="G281" s="33">
        <f t="shared" si="36"/>
        <v>0</v>
      </c>
      <c r="H281" s="34"/>
      <c r="I281" s="34">
        <v>1</v>
      </c>
      <c r="J281" s="34" t="s">
        <v>924</v>
      </c>
      <c r="K281" s="33"/>
      <c r="L281" s="33">
        <f>(D281/C281)*I281</f>
        <v>1200</v>
      </c>
      <c r="M281" s="33"/>
      <c r="N281" s="33"/>
      <c r="O281" s="33"/>
      <c r="P281" s="33"/>
      <c r="Q281" s="33"/>
      <c r="R281" s="33"/>
      <c r="S281" s="33"/>
      <c r="T281" s="33"/>
      <c r="U281" s="33">
        <f t="shared" si="33"/>
        <v>0</v>
      </c>
      <c r="V281" s="33"/>
      <c r="W281" s="33"/>
      <c r="X281" s="33"/>
      <c r="Y281" s="33">
        <f t="shared" si="34"/>
        <v>1200</v>
      </c>
      <c r="Z281" s="37" t="str">
        <f t="shared" si="35"/>
        <v/>
      </c>
      <c r="AA281" s="34"/>
      <c r="AB281" s="34"/>
      <c r="AC281" s="34"/>
      <c r="AD281" s="34"/>
    </row>
    <row r="282" spans="1:30" s="38" customFormat="1">
      <c r="A282" s="39" t="s">
        <v>270</v>
      </c>
      <c r="B282" s="39" t="s">
        <v>1224</v>
      </c>
      <c r="C282" s="33">
        <v>1</v>
      </c>
      <c r="D282" s="33">
        <v>9548</v>
      </c>
      <c r="E282" s="33">
        <v>0</v>
      </c>
      <c r="F282" s="33">
        <v>0</v>
      </c>
      <c r="G282" s="33">
        <f t="shared" si="36"/>
        <v>0</v>
      </c>
      <c r="H282" s="34"/>
      <c r="I282" s="34">
        <v>0</v>
      </c>
      <c r="J282" s="34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>
        <f t="shared" si="33"/>
        <v>1</v>
      </c>
      <c r="V282" s="36"/>
      <c r="W282" s="36">
        <f>(D282/C282)*1</f>
        <v>9548</v>
      </c>
      <c r="X282" s="36" t="s">
        <v>1225</v>
      </c>
      <c r="Y282" s="33">
        <f t="shared" si="34"/>
        <v>9548</v>
      </c>
      <c r="Z282" s="37" t="str">
        <f t="shared" si="35"/>
        <v/>
      </c>
      <c r="AA282" s="34"/>
      <c r="AB282" s="34"/>
      <c r="AC282" s="34"/>
      <c r="AD282" s="34"/>
    </row>
    <row r="283" spans="1:30" s="38" customFormat="1">
      <c r="A283" s="39" t="s">
        <v>271</v>
      </c>
      <c r="B283" s="39" t="s">
        <v>1226</v>
      </c>
      <c r="C283" s="33">
        <v>3</v>
      </c>
      <c r="D283" s="33">
        <v>424675</v>
      </c>
      <c r="E283" s="33">
        <v>0</v>
      </c>
      <c r="F283" s="33">
        <v>0</v>
      </c>
      <c r="G283" s="33">
        <f t="shared" si="36"/>
        <v>0</v>
      </c>
      <c r="H283" s="34"/>
      <c r="I283" s="34">
        <v>0</v>
      </c>
      <c r="J283" s="34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>
        <f t="shared" si="33"/>
        <v>3</v>
      </c>
      <c r="V283" s="36"/>
      <c r="W283" s="36">
        <f>(D283/C283)*3</f>
        <v>424675</v>
      </c>
      <c r="X283" s="36" t="s">
        <v>1073</v>
      </c>
      <c r="Y283" s="33">
        <f t="shared" si="34"/>
        <v>424675</v>
      </c>
      <c r="Z283" s="37" t="str">
        <f t="shared" si="35"/>
        <v/>
      </c>
      <c r="AA283" s="34"/>
      <c r="AB283" s="34"/>
      <c r="AC283" s="34"/>
      <c r="AD283" s="34"/>
    </row>
    <row r="284" spans="1:30" s="38" customFormat="1">
      <c r="A284" s="39"/>
      <c r="B284" s="39"/>
      <c r="C284" s="33"/>
      <c r="D284" s="33"/>
      <c r="E284" s="33"/>
      <c r="F284" s="33"/>
      <c r="G284" s="33"/>
      <c r="H284" s="34"/>
      <c r="I284" s="34"/>
      <c r="J284" s="34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7"/>
      <c r="AA284" s="34"/>
      <c r="AB284" s="34"/>
      <c r="AC284" s="34"/>
      <c r="AD284" s="34"/>
    </row>
    <row r="285" spans="1:30" s="38" customFormat="1">
      <c r="A285" s="39"/>
      <c r="B285" s="39"/>
      <c r="C285" s="33"/>
      <c r="D285" s="33"/>
      <c r="E285" s="33"/>
      <c r="F285" s="33"/>
      <c r="G285" s="33"/>
      <c r="H285" s="34"/>
      <c r="I285" s="34"/>
      <c r="J285" s="34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7"/>
      <c r="AA285" s="34"/>
      <c r="AB285" s="34"/>
      <c r="AC285" s="34"/>
      <c r="AD285" s="34"/>
    </row>
    <row r="286" spans="1:30" s="38" customFormat="1">
      <c r="A286" s="39"/>
      <c r="B286" s="39"/>
      <c r="C286" s="33"/>
      <c r="D286" s="33"/>
      <c r="E286" s="33"/>
      <c r="F286" s="33"/>
      <c r="G286" s="33"/>
      <c r="H286" s="34"/>
      <c r="I286" s="34"/>
      <c r="J286" s="34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7"/>
      <c r="AA286" s="34"/>
      <c r="AB286" s="34"/>
      <c r="AC286" s="34"/>
      <c r="AD286" s="34"/>
    </row>
    <row r="287" spans="1:30" s="38" customFormat="1">
      <c r="A287" s="39"/>
      <c r="B287" s="39"/>
      <c r="C287" s="33"/>
      <c r="D287" s="33"/>
      <c r="E287" s="33"/>
      <c r="F287" s="33"/>
      <c r="G287" s="33"/>
      <c r="H287" s="34"/>
      <c r="I287" s="34"/>
      <c r="J287" s="34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7"/>
      <c r="AA287" s="34"/>
      <c r="AB287" s="34"/>
      <c r="AC287" s="34"/>
      <c r="AD287" s="34"/>
    </row>
    <row r="288" spans="1:30" s="38" customFormat="1">
      <c r="A288" s="39"/>
      <c r="B288" s="39"/>
      <c r="C288" s="33"/>
      <c r="D288" s="33"/>
      <c r="E288" s="33"/>
      <c r="F288" s="33"/>
      <c r="G288" s="33"/>
      <c r="H288" s="34"/>
      <c r="I288" s="34"/>
      <c r="J288" s="34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7"/>
      <c r="AA288" s="34"/>
      <c r="AB288" s="34"/>
      <c r="AC288" s="34"/>
      <c r="AD288" s="34"/>
    </row>
    <row r="289" spans="1:30" s="38" customFormat="1">
      <c r="A289" s="39"/>
      <c r="B289" s="39"/>
      <c r="C289" s="33"/>
      <c r="D289" s="33"/>
      <c r="E289" s="33"/>
      <c r="F289" s="33"/>
      <c r="G289" s="33"/>
      <c r="H289" s="34"/>
      <c r="I289" s="34"/>
      <c r="J289" s="34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7"/>
      <c r="AA289" s="34"/>
      <c r="AB289" s="34"/>
      <c r="AC289" s="34"/>
      <c r="AD289" s="34"/>
    </row>
    <row r="290" spans="1:30" s="38" customFormat="1">
      <c r="A290" s="39"/>
      <c r="B290" s="39"/>
      <c r="C290" s="33"/>
      <c r="D290" s="33"/>
      <c r="E290" s="33"/>
      <c r="F290" s="33"/>
      <c r="G290" s="33"/>
      <c r="H290" s="34"/>
      <c r="I290" s="34"/>
      <c r="J290" s="34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7"/>
      <c r="AA290" s="34"/>
      <c r="AB290" s="34"/>
      <c r="AC290" s="34"/>
      <c r="AD290" s="34"/>
    </row>
    <row r="291" spans="1:30" s="38" customFormat="1">
      <c r="A291" s="39"/>
      <c r="B291" s="39"/>
      <c r="C291" s="33"/>
      <c r="D291" s="33"/>
      <c r="E291" s="33"/>
      <c r="F291" s="33"/>
      <c r="G291" s="33"/>
      <c r="H291" s="34"/>
      <c r="I291" s="34"/>
      <c r="J291" s="34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7"/>
      <c r="AA291" s="34"/>
      <c r="AB291" s="34"/>
      <c r="AC291" s="34"/>
      <c r="AD291" s="34"/>
    </row>
    <row r="292" spans="1:30" s="38" customFormat="1">
      <c r="A292" s="39"/>
      <c r="B292" s="39"/>
      <c r="C292" s="33"/>
      <c r="D292" s="33"/>
      <c r="E292" s="33"/>
      <c r="F292" s="33"/>
      <c r="G292" s="33"/>
      <c r="H292" s="34"/>
      <c r="I292" s="34"/>
      <c r="J292" s="34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7"/>
      <c r="AA292" s="34"/>
      <c r="AB292" s="34"/>
      <c r="AC292" s="34"/>
      <c r="AD292" s="34"/>
    </row>
    <row r="293" spans="1:30" s="38" customFormat="1">
      <c r="A293" s="39"/>
      <c r="B293" s="39"/>
      <c r="C293" s="33"/>
      <c r="D293" s="33"/>
      <c r="E293" s="33"/>
      <c r="F293" s="33"/>
      <c r="G293" s="33"/>
      <c r="H293" s="34"/>
      <c r="I293" s="34"/>
      <c r="J293" s="34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7"/>
      <c r="AA293" s="34"/>
      <c r="AB293" s="34"/>
      <c r="AC293" s="34"/>
      <c r="AD293" s="34"/>
    </row>
    <row r="294" spans="1:30" s="38" customFormat="1">
      <c r="A294" s="39"/>
      <c r="B294" s="39"/>
      <c r="C294" s="33"/>
      <c r="D294" s="33"/>
      <c r="E294" s="33"/>
      <c r="F294" s="33"/>
      <c r="G294" s="33"/>
      <c r="H294" s="34"/>
      <c r="I294" s="34"/>
      <c r="J294" s="34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7"/>
      <c r="AA294" s="34"/>
      <c r="AB294" s="34"/>
      <c r="AC294" s="34"/>
      <c r="AD294" s="34"/>
    </row>
    <row r="295" spans="1:30" s="38" customFormat="1">
      <c r="A295" s="39"/>
      <c r="B295" s="39"/>
      <c r="C295" s="33"/>
      <c r="D295" s="33"/>
      <c r="E295" s="33"/>
      <c r="F295" s="33"/>
      <c r="G295" s="33"/>
      <c r="H295" s="34"/>
      <c r="I295" s="34"/>
      <c r="J295" s="34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7"/>
      <c r="AA295" s="34"/>
      <c r="AB295" s="34"/>
      <c r="AC295" s="34"/>
      <c r="AD295" s="34"/>
    </row>
    <row r="296" spans="1:30" s="38" customFormat="1">
      <c r="A296" s="39"/>
      <c r="B296" s="39"/>
      <c r="C296" s="33"/>
      <c r="D296" s="33"/>
      <c r="E296" s="33"/>
      <c r="F296" s="33"/>
      <c r="G296" s="33"/>
      <c r="H296" s="34"/>
      <c r="I296" s="34"/>
      <c r="J296" s="34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7"/>
      <c r="AA296" s="34"/>
      <c r="AB296" s="34"/>
      <c r="AC296" s="34"/>
      <c r="AD296" s="34"/>
    </row>
    <row r="297" spans="1:30" s="38" customFormat="1">
      <c r="A297" s="39"/>
      <c r="B297" s="39"/>
      <c r="C297" s="33"/>
      <c r="D297" s="33"/>
      <c r="E297" s="33"/>
      <c r="F297" s="33"/>
      <c r="G297" s="33"/>
      <c r="H297" s="34"/>
      <c r="I297" s="34"/>
      <c r="J297" s="34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7"/>
      <c r="AA297" s="34"/>
      <c r="AB297" s="34"/>
      <c r="AC297" s="34"/>
      <c r="AD297" s="34"/>
    </row>
    <row r="298" spans="1:30" s="38" customFormat="1">
      <c r="A298" s="39"/>
      <c r="B298" s="39"/>
      <c r="C298" s="33"/>
      <c r="D298" s="33"/>
      <c r="E298" s="33"/>
      <c r="F298" s="33"/>
      <c r="G298" s="33"/>
      <c r="H298" s="34"/>
      <c r="I298" s="34"/>
      <c r="J298" s="34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7"/>
      <c r="AA298" s="34"/>
      <c r="AB298" s="34"/>
      <c r="AC298" s="34"/>
      <c r="AD298" s="34"/>
    </row>
    <row r="299" spans="1:30" s="38" customFormat="1">
      <c r="A299" s="39"/>
      <c r="B299" s="39"/>
      <c r="C299" s="33"/>
      <c r="D299" s="33"/>
      <c r="E299" s="33"/>
      <c r="F299" s="33"/>
      <c r="G299" s="33"/>
      <c r="H299" s="34"/>
      <c r="I299" s="34"/>
      <c r="J299" s="34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7"/>
      <c r="AA299" s="34"/>
      <c r="AB299" s="34"/>
      <c r="AC299" s="34"/>
      <c r="AD299" s="34"/>
    </row>
    <row r="300" spans="1:30" s="38" customFormat="1">
      <c r="A300" s="39"/>
      <c r="B300" s="39"/>
      <c r="C300" s="33"/>
      <c r="D300" s="33"/>
      <c r="E300" s="33"/>
      <c r="F300" s="33"/>
      <c r="G300" s="33"/>
      <c r="H300" s="34"/>
      <c r="I300" s="34"/>
      <c r="J300" s="34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7"/>
      <c r="AA300" s="34"/>
      <c r="AB300" s="34"/>
      <c r="AC300" s="34"/>
      <c r="AD300" s="34"/>
    </row>
    <row r="301" spans="1:30" s="38" customFormat="1">
      <c r="A301" s="39"/>
      <c r="B301" s="39"/>
      <c r="C301" s="33"/>
      <c r="D301" s="33"/>
      <c r="E301" s="33"/>
      <c r="F301" s="33"/>
      <c r="G301" s="33"/>
      <c r="H301" s="34"/>
      <c r="I301" s="34"/>
      <c r="J301" s="34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7"/>
      <c r="AA301" s="34"/>
      <c r="AB301" s="34"/>
      <c r="AC301" s="34"/>
      <c r="AD301" s="34"/>
    </row>
    <row r="302" spans="1:30" s="38" customFormat="1">
      <c r="A302" s="39"/>
      <c r="B302" s="39"/>
      <c r="C302" s="33"/>
      <c r="D302" s="33"/>
      <c r="E302" s="33"/>
      <c r="F302" s="33"/>
      <c r="G302" s="33"/>
      <c r="H302" s="34"/>
      <c r="I302" s="34"/>
      <c r="J302" s="34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7"/>
      <c r="AA302" s="34"/>
      <c r="AB302" s="34"/>
      <c r="AC302" s="34"/>
      <c r="AD302" s="34"/>
    </row>
    <row r="303" spans="1:30" s="38" customFormat="1">
      <c r="A303" s="39"/>
      <c r="B303" s="39"/>
      <c r="C303" s="33"/>
      <c r="D303" s="33"/>
      <c r="E303" s="33"/>
      <c r="F303" s="33"/>
      <c r="G303" s="33"/>
      <c r="H303" s="34"/>
      <c r="I303" s="34"/>
      <c r="J303" s="34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7"/>
      <c r="AA303" s="34"/>
      <c r="AB303" s="34"/>
      <c r="AC303" s="34"/>
      <c r="AD303" s="34"/>
    </row>
    <row r="304" spans="1:30" s="38" customFormat="1">
      <c r="A304" s="39"/>
      <c r="B304" s="39"/>
      <c r="C304" s="33"/>
      <c r="D304" s="33"/>
      <c r="E304" s="33"/>
      <c r="F304" s="33"/>
      <c r="G304" s="33"/>
      <c r="H304" s="34"/>
      <c r="I304" s="34"/>
      <c r="J304" s="34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7"/>
      <c r="AA304" s="34"/>
      <c r="AB304" s="34"/>
      <c r="AC304" s="34"/>
      <c r="AD304" s="34"/>
    </row>
    <row r="305" spans="1:30" s="38" customFormat="1">
      <c r="A305" s="39"/>
      <c r="B305" s="39"/>
      <c r="C305" s="33"/>
      <c r="D305" s="33"/>
      <c r="E305" s="33"/>
      <c r="F305" s="33"/>
      <c r="G305" s="33"/>
      <c r="H305" s="34"/>
      <c r="I305" s="34"/>
      <c r="J305" s="34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7"/>
      <c r="AA305" s="34"/>
      <c r="AB305" s="34"/>
      <c r="AC305" s="34"/>
      <c r="AD305" s="34"/>
    </row>
    <row r="306" spans="1:30" s="38" customFormat="1">
      <c r="A306" s="39"/>
      <c r="B306" s="39"/>
      <c r="C306" s="33"/>
      <c r="D306" s="33"/>
      <c r="E306" s="33"/>
      <c r="F306" s="33"/>
      <c r="G306" s="33"/>
      <c r="H306" s="34"/>
      <c r="I306" s="34"/>
      <c r="J306" s="34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7"/>
      <c r="AA306" s="34"/>
      <c r="AB306" s="34"/>
      <c r="AC306" s="34"/>
      <c r="AD306" s="34"/>
    </row>
    <row r="307" spans="1:30" s="38" customFormat="1">
      <c r="A307" s="39"/>
      <c r="B307" s="39"/>
      <c r="C307" s="33"/>
      <c r="D307" s="33"/>
      <c r="E307" s="33"/>
      <c r="F307" s="33"/>
      <c r="G307" s="33"/>
      <c r="H307" s="34"/>
      <c r="I307" s="34"/>
      <c r="J307" s="34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7"/>
      <c r="AA307" s="34"/>
      <c r="AB307" s="34"/>
      <c r="AC307" s="34"/>
      <c r="AD307" s="34"/>
    </row>
    <row r="308" spans="1:30" s="38" customFormat="1">
      <c r="A308" s="39"/>
      <c r="B308" s="39"/>
      <c r="C308" s="33"/>
      <c r="D308" s="33"/>
      <c r="E308" s="33"/>
      <c r="F308" s="33"/>
      <c r="G308" s="33"/>
      <c r="H308" s="34"/>
      <c r="I308" s="34"/>
      <c r="J308" s="34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7"/>
      <c r="AA308" s="34"/>
      <c r="AB308" s="34"/>
      <c r="AC308" s="34"/>
      <c r="AD308" s="34"/>
    </row>
    <row r="309" spans="1:30" s="38" customFormat="1">
      <c r="A309" s="39"/>
      <c r="B309" s="39"/>
      <c r="C309" s="33"/>
      <c r="D309" s="33"/>
      <c r="E309" s="33"/>
      <c r="F309" s="33"/>
      <c r="G309" s="33"/>
      <c r="H309" s="34"/>
      <c r="I309" s="34"/>
      <c r="J309" s="34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7"/>
      <c r="AA309" s="34"/>
      <c r="AB309" s="34"/>
      <c r="AC309" s="34"/>
      <c r="AD309" s="34"/>
    </row>
    <row r="310" spans="1:30" s="38" customFormat="1">
      <c r="A310" s="39"/>
      <c r="B310" s="39"/>
      <c r="C310" s="33"/>
      <c r="D310" s="33"/>
      <c r="E310" s="33"/>
      <c r="F310" s="33"/>
      <c r="G310" s="33"/>
      <c r="H310" s="34"/>
      <c r="I310" s="34"/>
      <c r="J310" s="34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7"/>
      <c r="AA310" s="34"/>
      <c r="AB310" s="34"/>
      <c r="AC310" s="34"/>
      <c r="AD310" s="34"/>
    </row>
    <row r="311" spans="1:30" s="38" customFormat="1">
      <c r="A311" s="39"/>
      <c r="B311" s="39"/>
      <c r="C311" s="33"/>
      <c r="D311" s="33"/>
      <c r="E311" s="33"/>
      <c r="F311" s="33"/>
      <c r="G311" s="33"/>
      <c r="H311" s="34"/>
      <c r="I311" s="34"/>
      <c r="J311" s="34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7"/>
      <c r="AA311" s="34"/>
      <c r="AB311" s="34"/>
      <c r="AC311" s="34"/>
      <c r="AD311" s="34"/>
    </row>
    <row r="312" spans="1:30" s="38" customFormat="1">
      <c r="A312" s="39"/>
      <c r="B312" s="39"/>
      <c r="C312" s="33"/>
      <c r="D312" s="33"/>
      <c r="E312" s="33"/>
      <c r="F312" s="33"/>
      <c r="G312" s="33"/>
      <c r="H312" s="34"/>
      <c r="I312" s="34"/>
      <c r="J312" s="34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7"/>
      <c r="AA312" s="34"/>
      <c r="AB312" s="34"/>
      <c r="AC312" s="34"/>
      <c r="AD312" s="34"/>
    </row>
    <row r="313" spans="1:30" s="38" customFormat="1">
      <c r="A313" s="39"/>
      <c r="B313" s="39"/>
      <c r="C313" s="33"/>
      <c r="D313" s="33"/>
      <c r="E313" s="33"/>
      <c r="F313" s="33"/>
      <c r="G313" s="33"/>
      <c r="H313" s="34"/>
      <c r="I313" s="34"/>
      <c r="J313" s="34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7"/>
      <c r="AA313" s="34"/>
      <c r="AB313" s="34"/>
      <c r="AC313" s="34"/>
      <c r="AD313" s="34"/>
    </row>
    <row r="314" spans="1:30" s="38" customFormat="1">
      <c r="A314" s="39"/>
      <c r="B314" s="39"/>
      <c r="C314" s="33"/>
      <c r="D314" s="33"/>
      <c r="E314" s="33"/>
      <c r="F314" s="33"/>
      <c r="G314" s="33"/>
      <c r="H314" s="34"/>
      <c r="I314" s="34"/>
      <c r="J314" s="34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7"/>
      <c r="AA314" s="34"/>
      <c r="AB314" s="34"/>
      <c r="AC314" s="34"/>
      <c r="AD314" s="34"/>
    </row>
    <row r="315" spans="1:30" s="38" customFormat="1">
      <c r="A315" s="39"/>
      <c r="B315" s="39"/>
      <c r="C315" s="33"/>
      <c r="D315" s="33"/>
      <c r="E315" s="33"/>
      <c r="F315" s="33"/>
      <c r="G315" s="33"/>
      <c r="H315" s="34"/>
      <c r="I315" s="34"/>
      <c r="J315" s="34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7"/>
      <c r="AA315" s="34"/>
      <c r="AB315" s="34"/>
      <c r="AC315" s="34"/>
      <c r="AD315" s="34"/>
    </row>
    <row r="316" spans="1:30" s="38" customFormat="1">
      <c r="A316" s="39"/>
      <c r="B316" s="39"/>
      <c r="C316" s="33"/>
      <c r="D316" s="33"/>
      <c r="E316" s="33"/>
      <c r="F316" s="33"/>
      <c r="G316" s="33"/>
      <c r="H316" s="34"/>
      <c r="I316" s="34"/>
      <c r="J316" s="34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7"/>
      <c r="AA316" s="34"/>
      <c r="AB316" s="34"/>
      <c r="AC316" s="34"/>
      <c r="AD316" s="34"/>
    </row>
    <row r="317" spans="1:30" s="38" customFormat="1">
      <c r="A317" s="39"/>
      <c r="B317" s="39"/>
      <c r="C317" s="33"/>
      <c r="D317" s="33"/>
      <c r="E317" s="33"/>
      <c r="F317" s="33"/>
      <c r="G317" s="33"/>
      <c r="H317" s="34"/>
      <c r="I317" s="34"/>
      <c r="J317" s="34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7"/>
      <c r="AA317" s="34"/>
      <c r="AB317" s="34"/>
      <c r="AC317" s="34"/>
      <c r="AD317" s="34"/>
    </row>
    <row r="318" spans="1:30" s="38" customFormat="1">
      <c r="A318" s="39"/>
      <c r="B318" s="39"/>
      <c r="C318" s="33"/>
      <c r="D318" s="33"/>
      <c r="E318" s="33"/>
      <c r="F318" s="33"/>
      <c r="G318" s="33"/>
      <c r="H318" s="34"/>
      <c r="I318" s="34"/>
      <c r="J318" s="34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7"/>
      <c r="AA318" s="34"/>
      <c r="AB318" s="34"/>
      <c r="AC318" s="34"/>
      <c r="AD318" s="34"/>
    </row>
    <row r="319" spans="1:30" s="38" customFormat="1">
      <c r="A319" s="39"/>
      <c r="B319" s="39"/>
      <c r="C319" s="33"/>
      <c r="D319" s="33"/>
      <c r="E319" s="33"/>
      <c r="F319" s="33"/>
      <c r="G319" s="33"/>
      <c r="H319" s="34"/>
      <c r="I319" s="34"/>
      <c r="J319" s="34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7"/>
      <c r="AA319" s="34"/>
      <c r="AB319" s="34"/>
      <c r="AC319" s="34"/>
      <c r="AD319" s="34"/>
    </row>
    <row r="320" spans="1:30" s="38" customFormat="1">
      <c r="A320" s="39"/>
      <c r="B320" s="39"/>
      <c r="C320" s="33"/>
      <c r="D320" s="33"/>
      <c r="E320" s="33"/>
      <c r="F320" s="33"/>
      <c r="G320" s="33"/>
      <c r="H320" s="34"/>
      <c r="I320" s="34"/>
      <c r="J320" s="34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7"/>
      <c r="AA320" s="34"/>
      <c r="AB320" s="34"/>
      <c r="AC320" s="34"/>
      <c r="AD320" s="34"/>
    </row>
    <row r="321" spans="1:30" s="38" customFormat="1">
      <c r="A321" s="39"/>
      <c r="B321" s="39"/>
      <c r="C321" s="33"/>
      <c r="D321" s="33"/>
      <c r="E321" s="33"/>
      <c r="F321" s="33"/>
      <c r="G321" s="33"/>
      <c r="H321" s="34"/>
      <c r="I321" s="34"/>
      <c r="J321" s="34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7"/>
      <c r="AA321" s="34"/>
      <c r="AB321" s="34"/>
      <c r="AC321" s="34"/>
      <c r="AD321" s="34"/>
    </row>
    <row r="322" spans="1:30" s="38" customFormat="1">
      <c r="A322" s="39"/>
      <c r="B322" s="39"/>
      <c r="C322" s="33"/>
      <c r="D322" s="33"/>
      <c r="E322" s="33"/>
      <c r="F322" s="33"/>
      <c r="G322" s="33"/>
      <c r="H322" s="34"/>
      <c r="I322" s="34"/>
      <c r="J322" s="34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7"/>
      <c r="AA322" s="34"/>
      <c r="AB322" s="34"/>
      <c r="AC322" s="34"/>
      <c r="AD322" s="34"/>
    </row>
    <row r="323" spans="1:30" s="38" customFormat="1">
      <c r="A323" s="39"/>
      <c r="B323" s="39"/>
      <c r="C323" s="33"/>
      <c r="D323" s="33"/>
      <c r="E323" s="33"/>
      <c r="F323" s="33"/>
      <c r="G323" s="33"/>
      <c r="H323" s="34"/>
      <c r="I323" s="34"/>
      <c r="J323" s="34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7"/>
      <c r="AA323" s="34"/>
      <c r="AB323" s="34"/>
      <c r="AC323" s="34"/>
      <c r="AD323" s="34"/>
    </row>
    <row r="324" spans="1:30" s="38" customFormat="1">
      <c r="A324" s="39"/>
      <c r="B324" s="39"/>
      <c r="C324" s="33"/>
      <c r="D324" s="33"/>
      <c r="E324" s="33"/>
      <c r="F324" s="33"/>
      <c r="G324" s="33"/>
      <c r="H324" s="34"/>
      <c r="I324" s="34"/>
      <c r="J324" s="34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7"/>
      <c r="AA324" s="34"/>
      <c r="AB324" s="34"/>
      <c r="AC324" s="34"/>
      <c r="AD324" s="34"/>
    </row>
    <row r="325" spans="1:30" s="38" customFormat="1">
      <c r="A325" s="39"/>
      <c r="B325" s="39"/>
      <c r="C325" s="33"/>
      <c r="D325" s="33"/>
      <c r="E325" s="33"/>
      <c r="F325" s="33"/>
      <c r="G325" s="33"/>
      <c r="H325" s="34"/>
      <c r="I325" s="34"/>
      <c r="J325" s="34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7"/>
      <c r="AA325" s="34"/>
      <c r="AB325" s="34"/>
      <c r="AC325" s="34"/>
      <c r="AD325" s="34"/>
    </row>
    <row r="326" spans="1:30" s="38" customFormat="1">
      <c r="A326" s="39"/>
      <c r="B326" s="39"/>
      <c r="C326" s="33"/>
      <c r="D326" s="33"/>
      <c r="E326" s="33"/>
      <c r="F326" s="33"/>
      <c r="G326" s="33"/>
      <c r="H326" s="34"/>
      <c r="I326" s="34"/>
      <c r="J326" s="34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7"/>
      <c r="AA326" s="34"/>
      <c r="AB326" s="34"/>
      <c r="AC326" s="34"/>
      <c r="AD326" s="34"/>
    </row>
    <row r="327" spans="1:30" s="38" customFormat="1">
      <c r="A327" s="39"/>
      <c r="B327" s="39"/>
      <c r="C327" s="33"/>
      <c r="D327" s="33"/>
      <c r="E327" s="33"/>
      <c r="F327" s="33"/>
      <c r="G327" s="33"/>
      <c r="H327" s="34"/>
      <c r="I327" s="34"/>
      <c r="J327" s="34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7"/>
      <c r="AA327" s="34"/>
      <c r="AB327" s="34"/>
      <c r="AC327" s="34"/>
      <c r="AD327" s="34"/>
    </row>
    <row r="328" spans="1:30" s="38" customFormat="1">
      <c r="A328" s="39"/>
      <c r="B328" s="39"/>
      <c r="C328" s="33"/>
      <c r="D328" s="33"/>
      <c r="E328" s="33"/>
      <c r="F328" s="33"/>
      <c r="G328" s="33"/>
      <c r="H328" s="34"/>
      <c r="I328" s="34"/>
      <c r="J328" s="34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7"/>
      <c r="AA328" s="34"/>
      <c r="AB328" s="34"/>
      <c r="AC328" s="34"/>
      <c r="AD328" s="34"/>
    </row>
    <row r="329" spans="1:30" s="38" customFormat="1">
      <c r="A329" s="39"/>
      <c r="B329" s="39"/>
      <c r="C329" s="33"/>
      <c r="D329" s="33"/>
      <c r="E329" s="33"/>
      <c r="F329" s="33"/>
      <c r="G329" s="33"/>
      <c r="H329" s="34"/>
      <c r="I329" s="34"/>
      <c r="J329" s="34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7"/>
      <c r="AA329" s="34"/>
      <c r="AB329" s="34"/>
      <c r="AC329" s="34"/>
      <c r="AD329" s="34"/>
    </row>
    <row r="330" spans="1:30" s="38" customFormat="1">
      <c r="A330" s="39"/>
      <c r="B330" s="39"/>
      <c r="C330" s="33"/>
      <c r="D330" s="33"/>
      <c r="E330" s="33"/>
      <c r="F330" s="33"/>
      <c r="G330" s="33"/>
      <c r="H330" s="34"/>
      <c r="I330" s="34"/>
      <c r="J330" s="34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7"/>
      <c r="AA330" s="34"/>
      <c r="AB330" s="34"/>
      <c r="AC330" s="34"/>
      <c r="AD330" s="34"/>
    </row>
    <row r="331" spans="1:30" s="38" customFormat="1">
      <c r="A331" s="39"/>
      <c r="B331" s="39"/>
      <c r="C331" s="33"/>
      <c r="D331" s="33"/>
      <c r="E331" s="33"/>
      <c r="F331" s="33"/>
      <c r="G331" s="33"/>
      <c r="H331" s="34"/>
      <c r="I331" s="34"/>
      <c r="J331" s="34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7"/>
      <c r="AA331" s="34"/>
      <c r="AB331" s="34"/>
      <c r="AC331" s="34"/>
      <c r="AD331" s="34"/>
    </row>
    <row r="332" spans="1:30" s="38" customFormat="1">
      <c r="A332" s="39"/>
      <c r="B332" s="39"/>
      <c r="C332" s="33"/>
      <c r="D332" s="33"/>
      <c r="E332" s="33"/>
      <c r="F332" s="33"/>
      <c r="G332" s="33"/>
      <c r="H332" s="34"/>
      <c r="I332" s="34"/>
      <c r="J332" s="34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7"/>
      <c r="AA332" s="34"/>
      <c r="AB332" s="34"/>
      <c r="AC332" s="34"/>
      <c r="AD332" s="34"/>
    </row>
    <row r="333" spans="1:30" s="38" customFormat="1">
      <c r="A333" s="39"/>
      <c r="B333" s="39"/>
      <c r="C333" s="33"/>
      <c r="D333" s="33"/>
      <c r="E333" s="33"/>
      <c r="F333" s="33"/>
      <c r="G333" s="33"/>
      <c r="H333" s="34"/>
      <c r="I333" s="34"/>
      <c r="J333" s="34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7"/>
      <c r="AA333" s="34"/>
      <c r="AB333" s="34"/>
      <c r="AC333" s="34"/>
      <c r="AD333" s="34"/>
    </row>
    <row r="334" spans="1:30" s="38" customFormat="1">
      <c r="A334" s="39"/>
      <c r="B334" s="39"/>
      <c r="C334" s="33"/>
      <c r="D334" s="33"/>
      <c r="E334" s="33"/>
      <c r="F334" s="33"/>
      <c r="G334" s="33"/>
      <c r="H334" s="34"/>
      <c r="I334" s="34"/>
      <c r="J334" s="34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7"/>
      <c r="AA334" s="34"/>
      <c r="AB334" s="34"/>
      <c r="AC334" s="34"/>
      <c r="AD334" s="34"/>
    </row>
    <row r="335" spans="1:30" s="38" customFormat="1">
      <c r="A335" s="39"/>
      <c r="B335" s="39"/>
      <c r="C335" s="33"/>
      <c r="D335" s="33"/>
      <c r="E335" s="33"/>
      <c r="F335" s="33"/>
      <c r="G335" s="33"/>
      <c r="H335" s="34"/>
      <c r="I335" s="34"/>
      <c r="J335" s="34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7"/>
      <c r="AA335" s="34"/>
      <c r="AB335" s="34"/>
      <c r="AC335" s="34"/>
      <c r="AD335" s="34"/>
    </row>
    <row r="336" spans="1:30" s="38" customFormat="1">
      <c r="A336" s="39"/>
      <c r="B336" s="39"/>
      <c r="C336" s="33"/>
      <c r="D336" s="33"/>
      <c r="E336" s="33"/>
      <c r="F336" s="33"/>
      <c r="G336" s="33"/>
      <c r="H336" s="34"/>
      <c r="I336" s="34"/>
      <c r="J336" s="34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7"/>
      <c r="AA336" s="34"/>
      <c r="AB336" s="34"/>
      <c r="AC336" s="34"/>
      <c r="AD336" s="34"/>
    </row>
    <row r="337" spans="1:30" s="38" customFormat="1">
      <c r="A337" s="39"/>
      <c r="B337" s="39"/>
      <c r="C337" s="33"/>
      <c r="D337" s="33"/>
      <c r="E337" s="33"/>
      <c r="F337" s="33"/>
      <c r="G337" s="33"/>
      <c r="H337" s="34"/>
      <c r="I337" s="34"/>
      <c r="J337" s="34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7"/>
      <c r="AA337" s="34"/>
      <c r="AB337" s="34"/>
      <c r="AC337" s="34"/>
      <c r="AD337" s="34"/>
    </row>
    <row r="338" spans="1:30" s="38" customFormat="1">
      <c r="A338" s="39"/>
      <c r="B338" s="39"/>
      <c r="C338" s="33"/>
      <c r="D338" s="33"/>
      <c r="E338" s="33"/>
      <c r="F338" s="33"/>
      <c r="G338" s="33"/>
      <c r="H338" s="34"/>
      <c r="I338" s="34"/>
      <c r="J338" s="34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7"/>
      <c r="AA338" s="34"/>
      <c r="AB338" s="34"/>
      <c r="AC338" s="34"/>
      <c r="AD338" s="34"/>
    </row>
  </sheetData>
  <sortState xmlns:xlrd2="http://schemas.microsoft.com/office/spreadsheetml/2017/richdata2" ref="A4:AD283">
    <sortCondition ref="A4:A283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38"/>
  <sheetViews>
    <sheetView topLeftCell="A2" workbookViewId="0">
      <pane ySplit="1" topLeftCell="A312" activePane="bottomLeft" state="frozen"/>
      <selection activeCell="A2" sqref="A2"/>
      <selection pane="bottomLeft" activeCell="A316" sqref="A316"/>
    </sheetView>
  </sheetViews>
  <sheetFormatPr defaultRowHeight="15.75"/>
  <cols>
    <col min="1" max="1" width="6.5" style="101" customWidth="1"/>
    <col min="2" max="2" width="28.25" style="101" customWidth="1"/>
    <col min="3" max="3" width="59.125" style="101" customWidth="1"/>
    <col min="4" max="4" width="12.25" style="102" customWidth="1"/>
    <col min="5" max="5" width="6.75" style="103" customWidth="1"/>
    <col min="6" max="7" width="5.75" style="101" customWidth="1"/>
    <col min="8" max="8" width="12" style="102" customWidth="1"/>
    <col min="9" max="9" width="11.625" style="102" bestFit="1" customWidth="1"/>
    <col min="10" max="10" width="9" style="103" customWidth="1"/>
    <col min="11" max="11" width="12.875" style="102" bestFit="1" customWidth="1"/>
    <col min="12" max="12" width="13" style="104" customWidth="1"/>
    <col min="13" max="13" width="11.875" style="102" customWidth="1"/>
    <col min="14" max="18" width="9" style="101"/>
    <col min="19" max="20" width="9.25" style="101" customWidth="1"/>
    <col min="21" max="16384" width="9" style="101"/>
  </cols>
  <sheetData>
    <row r="1" spans="1:27" s="64" customFormat="1" hidden="1">
      <c r="A1" s="56" t="s">
        <v>1379</v>
      </c>
      <c r="B1" s="56"/>
      <c r="C1" s="56"/>
      <c r="D1" s="57"/>
      <c r="E1" s="58"/>
      <c r="F1" s="56"/>
      <c r="G1" s="56"/>
      <c r="H1" s="59"/>
      <c r="I1" s="57"/>
      <c r="J1" s="58"/>
      <c r="K1" s="57"/>
      <c r="L1" s="60"/>
      <c r="M1" s="57"/>
      <c r="N1" s="61"/>
      <c r="O1" s="62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s="64" customFormat="1" ht="30.75" customHeight="1">
      <c r="A2" s="65" t="s">
        <v>1380</v>
      </c>
      <c r="B2" s="66" t="s">
        <v>1381</v>
      </c>
      <c r="C2" s="67" t="s">
        <v>1382</v>
      </c>
      <c r="D2" s="68" t="s">
        <v>1383</v>
      </c>
      <c r="E2" s="69" t="s">
        <v>1384</v>
      </c>
      <c r="F2" s="70" t="s">
        <v>1385</v>
      </c>
      <c r="G2" s="70" t="s">
        <v>1386</v>
      </c>
      <c r="H2" s="71" t="s">
        <v>1387</v>
      </c>
      <c r="I2" s="66" t="s">
        <v>1388</v>
      </c>
      <c r="J2" s="72" t="s">
        <v>1389</v>
      </c>
      <c r="K2" s="66" t="s">
        <v>1390</v>
      </c>
      <c r="L2" s="73" t="s">
        <v>1391</v>
      </c>
      <c r="M2" s="74" t="s">
        <v>1392</v>
      </c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1:27" s="64" customFormat="1">
      <c r="B3" s="76" t="s">
        <v>284</v>
      </c>
      <c r="C3" s="77" t="s">
        <v>1393</v>
      </c>
      <c r="D3" s="78"/>
      <c r="E3" s="79"/>
      <c r="F3" s="80">
        <v>110</v>
      </c>
      <c r="G3" s="80">
        <f>F3-E3</f>
        <v>110</v>
      </c>
      <c r="H3" s="81" t="s">
        <v>285</v>
      </c>
      <c r="I3" s="82"/>
      <c r="J3" s="83"/>
      <c r="K3" s="82"/>
      <c r="L3" s="82">
        <v>46203</v>
      </c>
      <c r="M3" s="82"/>
      <c r="S3" s="84"/>
      <c r="T3" s="84"/>
      <c r="U3" s="78"/>
      <c r="V3" s="85"/>
      <c r="W3" s="78"/>
      <c r="X3" s="78"/>
      <c r="Y3" s="76"/>
      <c r="Z3" s="76"/>
      <c r="AA3" s="86"/>
    </row>
    <row r="4" spans="1:27" s="64" customFormat="1" ht="15" customHeight="1">
      <c r="B4" s="76" t="s">
        <v>286</v>
      </c>
      <c r="C4" s="77" t="s">
        <v>1394</v>
      </c>
      <c r="D4" s="78"/>
      <c r="E4" s="79"/>
      <c r="F4" s="80">
        <v>17</v>
      </c>
      <c r="G4" s="80">
        <f>F4-E4</f>
        <v>17</v>
      </c>
      <c r="H4" s="81" t="s">
        <v>287</v>
      </c>
      <c r="I4" s="82"/>
      <c r="J4" s="83"/>
      <c r="K4" s="82"/>
      <c r="L4" s="82">
        <v>46203</v>
      </c>
      <c r="M4" s="82"/>
      <c r="S4" s="84"/>
      <c r="T4" s="84"/>
      <c r="U4" s="78"/>
      <c r="V4" s="85"/>
      <c r="W4" s="78"/>
      <c r="X4" s="78"/>
      <c r="Y4" s="76"/>
      <c r="Z4" s="76"/>
      <c r="AA4" s="86"/>
    </row>
    <row r="5" spans="1:27" s="87" customFormat="1">
      <c r="A5" s="64"/>
      <c r="B5" s="76" t="s">
        <v>288</v>
      </c>
      <c r="C5" s="77" t="s">
        <v>1395</v>
      </c>
      <c r="D5" s="78"/>
      <c r="E5" s="79"/>
      <c r="F5" s="80">
        <v>46</v>
      </c>
      <c r="G5" s="80">
        <f>F5-E5</f>
        <v>46</v>
      </c>
      <c r="H5" s="81" t="s">
        <v>289</v>
      </c>
      <c r="I5" s="82"/>
      <c r="J5" s="83"/>
      <c r="K5" s="82"/>
      <c r="L5" s="82">
        <v>46203</v>
      </c>
      <c r="M5" s="82"/>
      <c r="N5" s="64"/>
      <c r="O5" s="64"/>
      <c r="P5" s="64"/>
      <c r="Q5" s="64"/>
      <c r="R5" s="64"/>
      <c r="S5" s="84"/>
      <c r="T5" s="84"/>
      <c r="U5" s="78"/>
      <c r="V5" s="85"/>
      <c r="W5" s="78"/>
      <c r="X5" s="78"/>
      <c r="Y5" s="76"/>
      <c r="Z5" s="76"/>
      <c r="AA5" s="86"/>
    </row>
    <row r="6" spans="1:27" s="64" customFormat="1">
      <c r="B6" s="76" t="s">
        <v>290</v>
      </c>
      <c r="C6" s="77" t="s">
        <v>1396</v>
      </c>
      <c r="D6" s="78"/>
      <c r="E6" s="79"/>
      <c r="F6" s="80">
        <v>35</v>
      </c>
      <c r="G6" s="80">
        <f>F6-E6</f>
        <v>35</v>
      </c>
      <c r="H6" s="81" t="s">
        <v>291</v>
      </c>
      <c r="I6" s="82"/>
      <c r="J6" s="83"/>
      <c r="K6" s="82"/>
      <c r="L6" s="82">
        <v>46203</v>
      </c>
      <c r="M6" s="82"/>
      <c r="S6" s="84"/>
      <c r="T6" s="84"/>
      <c r="U6" s="78"/>
      <c r="V6" s="85"/>
      <c r="W6" s="78"/>
      <c r="X6" s="78"/>
      <c r="Y6" s="76"/>
      <c r="Z6" s="76"/>
      <c r="AA6" s="86"/>
    </row>
    <row r="7" spans="1:27" s="64" customFormat="1" ht="15" customHeight="1">
      <c r="B7" s="76" t="s">
        <v>292</v>
      </c>
      <c r="C7" s="77" t="s">
        <v>1397</v>
      </c>
      <c r="D7" s="78"/>
      <c r="E7" s="79"/>
      <c r="F7" s="80" t="s">
        <v>1398</v>
      </c>
      <c r="G7" s="80"/>
      <c r="H7" s="81" t="s">
        <v>293</v>
      </c>
      <c r="I7" s="82"/>
      <c r="J7" s="83"/>
      <c r="K7" s="82"/>
      <c r="L7" s="82">
        <v>46203</v>
      </c>
      <c r="M7" s="82"/>
      <c r="S7" s="84"/>
      <c r="T7" s="84"/>
      <c r="U7" s="78"/>
      <c r="V7" s="85"/>
      <c r="W7" s="78"/>
      <c r="X7" s="78"/>
      <c r="Y7" s="76"/>
      <c r="Z7" s="76"/>
      <c r="AA7" s="86"/>
    </row>
    <row r="8" spans="1:27" s="64" customFormat="1" ht="15" customHeight="1">
      <c r="B8" s="76" t="s">
        <v>294</v>
      </c>
      <c r="C8" s="77" t="s">
        <v>1399</v>
      </c>
      <c r="D8" s="78"/>
      <c r="E8" s="79"/>
      <c r="F8" s="80">
        <v>8</v>
      </c>
      <c r="G8" s="80">
        <f t="shared" ref="G8:G72" si="0">F8-E8</f>
        <v>8</v>
      </c>
      <c r="H8" s="81" t="s">
        <v>295</v>
      </c>
      <c r="I8" s="82"/>
      <c r="J8" s="83"/>
      <c r="K8" s="82"/>
      <c r="L8" s="82">
        <v>46203</v>
      </c>
      <c r="M8" s="82"/>
      <c r="S8" s="84"/>
      <c r="T8" s="84"/>
      <c r="U8" s="78"/>
      <c r="V8" s="85"/>
      <c r="W8" s="78"/>
      <c r="X8" s="78"/>
      <c r="Y8" s="76"/>
      <c r="Z8" s="76"/>
      <c r="AA8" s="86"/>
    </row>
    <row r="9" spans="1:27" s="64" customFormat="1" ht="15" customHeight="1">
      <c r="B9" s="76" t="s">
        <v>296</v>
      </c>
      <c r="C9" s="77" t="s">
        <v>1400</v>
      </c>
      <c r="D9" s="78" t="s">
        <v>297</v>
      </c>
      <c r="E9" s="79"/>
      <c r="F9" s="80">
        <v>100</v>
      </c>
      <c r="G9" s="80">
        <f t="shared" si="0"/>
        <v>100</v>
      </c>
      <c r="H9" s="81" t="s">
        <v>295</v>
      </c>
      <c r="I9" s="82"/>
      <c r="J9" s="83"/>
      <c r="K9" s="82"/>
      <c r="L9" s="82">
        <v>46203</v>
      </c>
      <c r="M9" s="82"/>
      <c r="S9" s="84"/>
      <c r="T9" s="84"/>
      <c r="U9" s="78"/>
      <c r="V9" s="85"/>
      <c r="W9" s="78"/>
      <c r="X9" s="78"/>
      <c r="Y9" s="76"/>
      <c r="Z9" s="76"/>
      <c r="AA9" s="86"/>
    </row>
    <row r="10" spans="1:27" s="64" customFormat="1" ht="15" customHeight="1">
      <c r="B10" s="76" t="s">
        <v>298</v>
      </c>
      <c r="C10" s="77" t="s">
        <v>1401</v>
      </c>
      <c r="D10" s="78"/>
      <c r="E10" s="79"/>
      <c r="F10" s="80">
        <v>13</v>
      </c>
      <c r="G10" s="80">
        <f t="shared" si="0"/>
        <v>13</v>
      </c>
      <c r="H10" s="81" t="s">
        <v>295</v>
      </c>
      <c r="I10" s="82"/>
      <c r="J10" s="83"/>
      <c r="K10" s="82"/>
      <c r="L10" s="82">
        <v>46203</v>
      </c>
      <c r="M10" s="82"/>
      <c r="S10" s="84"/>
      <c r="T10" s="84"/>
      <c r="U10" s="78"/>
      <c r="V10" s="85"/>
      <c r="W10" s="78"/>
      <c r="X10" s="78"/>
      <c r="Y10" s="76"/>
      <c r="Z10" s="76"/>
      <c r="AA10" s="86"/>
    </row>
    <row r="11" spans="1:27" s="64" customFormat="1" ht="15" customHeight="1">
      <c r="B11" s="76" t="s">
        <v>299</v>
      </c>
      <c r="C11" s="77" t="s">
        <v>1402</v>
      </c>
      <c r="D11" s="78" t="s">
        <v>297</v>
      </c>
      <c r="E11" s="79"/>
      <c r="F11" s="80">
        <v>78</v>
      </c>
      <c r="G11" s="80">
        <f t="shared" si="0"/>
        <v>78</v>
      </c>
      <c r="H11" s="81" t="s">
        <v>300</v>
      </c>
      <c r="I11" s="82"/>
      <c r="J11" s="83"/>
      <c r="K11" s="82"/>
      <c r="L11" s="82">
        <v>46203</v>
      </c>
      <c r="M11" s="82"/>
      <c r="S11" s="84"/>
      <c r="T11" s="84"/>
      <c r="U11" s="78"/>
      <c r="V11" s="85"/>
      <c r="W11" s="78"/>
      <c r="X11" s="78"/>
      <c r="Y11" s="76"/>
      <c r="Z11" s="76"/>
      <c r="AA11" s="86"/>
    </row>
    <row r="12" spans="1:27" s="64" customFormat="1" ht="15" customHeight="1">
      <c r="B12" s="76" t="s">
        <v>301</v>
      </c>
      <c r="C12" s="77" t="s">
        <v>1403</v>
      </c>
      <c r="D12" s="78"/>
      <c r="E12" s="79"/>
      <c r="F12" s="80">
        <v>3</v>
      </c>
      <c r="G12" s="80">
        <f t="shared" si="0"/>
        <v>3</v>
      </c>
      <c r="H12" s="81" t="s">
        <v>302</v>
      </c>
      <c r="I12" s="82"/>
      <c r="J12" s="83"/>
      <c r="K12" s="82"/>
      <c r="L12" s="82">
        <v>46203</v>
      </c>
      <c r="M12" s="82"/>
      <c r="S12" s="84"/>
      <c r="T12" s="84"/>
      <c r="U12" s="78"/>
      <c r="V12" s="85"/>
      <c r="W12" s="78"/>
      <c r="X12" s="78"/>
      <c r="Y12" s="76"/>
      <c r="Z12" s="76"/>
      <c r="AA12" s="86"/>
    </row>
    <row r="13" spans="1:27" s="64" customFormat="1" ht="15" customHeight="1">
      <c r="B13" s="76" t="s">
        <v>303</v>
      </c>
      <c r="C13" s="77" t="s">
        <v>1404</v>
      </c>
      <c r="D13" s="78" t="s">
        <v>304</v>
      </c>
      <c r="E13" s="79"/>
      <c r="F13" s="80">
        <v>1</v>
      </c>
      <c r="G13" s="80">
        <f t="shared" si="0"/>
        <v>1</v>
      </c>
      <c r="H13" s="81" t="s">
        <v>302</v>
      </c>
      <c r="I13" s="82"/>
      <c r="J13" s="83"/>
      <c r="K13" s="82"/>
      <c r="L13" s="82">
        <v>46203</v>
      </c>
      <c r="M13" s="82"/>
      <c r="S13" s="84"/>
      <c r="T13" s="84"/>
      <c r="U13" s="78"/>
      <c r="V13" s="85"/>
      <c r="W13" s="78"/>
      <c r="X13" s="78"/>
      <c r="Y13" s="76"/>
      <c r="Z13" s="76"/>
      <c r="AA13" s="86"/>
    </row>
    <row r="14" spans="1:27" s="64" customFormat="1" ht="15" customHeight="1">
      <c r="B14" s="76" t="s">
        <v>1760</v>
      </c>
      <c r="C14" s="77" t="s">
        <v>1762</v>
      </c>
      <c r="D14" s="78"/>
      <c r="E14" s="79"/>
      <c r="F14" s="80">
        <v>1</v>
      </c>
      <c r="G14" s="80">
        <f t="shared" si="0"/>
        <v>1</v>
      </c>
      <c r="H14" s="81" t="s">
        <v>302</v>
      </c>
      <c r="I14" s="82"/>
      <c r="J14" s="83"/>
      <c r="K14" s="82"/>
      <c r="L14" s="82">
        <v>46203</v>
      </c>
      <c r="M14" s="82"/>
      <c r="S14" s="84"/>
      <c r="T14" s="84"/>
      <c r="U14" s="78"/>
      <c r="V14" s="85"/>
      <c r="W14" s="78"/>
      <c r="X14" s="78"/>
      <c r="Y14" s="76"/>
      <c r="Z14" s="76"/>
      <c r="AA14" s="86"/>
    </row>
    <row r="15" spans="1:27" s="64" customFormat="1" ht="15" customHeight="1">
      <c r="B15" s="76" t="s">
        <v>305</v>
      </c>
      <c r="C15" s="77" t="s">
        <v>1405</v>
      </c>
      <c r="D15" s="78" t="s">
        <v>1406</v>
      </c>
      <c r="E15" s="79"/>
      <c r="F15" s="80">
        <v>3</v>
      </c>
      <c r="G15" s="80">
        <f t="shared" si="0"/>
        <v>3</v>
      </c>
      <c r="H15" s="81" t="s">
        <v>302</v>
      </c>
      <c r="I15" s="82"/>
      <c r="J15" s="83"/>
      <c r="K15" s="82"/>
      <c r="L15" s="82">
        <v>46203</v>
      </c>
      <c r="M15" s="82"/>
      <c r="S15" s="84"/>
      <c r="T15" s="84"/>
      <c r="U15" s="78"/>
      <c r="V15" s="85"/>
      <c r="W15" s="78"/>
      <c r="X15" s="78"/>
      <c r="Y15" s="76"/>
      <c r="Z15" s="76"/>
      <c r="AA15" s="86"/>
    </row>
    <row r="16" spans="1:27" s="64" customFormat="1" ht="15" customHeight="1">
      <c r="B16" s="76" t="s">
        <v>306</v>
      </c>
      <c r="C16" s="77" t="s">
        <v>1407</v>
      </c>
      <c r="D16" s="78" t="s">
        <v>297</v>
      </c>
      <c r="E16" s="79"/>
      <c r="F16" s="80">
        <v>95</v>
      </c>
      <c r="G16" s="80">
        <f t="shared" si="0"/>
        <v>95</v>
      </c>
      <c r="H16" s="81" t="s">
        <v>295</v>
      </c>
      <c r="I16" s="82"/>
      <c r="J16" s="83"/>
      <c r="K16" s="82"/>
      <c r="L16" s="82">
        <v>46203</v>
      </c>
      <c r="M16" s="82"/>
      <c r="S16" s="84"/>
      <c r="T16" s="84"/>
      <c r="U16" s="78"/>
      <c r="V16" s="85"/>
      <c r="W16" s="78"/>
      <c r="X16" s="78"/>
      <c r="Y16" s="76"/>
      <c r="Z16" s="76"/>
      <c r="AA16" s="86"/>
    </row>
    <row r="17" spans="1:27" s="64" customFormat="1" ht="15" customHeight="1">
      <c r="B17" s="76" t="s">
        <v>307</v>
      </c>
      <c r="C17" s="77" t="s">
        <v>1408</v>
      </c>
      <c r="D17" s="78" t="s">
        <v>297</v>
      </c>
      <c r="E17" s="79"/>
      <c r="F17" s="80">
        <v>92</v>
      </c>
      <c r="G17" s="80">
        <f t="shared" si="0"/>
        <v>92</v>
      </c>
      <c r="H17" s="81" t="s">
        <v>300</v>
      </c>
      <c r="I17" s="82"/>
      <c r="J17" s="83"/>
      <c r="K17" s="82"/>
      <c r="L17" s="82">
        <v>46203</v>
      </c>
      <c r="M17" s="82"/>
      <c r="S17" s="84"/>
      <c r="T17" s="84"/>
      <c r="U17" s="78"/>
      <c r="V17" s="85"/>
      <c r="W17" s="78"/>
      <c r="X17" s="78"/>
      <c r="Y17" s="76"/>
      <c r="Z17" s="76"/>
      <c r="AA17" s="86"/>
    </row>
    <row r="18" spans="1:27" s="64" customFormat="1" ht="15" customHeight="1">
      <c r="B18" s="76" t="s">
        <v>308</v>
      </c>
      <c r="C18" s="77" t="s">
        <v>1409</v>
      </c>
      <c r="D18" s="78"/>
      <c r="E18" s="79"/>
      <c r="F18" s="80">
        <v>1</v>
      </c>
      <c r="G18" s="80">
        <f t="shared" si="0"/>
        <v>1</v>
      </c>
      <c r="H18" s="81" t="s">
        <v>302</v>
      </c>
      <c r="I18" s="82"/>
      <c r="J18" s="83"/>
      <c r="K18" s="82"/>
      <c r="L18" s="82">
        <v>46203</v>
      </c>
      <c r="M18" s="82"/>
      <c r="S18" s="84"/>
      <c r="T18" s="84"/>
      <c r="U18" s="78"/>
      <c r="V18" s="85"/>
      <c r="W18" s="78"/>
      <c r="X18" s="78"/>
      <c r="Y18" s="76"/>
      <c r="Z18" s="76"/>
      <c r="AA18" s="86"/>
    </row>
    <row r="19" spans="1:27" s="64" customFormat="1" ht="15" customHeight="1">
      <c r="B19" s="76" t="s">
        <v>309</v>
      </c>
      <c r="C19" s="77" t="s">
        <v>1410</v>
      </c>
      <c r="D19" s="78" t="s">
        <v>310</v>
      </c>
      <c r="E19" s="79"/>
      <c r="F19" s="80">
        <v>2</v>
      </c>
      <c r="G19" s="80">
        <f t="shared" si="0"/>
        <v>2</v>
      </c>
      <c r="H19" s="81" t="s">
        <v>58</v>
      </c>
      <c r="I19" s="82"/>
      <c r="J19" s="83"/>
      <c r="K19" s="82"/>
      <c r="L19" s="82">
        <v>46203</v>
      </c>
      <c r="M19" s="82"/>
      <c r="S19" s="84"/>
      <c r="T19" s="84"/>
      <c r="U19" s="78"/>
      <c r="V19" s="85"/>
      <c r="W19" s="78"/>
      <c r="X19" s="78"/>
      <c r="Y19" s="76"/>
      <c r="Z19" s="76"/>
      <c r="AA19" s="86"/>
    </row>
    <row r="20" spans="1:27" s="64" customFormat="1" ht="15" customHeight="1">
      <c r="B20" s="76" t="s">
        <v>311</v>
      </c>
      <c r="C20" s="77" t="s">
        <v>1411</v>
      </c>
      <c r="D20" s="78"/>
      <c r="E20" s="79"/>
      <c r="F20" s="80">
        <v>10</v>
      </c>
      <c r="G20" s="80">
        <f t="shared" si="0"/>
        <v>10</v>
      </c>
      <c r="H20" s="81" t="s">
        <v>302</v>
      </c>
      <c r="I20" s="82"/>
      <c r="J20" s="83"/>
      <c r="K20" s="82"/>
      <c r="L20" s="82">
        <v>46203</v>
      </c>
      <c r="M20" s="82"/>
      <c r="S20" s="84"/>
      <c r="T20" s="84"/>
      <c r="U20" s="78"/>
      <c r="V20" s="85"/>
      <c r="W20" s="78"/>
      <c r="X20" s="78"/>
      <c r="Y20" s="76"/>
      <c r="Z20" s="76"/>
      <c r="AA20" s="86"/>
    </row>
    <row r="21" spans="1:27" s="64" customFormat="1" ht="15" customHeight="1">
      <c r="B21" s="76" t="s">
        <v>312</v>
      </c>
      <c r="C21" s="77" t="s">
        <v>1412</v>
      </c>
      <c r="D21" s="78"/>
      <c r="E21" s="79"/>
      <c r="F21" s="80">
        <v>11</v>
      </c>
      <c r="G21" s="80">
        <f t="shared" si="0"/>
        <v>11</v>
      </c>
      <c r="H21" s="81" t="s">
        <v>302</v>
      </c>
      <c r="I21" s="82"/>
      <c r="J21" s="83"/>
      <c r="K21" s="82"/>
      <c r="L21" s="82">
        <v>46203</v>
      </c>
      <c r="M21" s="82"/>
      <c r="S21" s="84"/>
      <c r="T21" s="84"/>
      <c r="U21" s="78"/>
      <c r="V21" s="85"/>
      <c r="W21" s="78"/>
      <c r="X21" s="78"/>
      <c r="Y21" s="76"/>
      <c r="Z21" s="76"/>
      <c r="AA21" s="86"/>
    </row>
    <row r="22" spans="1:27" s="64" customFormat="1" ht="15" customHeight="1">
      <c r="B22" s="76" t="s">
        <v>313</v>
      </c>
      <c r="C22" s="77" t="s">
        <v>1413</v>
      </c>
      <c r="D22" s="78" t="s">
        <v>1414</v>
      </c>
      <c r="E22" s="79"/>
      <c r="F22" s="80">
        <v>1</v>
      </c>
      <c r="G22" s="80">
        <f t="shared" si="0"/>
        <v>1</v>
      </c>
      <c r="H22" s="81" t="s">
        <v>302</v>
      </c>
      <c r="I22" s="82"/>
      <c r="J22" s="83"/>
      <c r="K22" s="82"/>
      <c r="L22" s="82">
        <v>46203</v>
      </c>
      <c r="M22" s="82"/>
      <c r="S22" s="84"/>
      <c r="T22" s="84"/>
      <c r="U22" s="78"/>
      <c r="V22" s="85"/>
      <c r="W22" s="78"/>
      <c r="X22" s="78"/>
      <c r="Y22" s="76"/>
      <c r="Z22" s="76"/>
      <c r="AA22" s="86"/>
    </row>
    <row r="23" spans="1:27" s="64" customFormat="1" ht="15" customHeight="1">
      <c r="A23" s="87"/>
      <c r="B23" s="88" t="s">
        <v>314</v>
      </c>
      <c r="C23" s="89" t="s">
        <v>1415</v>
      </c>
      <c r="D23" s="90" t="s">
        <v>315</v>
      </c>
      <c r="E23" s="91"/>
      <c r="F23" s="92">
        <v>10</v>
      </c>
      <c r="G23" s="106">
        <f t="shared" si="0"/>
        <v>10</v>
      </c>
      <c r="H23" s="93" t="s">
        <v>316</v>
      </c>
      <c r="I23" s="94"/>
      <c r="J23" s="95"/>
      <c r="K23" s="94"/>
      <c r="L23" s="107">
        <v>46203</v>
      </c>
      <c r="M23" s="94"/>
      <c r="S23" s="84"/>
      <c r="T23" s="84"/>
      <c r="U23" s="78"/>
      <c r="V23" s="85"/>
      <c r="W23" s="78"/>
      <c r="X23" s="78"/>
      <c r="Y23" s="76"/>
      <c r="Z23" s="76"/>
      <c r="AA23" s="86"/>
    </row>
    <row r="24" spans="1:27" s="64" customFormat="1" ht="15" customHeight="1">
      <c r="B24" s="76" t="s">
        <v>317</v>
      </c>
      <c r="C24" s="77" t="s">
        <v>1416</v>
      </c>
      <c r="D24" s="78" t="s">
        <v>318</v>
      </c>
      <c r="E24" s="79"/>
      <c r="F24" s="80">
        <v>2</v>
      </c>
      <c r="G24" s="80">
        <f t="shared" si="0"/>
        <v>2</v>
      </c>
      <c r="H24" s="81" t="s">
        <v>302</v>
      </c>
      <c r="I24" s="82"/>
      <c r="J24" s="83"/>
      <c r="K24" s="82"/>
      <c r="L24" s="82">
        <v>46203</v>
      </c>
      <c r="M24" s="82"/>
      <c r="S24" s="84"/>
      <c r="T24" s="84"/>
      <c r="U24" s="78"/>
      <c r="V24" s="85"/>
      <c r="W24" s="78"/>
      <c r="X24" s="78"/>
      <c r="Y24" s="76"/>
      <c r="Z24" s="76"/>
      <c r="AA24" s="86"/>
    </row>
    <row r="25" spans="1:27" s="64" customFormat="1" ht="15" customHeight="1">
      <c r="B25" s="76" t="s">
        <v>1905</v>
      </c>
      <c r="C25" s="77" t="s">
        <v>1417</v>
      </c>
      <c r="D25" s="78" t="s">
        <v>318</v>
      </c>
      <c r="E25" s="79"/>
      <c r="F25" s="80">
        <v>4</v>
      </c>
      <c r="G25" s="80">
        <f t="shared" si="0"/>
        <v>4</v>
      </c>
      <c r="H25" s="81" t="s">
        <v>319</v>
      </c>
      <c r="I25" s="82"/>
      <c r="J25" s="83"/>
      <c r="K25" s="82"/>
      <c r="L25" s="82">
        <v>46203</v>
      </c>
      <c r="M25" s="82"/>
      <c r="S25" s="84"/>
      <c r="T25" s="84"/>
      <c r="U25" s="78"/>
      <c r="V25" s="85"/>
      <c r="W25" s="78"/>
      <c r="X25" s="78"/>
      <c r="Y25" s="76"/>
      <c r="Z25" s="76"/>
      <c r="AA25" s="86"/>
    </row>
    <row r="26" spans="1:27" s="64" customFormat="1" ht="15" customHeight="1">
      <c r="B26" s="76" t="s">
        <v>320</v>
      </c>
      <c r="C26" s="77" t="s">
        <v>1418</v>
      </c>
      <c r="D26" s="78" t="s">
        <v>318</v>
      </c>
      <c r="E26" s="79"/>
      <c r="F26" s="80">
        <v>4</v>
      </c>
      <c r="G26" s="80">
        <f t="shared" si="0"/>
        <v>4</v>
      </c>
      <c r="H26" s="81" t="s">
        <v>319</v>
      </c>
      <c r="I26" s="82"/>
      <c r="J26" s="83"/>
      <c r="K26" s="82"/>
      <c r="L26" s="82">
        <v>46203</v>
      </c>
      <c r="M26" s="82"/>
      <c r="S26" s="84"/>
      <c r="T26" s="84"/>
      <c r="U26" s="78"/>
      <c r="V26" s="85"/>
      <c r="W26" s="78"/>
      <c r="X26" s="78"/>
      <c r="Y26" s="76"/>
      <c r="Z26" s="76"/>
      <c r="AA26" s="86"/>
    </row>
    <row r="27" spans="1:27" s="64" customFormat="1" ht="15" customHeight="1">
      <c r="B27" s="76" t="s">
        <v>1903</v>
      </c>
      <c r="C27" s="133" t="s">
        <v>1963</v>
      </c>
      <c r="D27" s="78" t="s">
        <v>318</v>
      </c>
      <c r="E27" s="79"/>
      <c r="F27" s="80">
        <v>2</v>
      </c>
      <c r="G27" s="80">
        <f t="shared" si="0"/>
        <v>2</v>
      </c>
      <c r="H27" s="81" t="s">
        <v>319</v>
      </c>
      <c r="I27" s="82"/>
      <c r="J27" s="83"/>
      <c r="K27" s="82"/>
      <c r="L27" s="82">
        <v>46203</v>
      </c>
      <c r="M27" s="82"/>
      <c r="S27" s="84"/>
      <c r="T27" s="84"/>
      <c r="U27" s="78"/>
      <c r="V27" s="85"/>
      <c r="W27" s="78"/>
      <c r="X27" s="78"/>
      <c r="Y27" s="76"/>
      <c r="Z27" s="76"/>
      <c r="AA27" s="86"/>
    </row>
    <row r="28" spans="1:27" s="64" customFormat="1" ht="15" customHeight="1">
      <c r="B28" s="76" t="s">
        <v>321</v>
      </c>
      <c r="C28" s="77" t="s">
        <v>1419</v>
      </c>
      <c r="D28" s="78" t="s">
        <v>318</v>
      </c>
      <c r="E28" s="79"/>
      <c r="F28" s="80">
        <v>1</v>
      </c>
      <c r="G28" s="80">
        <f t="shared" si="0"/>
        <v>1</v>
      </c>
      <c r="H28" s="81" t="s">
        <v>319</v>
      </c>
      <c r="I28" s="82"/>
      <c r="J28" s="83"/>
      <c r="K28" s="82"/>
      <c r="L28" s="82">
        <v>46203</v>
      </c>
      <c r="M28" s="82"/>
      <c r="S28" s="84"/>
      <c r="T28" s="84"/>
      <c r="U28" s="78"/>
      <c r="V28" s="85"/>
      <c r="W28" s="78"/>
      <c r="X28" s="78"/>
      <c r="Y28" s="76"/>
      <c r="Z28" s="76"/>
      <c r="AA28" s="86"/>
    </row>
    <row r="29" spans="1:27" s="64" customFormat="1" ht="15" customHeight="1">
      <c r="B29" s="76" t="s">
        <v>322</v>
      </c>
      <c r="C29" s="77" t="s">
        <v>1420</v>
      </c>
      <c r="D29" s="78" t="s">
        <v>323</v>
      </c>
      <c r="E29" s="79"/>
      <c r="F29" s="80">
        <v>1</v>
      </c>
      <c r="G29" s="80">
        <f t="shared" si="0"/>
        <v>1</v>
      </c>
      <c r="H29" s="81" t="s">
        <v>302</v>
      </c>
      <c r="I29" s="82"/>
      <c r="J29" s="83"/>
      <c r="K29" s="82"/>
      <c r="L29" s="82">
        <v>46203</v>
      </c>
      <c r="M29" s="82"/>
      <c r="S29" s="84"/>
      <c r="T29" s="84"/>
      <c r="U29" s="78"/>
      <c r="V29" s="85"/>
      <c r="W29" s="78"/>
      <c r="X29" s="78"/>
      <c r="Y29" s="76"/>
      <c r="Z29" s="76"/>
      <c r="AA29" s="86"/>
    </row>
    <row r="30" spans="1:27" s="64" customFormat="1" ht="15" customHeight="1">
      <c r="B30" s="76" t="s">
        <v>324</v>
      </c>
      <c r="C30" s="77" t="s">
        <v>1421</v>
      </c>
      <c r="D30" s="78" t="s">
        <v>325</v>
      </c>
      <c r="E30" s="79"/>
      <c r="F30" s="80">
        <v>6</v>
      </c>
      <c r="G30" s="80">
        <f t="shared" si="0"/>
        <v>6</v>
      </c>
      <c r="H30" s="81" t="s">
        <v>302</v>
      </c>
      <c r="I30" s="82"/>
      <c r="J30" s="83"/>
      <c r="K30" s="82"/>
      <c r="L30" s="82">
        <v>46203</v>
      </c>
      <c r="M30" s="82"/>
      <c r="S30" s="84"/>
      <c r="T30" s="84"/>
      <c r="U30" s="78"/>
      <c r="V30" s="85"/>
      <c r="W30" s="78"/>
      <c r="X30" s="78"/>
      <c r="Y30" s="76"/>
      <c r="Z30" s="76"/>
      <c r="AA30" s="86"/>
    </row>
    <row r="31" spans="1:27" s="64" customFormat="1" ht="15" customHeight="1">
      <c r="B31" s="76" t="s">
        <v>326</v>
      </c>
      <c r="C31" s="77" t="s">
        <v>1422</v>
      </c>
      <c r="D31" s="78" t="s">
        <v>325</v>
      </c>
      <c r="E31" s="79"/>
      <c r="F31" s="80">
        <v>1</v>
      </c>
      <c r="G31" s="80">
        <f t="shared" si="0"/>
        <v>1</v>
      </c>
      <c r="H31" s="81" t="s">
        <v>302</v>
      </c>
      <c r="I31" s="82"/>
      <c r="J31" s="83"/>
      <c r="K31" s="82"/>
      <c r="L31" s="82">
        <v>46203</v>
      </c>
      <c r="M31" s="82"/>
      <c r="S31" s="84"/>
      <c r="T31" s="84"/>
      <c r="U31" s="78"/>
      <c r="V31" s="85"/>
      <c r="W31" s="78"/>
      <c r="X31" s="78"/>
      <c r="Y31" s="76"/>
      <c r="Z31" s="76"/>
      <c r="AA31" s="86"/>
    </row>
    <row r="32" spans="1:27" s="64" customFormat="1">
      <c r="B32" s="76" t="s">
        <v>327</v>
      </c>
      <c r="C32" s="77" t="s">
        <v>1423</v>
      </c>
      <c r="D32" s="78" t="s">
        <v>318</v>
      </c>
      <c r="E32" s="79"/>
      <c r="F32" s="80">
        <v>1</v>
      </c>
      <c r="G32" s="80">
        <f t="shared" si="0"/>
        <v>1</v>
      </c>
      <c r="H32" s="81" t="s">
        <v>302</v>
      </c>
      <c r="I32" s="82"/>
      <c r="J32" s="83"/>
      <c r="K32" s="82"/>
      <c r="L32" s="82">
        <v>46203</v>
      </c>
      <c r="M32" s="82"/>
      <c r="S32" s="84"/>
      <c r="T32" s="84"/>
      <c r="U32" s="78"/>
      <c r="V32" s="85"/>
      <c r="W32" s="78"/>
      <c r="X32" s="78"/>
      <c r="Y32" s="76"/>
      <c r="Z32" s="76"/>
      <c r="AA32" s="86"/>
    </row>
    <row r="33" spans="2:27" s="64" customFormat="1" ht="15" customHeight="1">
      <c r="B33" s="76" t="s">
        <v>328</v>
      </c>
      <c r="C33" s="77" t="s">
        <v>1424</v>
      </c>
      <c r="D33" s="78" t="s">
        <v>318</v>
      </c>
      <c r="E33" s="79"/>
      <c r="F33" s="80">
        <v>5</v>
      </c>
      <c r="G33" s="80">
        <f t="shared" si="0"/>
        <v>5</v>
      </c>
      <c r="H33" s="81" t="s">
        <v>302</v>
      </c>
      <c r="I33" s="82"/>
      <c r="J33" s="83"/>
      <c r="K33" s="82"/>
      <c r="L33" s="82">
        <v>46203</v>
      </c>
      <c r="M33" s="82"/>
      <c r="S33" s="84"/>
      <c r="T33" s="84"/>
      <c r="U33" s="78"/>
      <c r="V33" s="85"/>
      <c r="W33" s="78"/>
      <c r="X33" s="78"/>
      <c r="Y33" s="76"/>
      <c r="Z33" s="76"/>
      <c r="AA33" s="86"/>
    </row>
    <row r="34" spans="2:27" s="64" customFormat="1" ht="15" customHeight="1">
      <c r="B34" s="76" t="s">
        <v>329</v>
      </c>
      <c r="C34" s="77" t="s">
        <v>1425</v>
      </c>
      <c r="D34" s="78" t="s">
        <v>318</v>
      </c>
      <c r="E34" s="79"/>
      <c r="F34" s="80">
        <v>4</v>
      </c>
      <c r="G34" s="80">
        <f t="shared" si="0"/>
        <v>4</v>
      </c>
      <c r="H34" s="81" t="s">
        <v>302</v>
      </c>
      <c r="I34" s="82"/>
      <c r="J34" s="83"/>
      <c r="K34" s="82"/>
      <c r="L34" s="82">
        <v>46203</v>
      </c>
      <c r="M34" s="82"/>
      <c r="S34" s="84"/>
      <c r="T34" s="84"/>
      <c r="U34" s="78"/>
      <c r="V34" s="85"/>
      <c r="W34" s="78"/>
      <c r="X34" s="78"/>
      <c r="Y34" s="76"/>
      <c r="Z34" s="76"/>
      <c r="AA34" s="86"/>
    </row>
    <row r="35" spans="2:27" s="64" customFormat="1" ht="15" customHeight="1">
      <c r="B35" s="76" t="s">
        <v>330</v>
      </c>
      <c r="C35" s="77" t="s">
        <v>1426</v>
      </c>
      <c r="D35" s="78"/>
      <c r="E35" s="79"/>
      <c r="F35" s="80">
        <v>1</v>
      </c>
      <c r="G35" s="80">
        <f t="shared" si="0"/>
        <v>1</v>
      </c>
      <c r="H35" s="81" t="s">
        <v>302</v>
      </c>
      <c r="I35" s="82"/>
      <c r="J35" s="83"/>
      <c r="K35" s="82"/>
      <c r="L35" s="82">
        <v>46203</v>
      </c>
      <c r="M35" s="82"/>
      <c r="S35" s="84"/>
      <c r="T35" s="84"/>
      <c r="U35" s="78"/>
      <c r="V35" s="85"/>
      <c r="W35" s="78"/>
      <c r="X35" s="78"/>
      <c r="Y35" s="76"/>
      <c r="Z35" s="76"/>
      <c r="AA35" s="86"/>
    </row>
    <row r="36" spans="2:27" s="64" customFormat="1" ht="15" customHeight="1">
      <c r="B36" s="76" t="s">
        <v>331</v>
      </c>
      <c r="C36" s="77" t="s">
        <v>1427</v>
      </c>
      <c r="D36" s="78"/>
      <c r="E36" s="79"/>
      <c r="F36" s="80">
        <v>1</v>
      </c>
      <c r="G36" s="80">
        <f t="shared" si="0"/>
        <v>1</v>
      </c>
      <c r="H36" s="81" t="s">
        <v>302</v>
      </c>
      <c r="I36" s="82"/>
      <c r="J36" s="83"/>
      <c r="K36" s="82"/>
      <c r="L36" s="82">
        <v>46203</v>
      </c>
      <c r="M36" s="82"/>
      <c r="S36" s="84"/>
      <c r="T36" s="84"/>
      <c r="U36" s="78"/>
      <c r="V36" s="85"/>
      <c r="W36" s="78"/>
      <c r="X36" s="78"/>
      <c r="Y36" s="76"/>
      <c r="Z36" s="76"/>
      <c r="AA36" s="86"/>
    </row>
    <row r="37" spans="2:27" s="64" customFormat="1" ht="15" customHeight="1">
      <c r="B37" s="76" t="s">
        <v>332</v>
      </c>
      <c r="C37" s="77" t="s">
        <v>1428</v>
      </c>
      <c r="D37" s="78"/>
      <c r="E37" s="79"/>
      <c r="F37" s="80">
        <v>1</v>
      </c>
      <c r="G37" s="80">
        <f t="shared" si="0"/>
        <v>1</v>
      </c>
      <c r="H37" s="81" t="s">
        <v>302</v>
      </c>
      <c r="I37" s="82"/>
      <c r="J37" s="83"/>
      <c r="K37" s="82"/>
      <c r="L37" s="82">
        <v>46203</v>
      </c>
      <c r="M37" s="82"/>
      <c r="S37" s="84"/>
      <c r="T37" s="84"/>
      <c r="U37" s="78"/>
      <c r="V37" s="85"/>
      <c r="W37" s="78"/>
      <c r="X37" s="78"/>
      <c r="Y37" s="76"/>
      <c r="Z37" s="76"/>
      <c r="AA37" s="86"/>
    </row>
    <row r="38" spans="2:27" s="64" customFormat="1" ht="15" customHeight="1">
      <c r="B38" s="76" t="s">
        <v>333</v>
      </c>
      <c r="C38" s="77" t="s">
        <v>1429</v>
      </c>
      <c r="D38" s="78"/>
      <c r="E38" s="79"/>
      <c r="F38" s="80">
        <v>1</v>
      </c>
      <c r="G38" s="80">
        <f t="shared" si="0"/>
        <v>1</v>
      </c>
      <c r="H38" s="81" t="s">
        <v>302</v>
      </c>
      <c r="I38" s="82"/>
      <c r="J38" s="83"/>
      <c r="K38" s="82"/>
      <c r="L38" s="82">
        <v>46203</v>
      </c>
      <c r="M38" s="82"/>
      <c r="S38" s="84"/>
      <c r="T38" s="84"/>
      <c r="U38" s="78"/>
      <c r="V38" s="85"/>
      <c r="W38" s="78"/>
      <c r="X38" s="78"/>
      <c r="Y38" s="76"/>
      <c r="Z38" s="76"/>
      <c r="AA38" s="86"/>
    </row>
    <row r="39" spans="2:27" s="64" customFormat="1" ht="15" customHeight="1">
      <c r="B39" s="76" t="s">
        <v>334</v>
      </c>
      <c r="C39" s="77" t="s">
        <v>1430</v>
      </c>
      <c r="D39" s="78" t="s">
        <v>318</v>
      </c>
      <c r="E39" s="79"/>
      <c r="F39" s="80">
        <v>2</v>
      </c>
      <c r="G39" s="80">
        <f t="shared" si="0"/>
        <v>2</v>
      </c>
      <c r="H39" s="81" t="s">
        <v>302</v>
      </c>
      <c r="I39" s="82"/>
      <c r="J39" s="83"/>
      <c r="K39" s="82"/>
      <c r="L39" s="82">
        <v>46203</v>
      </c>
      <c r="M39" s="82"/>
      <c r="S39" s="84"/>
      <c r="T39" s="84"/>
      <c r="U39" s="78"/>
      <c r="V39" s="85"/>
      <c r="W39" s="78"/>
      <c r="X39" s="78"/>
      <c r="Y39" s="76"/>
      <c r="Z39" s="76"/>
      <c r="AA39" s="86"/>
    </row>
    <row r="40" spans="2:27" s="64" customFormat="1" ht="15" customHeight="1">
      <c r="B40" s="76" t="s">
        <v>335</v>
      </c>
      <c r="C40" s="77" t="s">
        <v>1431</v>
      </c>
      <c r="D40" s="78" t="s">
        <v>336</v>
      </c>
      <c r="E40" s="79"/>
      <c r="F40" s="80">
        <v>3</v>
      </c>
      <c r="G40" s="80">
        <f t="shared" si="0"/>
        <v>3</v>
      </c>
      <c r="H40" s="81" t="s">
        <v>302</v>
      </c>
      <c r="I40" s="82"/>
      <c r="J40" s="83"/>
      <c r="K40" s="82"/>
      <c r="L40" s="82">
        <v>46203</v>
      </c>
      <c r="M40" s="82"/>
      <c r="S40" s="84"/>
      <c r="T40" s="84"/>
      <c r="U40" s="78"/>
      <c r="V40" s="85"/>
      <c r="W40" s="78"/>
      <c r="X40" s="78"/>
      <c r="Y40" s="76"/>
      <c r="Z40" s="76"/>
      <c r="AA40" s="86"/>
    </row>
    <row r="41" spans="2:27" s="64" customFormat="1" ht="15" customHeight="1">
      <c r="B41" s="76" t="s">
        <v>337</v>
      </c>
      <c r="C41" s="77" t="s">
        <v>1432</v>
      </c>
      <c r="D41" s="78"/>
      <c r="E41" s="79"/>
      <c r="F41" s="80">
        <v>4</v>
      </c>
      <c r="G41" s="80">
        <f t="shared" si="0"/>
        <v>4</v>
      </c>
      <c r="H41" s="81" t="s">
        <v>300</v>
      </c>
      <c r="I41" s="82"/>
      <c r="J41" s="83"/>
      <c r="K41" s="82"/>
      <c r="L41" s="82">
        <v>46203</v>
      </c>
      <c r="M41" s="82"/>
      <c r="S41" s="84"/>
      <c r="T41" s="84"/>
      <c r="U41" s="78"/>
      <c r="V41" s="85"/>
      <c r="W41" s="78"/>
      <c r="X41" s="78"/>
      <c r="Y41" s="76"/>
      <c r="Z41" s="76"/>
      <c r="AA41" s="86"/>
    </row>
    <row r="42" spans="2:27" s="64" customFormat="1">
      <c r="B42" s="76" t="s">
        <v>338</v>
      </c>
      <c r="C42" s="77" t="s">
        <v>1433</v>
      </c>
      <c r="D42" s="78"/>
      <c r="E42" s="79"/>
      <c r="F42" s="80">
        <v>7</v>
      </c>
      <c r="G42" s="80">
        <f t="shared" si="0"/>
        <v>7</v>
      </c>
      <c r="H42" s="81" t="s">
        <v>300</v>
      </c>
      <c r="I42" s="82"/>
      <c r="J42" s="83"/>
      <c r="K42" s="82"/>
      <c r="L42" s="82">
        <v>46203</v>
      </c>
      <c r="M42" s="82"/>
      <c r="S42" s="84"/>
      <c r="T42" s="84"/>
      <c r="U42" s="78"/>
      <c r="V42" s="85"/>
      <c r="W42" s="78"/>
      <c r="X42" s="78"/>
      <c r="Y42" s="76"/>
      <c r="Z42" s="76"/>
      <c r="AA42" s="86"/>
    </row>
    <row r="43" spans="2:27" s="64" customFormat="1" ht="15" customHeight="1">
      <c r="B43" s="76" t="s">
        <v>339</v>
      </c>
      <c r="C43" s="77" t="s">
        <v>1434</v>
      </c>
      <c r="D43" s="78"/>
      <c r="E43" s="79"/>
      <c r="F43" s="80">
        <v>7</v>
      </c>
      <c r="G43" s="80">
        <f t="shared" si="0"/>
        <v>7</v>
      </c>
      <c r="H43" s="81" t="s">
        <v>300</v>
      </c>
      <c r="I43" s="82"/>
      <c r="J43" s="83"/>
      <c r="K43" s="82"/>
      <c r="L43" s="82">
        <v>46203</v>
      </c>
      <c r="M43" s="82"/>
      <c r="S43" s="84"/>
      <c r="T43" s="84"/>
      <c r="U43" s="78"/>
      <c r="V43" s="85"/>
      <c r="W43" s="78"/>
      <c r="X43" s="78"/>
      <c r="Y43" s="76"/>
      <c r="Z43" s="76"/>
      <c r="AA43" s="86"/>
    </row>
    <row r="44" spans="2:27" s="64" customFormat="1" ht="15" customHeight="1">
      <c r="B44" s="76" t="s">
        <v>340</v>
      </c>
      <c r="C44" s="77" t="s">
        <v>1435</v>
      </c>
      <c r="D44" s="78"/>
      <c r="E44" s="79"/>
      <c r="F44" s="80">
        <v>5</v>
      </c>
      <c r="G44" s="80">
        <f t="shared" si="0"/>
        <v>5</v>
      </c>
      <c r="H44" s="81" t="s">
        <v>300</v>
      </c>
      <c r="I44" s="82"/>
      <c r="J44" s="83"/>
      <c r="K44" s="82"/>
      <c r="L44" s="82">
        <v>46203</v>
      </c>
      <c r="M44" s="82"/>
      <c r="S44" s="84"/>
      <c r="T44" s="84"/>
      <c r="U44" s="78"/>
      <c r="V44" s="85"/>
      <c r="W44" s="78"/>
      <c r="X44" s="78"/>
      <c r="Y44" s="76"/>
      <c r="Z44" s="76"/>
      <c r="AA44" s="86"/>
    </row>
    <row r="45" spans="2:27" s="64" customFormat="1" ht="15" customHeight="1">
      <c r="B45" s="76" t="s">
        <v>341</v>
      </c>
      <c r="C45" s="77" t="s">
        <v>1436</v>
      </c>
      <c r="D45" s="78"/>
      <c r="E45" s="79"/>
      <c r="F45" s="80">
        <v>11</v>
      </c>
      <c r="G45" s="80">
        <f t="shared" si="0"/>
        <v>11</v>
      </c>
      <c r="H45" s="81" t="s">
        <v>300</v>
      </c>
      <c r="I45" s="82"/>
      <c r="J45" s="83"/>
      <c r="K45" s="82"/>
      <c r="L45" s="82">
        <v>46203</v>
      </c>
      <c r="M45" s="82"/>
      <c r="S45" s="84"/>
      <c r="T45" s="84"/>
      <c r="U45" s="78"/>
      <c r="V45" s="85"/>
      <c r="W45" s="78"/>
      <c r="X45" s="78"/>
      <c r="Y45" s="76"/>
      <c r="Z45" s="76"/>
      <c r="AA45" s="86"/>
    </row>
    <row r="46" spans="2:27" s="64" customFormat="1" ht="15" customHeight="1">
      <c r="B46" s="76" t="s">
        <v>342</v>
      </c>
      <c r="C46" s="77" t="s">
        <v>1437</v>
      </c>
      <c r="D46" s="78"/>
      <c r="E46" s="79"/>
      <c r="F46" s="80">
        <v>4</v>
      </c>
      <c r="G46" s="80">
        <f t="shared" si="0"/>
        <v>4</v>
      </c>
      <c r="H46" s="81" t="s">
        <v>300</v>
      </c>
      <c r="I46" s="82"/>
      <c r="J46" s="83"/>
      <c r="K46" s="82"/>
      <c r="L46" s="82">
        <v>46203</v>
      </c>
      <c r="M46" s="82"/>
      <c r="S46" s="84"/>
      <c r="T46" s="84"/>
      <c r="U46" s="78"/>
      <c r="V46" s="85"/>
      <c r="W46" s="78"/>
      <c r="X46" s="78"/>
      <c r="Y46" s="76"/>
      <c r="Z46" s="76"/>
      <c r="AA46" s="86"/>
    </row>
    <row r="47" spans="2:27" s="64" customFormat="1" ht="15" customHeight="1">
      <c r="B47" s="76" t="s">
        <v>343</v>
      </c>
      <c r="C47" s="77" t="s">
        <v>1438</v>
      </c>
      <c r="D47" s="78" t="s">
        <v>344</v>
      </c>
      <c r="E47" s="79"/>
      <c r="F47" s="80">
        <v>18</v>
      </c>
      <c r="G47" s="80">
        <f t="shared" si="0"/>
        <v>18</v>
      </c>
      <c r="H47" s="81" t="s">
        <v>345</v>
      </c>
      <c r="I47" s="82"/>
      <c r="J47" s="83"/>
      <c r="K47" s="82"/>
      <c r="L47" s="82">
        <v>46203</v>
      </c>
      <c r="M47" s="82"/>
      <c r="S47" s="84"/>
      <c r="T47" s="84"/>
      <c r="U47" s="78"/>
      <c r="V47" s="85"/>
      <c r="W47" s="78"/>
      <c r="X47" s="78"/>
      <c r="Y47" s="76"/>
      <c r="Z47" s="76"/>
      <c r="AA47" s="86"/>
    </row>
    <row r="48" spans="2:27" s="64" customFormat="1" ht="15" customHeight="1">
      <c r="B48" s="76" t="s">
        <v>346</v>
      </c>
      <c r="C48" s="77" t="s">
        <v>1439</v>
      </c>
      <c r="D48" s="78" t="s">
        <v>347</v>
      </c>
      <c r="E48" s="79"/>
      <c r="F48" s="80">
        <v>1</v>
      </c>
      <c r="G48" s="80">
        <f t="shared" si="0"/>
        <v>1</v>
      </c>
      <c r="H48" s="81" t="s">
        <v>319</v>
      </c>
      <c r="I48" s="82"/>
      <c r="J48" s="83"/>
      <c r="K48" s="82"/>
      <c r="L48" s="82">
        <v>46203</v>
      </c>
      <c r="M48" s="82"/>
      <c r="S48" s="84"/>
      <c r="T48" s="84"/>
      <c r="U48" s="78"/>
      <c r="V48" s="85"/>
      <c r="W48" s="78"/>
      <c r="X48" s="78"/>
      <c r="Y48" s="76"/>
      <c r="Z48" s="76"/>
      <c r="AA48" s="86"/>
    </row>
    <row r="49" spans="2:27" s="64" customFormat="1" ht="15" customHeight="1">
      <c r="B49" s="76" t="s">
        <v>348</v>
      </c>
      <c r="C49" s="77" t="s">
        <v>1440</v>
      </c>
      <c r="D49" s="78" t="s">
        <v>349</v>
      </c>
      <c r="E49" s="79"/>
      <c r="F49" s="80">
        <v>6</v>
      </c>
      <c r="G49" s="80">
        <f t="shared" si="0"/>
        <v>6</v>
      </c>
      <c r="H49" s="81" t="s">
        <v>300</v>
      </c>
      <c r="I49" s="82"/>
      <c r="J49" s="83"/>
      <c r="K49" s="82"/>
      <c r="L49" s="82">
        <v>46203</v>
      </c>
      <c r="M49" s="82"/>
      <c r="S49" s="84"/>
      <c r="T49" s="84"/>
      <c r="U49" s="78"/>
      <c r="V49" s="85"/>
      <c r="W49" s="78"/>
      <c r="X49" s="78"/>
      <c r="Y49" s="76"/>
      <c r="Z49" s="76"/>
      <c r="AA49" s="86"/>
    </row>
    <row r="50" spans="2:27" s="64" customFormat="1" ht="15" customHeight="1">
      <c r="B50" s="76" t="s">
        <v>350</v>
      </c>
      <c r="C50" s="77" t="s">
        <v>1441</v>
      </c>
      <c r="D50" s="78" t="s">
        <v>349</v>
      </c>
      <c r="E50" s="79"/>
      <c r="F50" s="80">
        <v>2</v>
      </c>
      <c r="G50" s="80">
        <f t="shared" si="0"/>
        <v>2</v>
      </c>
      <c r="H50" s="81" t="s">
        <v>300</v>
      </c>
      <c r="I50" s="82"/>
      <c r="J50" s="83"/>
      <c r="K50" s="82"/>
      <c r="L50" s="82">
        <v>46203</v>
      </c>
      <c r="M50" s="82"/>
      <c r="S50" s="84"/>
      <c r="T50" s="84"/>
      <c r="U50" s="78"/>
      <c r="V50" s="85"/>
      <c r="W50" s="78"/>
      <c r="X50" s="78"/>
      <c r="Y50" s="76"/>
      <c r="Z50" s="76"/>
      <c r="AA50" s="86"/>
    </row>
    <row r="51" spans="2:27" s="64" customFormat="1" ht="15" customHeight="1">
      <c r="B51" s="76" t="s">
        <v>351</v>
      </c>
      <c r="C51" s="77" t="s">
        <v>1442</v>
      </c>
      <c r="D51" s="78" t="s">
        <v>352</v>
      </c>
      <c r="E51" s="79"/>
      <c r="F51" s="80">
        <v>3</v>
      </c>
      <c r="G51" s="80">
        <f t="shared" si="0"/>
        <v>3</v>
      </c>
      <c r="H51" s="81" t="s">
        <v>302</v>
      </c>
      <c r="I51" s="82"/>
      <c r="J51" s="83"/>
      <c r="K51" s="82"/>
      <c r="L51" s="82">
        <v>46203</v>
      </c>
      <c r="M51" s="82"/>
      <c r="S51" s="84"/>
      <c r="T51" s="84"/>
      <c r="U51" s="78"/>
      <c r="V51" s="85"/>
      <c r="W51" s="78"/>
      <c r="X51" s="78"/>
      <c r="Y51" s="76"/>
      <c r="Z51" s="76"/>
      <c r="AA51" s="86"/>
    </row>
    <row r="52" spans="2:27" s="64" customFormat="1" ht="15" customHeight="1">
      <c r="B52" s="76" t="s">
        <v>353</v>
      </c>
      <c r="C52" s="77" t="s">
        <v>1443</v>
      </c>
      <c r="D52" s="78" t="s">
        <v>1444</v>
      </c>
      <c r="E52" s="79"/>
      <c r="F52" s="80">
        <v>28</v>
      </c>
      <c r="G52" s="80">
        <f t="shared" si="0"/>
        <v>28</v>
      </c>
      <c r="H52" s="81" t="s">
        <v>300</v>
      </c>
      <c r="I52" s="82"/>
      <c r="J52" s="83"/>
      <c r="K52" s="82"/>
      <c r="L52" s="82">
        <v>46203</v>
      </c>
      <c r="M52" s="82"/>
      <c r="S52" s="84"/>
      <c r="T52" s="84"/>
      <c r="U52" s="78"/>
      <c r="V52" s="85"/>
      <c r="W52" s="78"/>
      <c r="X52" s="78"/>
      <c r="Y52" s="76"/>
      <c r="Z52" s="76"/>
      <c r="AA52" s="86"/>
    </row>
    <row r="53" spans="2:27" s="64" customFormat="1" ht="15" customHeight="1">
      <c r="B53" s="76" t="s">
        <v>354</v>
      </c>
      <c r="C53" s="77" t="s">
        <v>1445</v>
      </c>
      <c r="D53" s="78" t="s">
        <v>355</v>
      </c>
      <c r="E53" s="79"/>
      <c r="F53" s="80">
        <v>1</v>
      </c>
      <c r="G53" s="80">
        <f t="shared" si="0"/>
        <v>1</v>
      </c>
      <c r="H53" s="81" t="s">
        <v>1767</v>
      </c>
      <c r="I53" s="82"/>
      <c r="J53" s="83"/>
      <c r="K53" s="82"/>
      <c r="L53" s="82">
        <v>46203</v>
      </c>
      <c r="M53" s="82"/>
      <c r="S53" s="84"/>
      <c r="T53" s="84"/>
      <c r="U53" s="78"/>
      <c r="V53" s="85"/>
      <c r="W53" s="78"/>
      <c r="X53" s="78"/>
      <c r="Y53" s="76"/>
      <c r="Z53" s="76"/>
      <c r="AA53" s="86"/>
    </row>
    <row r="54" spans="2:27" s="64" customFormat="1" ht="15" customHeight="1">
      <c r="B54" s="76" t="s">
        <v>356</v>
      </c>
      <c r="C54" s="77" t="s">
        <v>1446</v>
      </c>
      <c r="D54" s="78"/>
      <c r="E54" s="79"/>
      <c r="F54" s="80">
        <v>1</v>
      </c>
      <c r="G54" s="80">
        <f t="shared" si="0"/>
        <v>1</v>
      </c>
      <c r="H54" s="81" t="s">
        <v>289</v>
      </c>
      <c r="I54" s="82"/>
      <c r="J54" s="83"/>
      <c r="K54" s="82"/>
      <c r="L54" s="82">
        <v>46203</v>
      </c>
      <c r="M54" s="82"/>
      <c r="S54" s="84"/>
      <c r="T54" s="84"/>
      <c r="U54" s="78"/>
      <c r="V54" s="85"/>
      <c r="W54" s="78"/>
      <c r="X54" s="78"/>
      <c r="Y54" s="76"/>
      <c r="Z54" s="76"/>
      <c r="AA54" s="86"/>
    </row>
    <row r="55" spans="2:27" s="64" customFormat="1" ht="15" customHeight="1">
      <c r="B55" s="76" t="s">
        <v>357</v>
      </c>
      <c r="C55" s="77" t="s">
        <v>1447</v>
      </c>
      <c r="D55" s="78"/>
      <c r="E55" s="79"/>
      <c r="F55" s="80">
        <v>14</v>
      </c>
      <c r="G55" s="80">
        <f t="shared" si="0"/>
        <v>14</v>
      </c>
      <c r="H55" s="81" t="s">
        <v>287</v>
      </c>
      <c r="I55" s="82"/>
      <c r="J55" s="83"/>
      <c r="K55" s="82"/>
      <c r="L55" s="82">
        <v>46203</v>
      </c>
      <c r="M55" s="82"/>
      <c r="S55" s="84"/>
      <c r="T55" s="84"/>
      <c r="U55" s="78"/>
      <c r="V55" s="85"/>
      <c r="W55" s="78"/>
      <c r="X55" s="78"/>
      <c r="Y55" s="76"/>
      <c r="Z55" s="76"/>
      <c r="AA55" s="86"/>
    </row>
    <row r="56" spans="2:27" s="64" customFormat="1" ht="15" customHeight="1">
      <c r="B56" s="76" t="s">
        <v>358</v>
      </c>
      <c r="C56" s="77" t="s">
        <v>1448</v>
      </c>
      <c r="D56" s="78"/>
      <c r="E56" s="79"/>
      <c r="F56" s="80">
        <f>33-6</f>
        <v>27</v>
      </c>
      <c r="G56" s="80">
        <f t="shared" si="0"/>
        <v>27</v>
      </c>
      <c r="H56" s="81" t="s">
        <v>287</v>
      </c>
      <c r="I56" s="82"/>
      <c r="J56" s="83"/>
      <c r="K56" s="82"/>
      <c r="L56" s="82">
        <v>46203</v>
      </c>
      <c r="M56" s="82"/>
      <c r="S56" s="84"/>
      <c r="T56" s="84"/>
      <c r="U56" s="78"/>
      <c r="V56" s="85"/>
      <c r="W56" s="78"/>
      <c r="X56" s="78"/>
      <c r="Y56" s="76"/>
      <c r="Z56" s="76"/>
      <c r="AA56" s="86"/>
    </row>
    <row r="57" spans="2:27" s="64" customFormat="1" ht="15" customHeight="1">
      <c r="B57" s="76" t="s">
        <v>359</v>
      </c>
      <c r="C57" s="77" t="s">
        <v>1449</v>
      </c>
      <c r="D57" s="78" t="s">
        <v>360</v>
      </c>
      <c r="E57" s="79"/>
      <c r="F57" s="80">
        <v>9</v>
      </c>
      <c r="G57" s="80">
        <f t="shared" si="0"/>
        <v>9</v>
      </c>
      <c r="H57" s="81" t="s">
        <v>291</v>
      </c>
      <c r="I57" s="82"/>
      <c r="J57" s="83"/>
      <c r="K57" s="82"/>
      <c r="L57" s="82">
        <v>46203</v>
      </c>
      <c r="M57" s="82"/>
      <c r="S57" s="84"/>
      <c r="T57" s="84"/>
      <c r="U57" s="78"/>
      <c r="V57" s="85"/>
      <c r="W57" s="78"/>
      <c r="X57" s="78"/>
      <c r="Y57" s="76"/>
      <c r="Z57" s="76"/>
      <c r="AA57" s="86"/>
    </row>
    <row r="58" spans="2:27" s="64" customFormat="1" ht="15" customHeight="1">
      <c r="B58" s="76" t="s">
        <v>361</v>
      </c>
      <c r="C58" s="77" t="s">
        <v>1450</v>
      </c>
      <c r="D58" s="78" t="s">
        <v>362</v>
      </c>
      <c r="E58" s="79"/>
      <c r="F58" s="80">
        <v>4</v>
      </c>
      <c r="G58" s="80">
        <f t="shared" si="0"/>
        <v>4</v>
      </c>
      <c r="H58" s="81" t="s">
        <v>287</v>
      </c>
      <c r="I58" s="82"/>
      <c r="J58" s="83"/>
      <c r="K58" s="82"/>
      <c r="L58" s="82">
        <v>46203</v>
      </c>
      <c r="M58" s="82"/>
      <c r="S58" s="84"/>
      <c r="T58" s="84"/>
      <c r="U58" s="78"/>
      <c r="V58" s="85"/>
      <c r="W58" s="78"/>
      <c r="X58" s="78"/>
      <c r="Y58" s="76"/>
      <c r="Z58" s="76"/>
      <c r="AA58" s="86"/>
    </row>
    <row r="59" spans="2:27" s="64" customFormat="1" ht="15" customHeight="1">
      <c r="B59" s="76" t="s">
        <v>363</v>
      </c>
      <c r="C59" s="77" t="s">
        <v>1451</v>
      </c>
      <c r="D59" s="78" t="s">
        <v>362</v>
      </c>
      <c r="E59" s="79"/>
      <c r="F59" s="80">
        <v>2</v>
      </c>
      <c r="G59" s="80">
        <f t="shared" si="0"/>
        <v>2</v>
      </c>
      <c r="H59" s="81" t="s">
        <v>364</v>
      </c>
      <c r="I59" s="96"/>
      <c r="J59" s="79"/>
      <c r="K59" s="96"/>
      <c r="L59" s="82">
        <v>46203</v>
      </c>
      <c r="M59" s="82"/>
      <c r="S59" s="84"/>
      <c r="T59" s="84"/>
      <c r="U59" s="78"/>
      <c r="V59" s="85"/>
      <c r="W59" s="78"/>
      <c r="X59" s="78"/>
      <c r="Y59" s="76"/>
      <c r="Z59" s="76"/>
      <c r="AA59" s="86"/>
    </row>
    <row r="60" spans="2:27" s="64" customFormat="1" ht="15" customHeight="1">
      <c r="B60" s="76" t="s">
        <v>1929</v>
      </c>
      <c r="C60" s="77" t="s">
        <v>1452</v>
      </c>
      <c r="D60" s="78" t="s">
        <v>362</v>
      </c>
      <c r="E60" s="79"/>
      <c r="F60" s="80">
        <f>28-8</f>
        <v>20</v>
      </c>
      <c r="G60" s="80">
        <f t="shared" si="0"/>
        <v>20</v>
      </c>
      <c r="H60" s="81" t="s">
        <v>364</v>
      </c>
      <c r="I60" s="82"/>
      <c r="J60" s="83"/>
      <c r="K60" s="82"/>
      <c r="L60" s="82">
        <v>46203</v>
      </c>
      <c r="M60" s="82"/>
      <c r="S60" s="84"/>
      <c r="T60" s="84"/>
      <c r="U60" s="78"/>
      <c r="V60" s="85"/>
      <c r="W60" s="78"/>
      <c r="X60" s="78"/>
      <c r="Y60" s="76"/>
      <c r="Z60" s="76"/>
      <c r="AA60" s="86"/>
    </row>
    <row r="61" spans="2:27" s="64" customFormat="1" ht="15" customHeight="1">
      <c r="B61" s="76" t="s">
        <v>365</v>
      </c>
      <c r="C61" s="77" t="s">
        <v>1453</v>
      </c>
      <c r="D61" s="78" t="s">
        <v>362</v>
      </c>
      <c r="E61" s="79"/>
      <c r="F61" s="80">
        <v>13</v>
      </c>
      <c r="G61" s="80">
        <f t="shared" si="0"/>
        <v>13</v>
      </c>
      <c r="H61" s="81" t="s">
        <v>364</v>
      </c>
      <c r="I61" s="96"/>
      <c r="J61" s="79"/>
      <c r="K61" s="96"/>
      <c r="L61" s="82">
        <v>46203</v>
      </c>
      <c r="M61" s="82"/>
      <c r="S61" s="84"/>
      <c r="T61" s="84"/>
      <c r="U61" s="78"/>
      <c r="V61" s="85"/>
      <c r="W61" s="78"/>
      <c r="X61" s="78"/>
      <c r="Y61" s="76"/>
      <c r="Z61" s="76"/>
      <c r="AA61" s="86"/>
    </row>
    <row r="62" spans="2:27" s="64" customFormat="1" ht="15" customHeight="1">
      <c r="B62" s="76" t="s">
        <v>366</v>
      </c>
      <c r="C62" s="77" t="s">
        <v>1454</v>
      </c>
      <c r="D62" s="78"/>
      <c r="E62" s="79"/>
      <c r="F62" s="80">
        <v>74</v>
      </c>
      <c r="G62" s="80">
        <f t="shared" si="0"/>
        <v>74</v>
      </c>
      <c r="H62" s="81" t="s">
        <v>291</v>
      </c>
      <c r="I62" s="82"/>
      <c r="J62" s="83"/>
      <c r="K62" s="82"/>
      <c r="L62" s="82">
        <v>46203</v>
      </c>
      <c r="M62" s="82"/>
      <c r="S62" s="84"/>
      <c r="T62" s="84"/>
      <c r="U62" s="78"/>
      <c r="V62" s="85"/>
      <c r="W62" s="78"/>
      <c r="X62" s="78"/>
      <c r="Y62" s="76"/>
      <c r="Z62" s="76"/>
      <c r="AA62" s="86"/>
    </row>
    <row r="63" spans="2:27" s="64" customFormat="1" ht="15" customHeight="1">
      <c r="B63" s="76" t="s">
        <v>367</v>
      </c>
      <c r="C63" s="77" t="s">
        <v>1455</v>
      </c>
      <c r="D63" s="78" t="s">
        <v>368</v>
      </c>
      <c r="E63" s="79"/>
      <c r="F63" s="80">
        <v>76</v>
      </c>
      <c r="G63" s="80">
        <f t="shared" si="0"/>
        <v>76</v>
      </c>
      <c r="H63" s="81" t="s">
        <v>300</v>
      </c>
      <c r="I63" s="82"/>
      <c r="J63" s="83"/>
      <c r="K63" s="82"/>
      <c r="L63" s="82">
        <v>46203</v>
      </c>
      <c r="M63" s="82"/>
      <c r="S63" s="84"/>
      <c r="T63" s="84"/>
      <c r="U63" s="78"/>
      <c r="V63" s="85"/>
      <c r="W63" s="78"/>
      <c r="X63" s="78"/>
      <c r="Y63" s="76"/>
      <c r="Z63" s="76"/>
      <c r="AA63" s="86"/>
    </row>
    <row r="64" spans="2:27" s="64" customFormat="1">
      <c r="B64" s="76" t="s">
        <v>369</v>
      </c>
      <c r="C64" s="77" t="s">
        <v>1456</v>
      </c>
      <c r="D64" s="78" t="s">
        <v>1457</v>
      </c>
      <c r="E64" s="79"/>
      <c r="F64" s="80">
        <v>15</v>
      </c>
      <c r="G64" s="80">
        <f t="shared" si="0"/>
        <v>15</v>
      </c>
      <c r="H64" s="81" t="s">
        <v>300</v>
      </c>
      <c r="I64" s="82"/>
      <c r="J64" s="83"/>
      <c r="K64" s="82"/>
      <c r="L64" s="82">
        <v>46203</v>
      </c>
      <c r="M64" s="82"/>
      <c r="S64" s="84"/>
      <c r="T64" s="84"/>
      <c r="U64" s="78"/>
      <c r="V64" s="85"/>
      <c r="W64" s="78"/>
      <c r="X64" s="78"/>
      <c r="Y64" s="76"/>
      <c r="Z64" s="76"/>
      <c r="AA64" s="86"/>
    </row>
    <row r="65" spans="2:27" s="64" customFormat="1" ht="15" customHeight="1">
      <c r="B65" s="76" t="s">
        <v>370</v>
      </c>
      <c r="C65" s="77" t="s">
        <v>1458</v>
      </c>
      <c r="D65" s="78" t="s">
        <v>371</v>
      </c>
      <c r="E65" s="79"/>
      <c r="F65" s="80">
        <v>2</v>
      </c>
      <c r="G65" s="80">
        <f t="shared" si="0"/>
        <v>2</v>
      </c>
      <c r="H65" s="81" t="s">
        <v>364</v>
      </c>
      <c r="I65" s="82"/>
      <c r="J65" s="83"/>
      <c r="K65" s="82"/>
      <c r="L65" s="82">
        <v>46203</v>
      </c>
      <c r="M65" s="82"/>
      <c r="S65" s="84"/>
      <c r="T65" s="84"/>
      <c r="U65" s="78"/>
      <c r="V65" s="85"/>
      <c r="W65" s="78"/>
      <c r="X65" s="78"/>
      <c r="Y65" s="76"/>
      <c r="Z65" s="76"/>
      <c r="AA65" s="86"/>
    </row>
    <row r="66" spans="2:27" s="64" customFormat="1" ht="15" customHeight="1">
      <c r="B66" s="76" t="s">
        <v>372</v>
      </c>
      <c r="C66" s="77" t="s">
        <v>1459</v>
      </c>
      <c r="D66" s="78" t="s">
        <v>1460</v>
      </c>
      <c r="E66" s="79"/>
      <c r="F66" s="80">
        <v>5</v>
      </c>
      <c r="G66" s="80">
        <f t="shared" si="0"/>
        <v>5</v>
      </c>
      <c r="H66" s="81" t="s">
        <v>373</v>
      </c>
      <c r="I66" s="82"/>
      <c r="J66" s="83"/>
      <c r="K66" s="82"/>
      <c r="L66" s="82">
        <v>46203</v>
      </c>
      <c r="M66" s="82"/>
      <c r="S66" s="84"/>
      <c r="T66" s="84"/>
      <c r="U66" s="78"/>
      <c r="V66" s="85"/>
      <c r="W66" s="78"/>
      <c r="X66" s="78"/>
      <c r="Y66" s="76"/>
      <c r="Z66" s="76"/>
      <c r="AA66" s="86"/>
    </row>
    <row r="67" spans="2:27" s="64" customFormat="1" ht="15" customHeight="1">
      <c r="B67" s="76" t="s">
        <v>374</v>
      </c>
      <c r="C67" s="77" t="s">
        <v>1461</v>
      </c>
      <c r="D67" s="78"/>
      <c r="E67" s="79"/>
      <c r="F67" s="80">
        <v>5</v>
      </c>
      <c r="G67" s="80">
        <f t="shared" si="0"/>
        <v>5</v>
      </c>
      <c r="H67" s="81" t="s">
        <v>287</v>
      </c>
      <c r="I67" s="82"/>
      <c r="J67" s="83"/>
      <c r="K67" s="82"/>
      <c r="L67" s="82">
        <v>46203</v>
      </c>
      <c r="M67" s="82"/>
      <c r="S67" s="84"/>
      <c r="T67" s="84"/>
      <c r="U67" s="78"/>
      <c r="V67" s="85"/>
      <c r="W67" s="78"/>
      <c r="X67" s="78"/>
      <c r="Y67" s="76"/>
      <c r="Z67" s="76"/>
      <c r="AA67" s="86"/>
    </row>
    <row r="68" spans="2:27" s="64" customFormat="1" ht="15" customHeight="1">
      <c r="B68" s="76" t="s">
        <v>375</v>
      </c>
      <c r="C68" s="77" t="s">
        <v>1462</v>
      </c>
      <c r="D68" s="78"/>
      <c r="E68" s="79"/>
      <c r="F68" s="80">
        <v>1</v>
      </c>
      <c r="G68" s="80">
        <f t="shared" si="0"/>
        <v>1</v>
      </c>
      <c r="H68" s="81" t="s">
        <v>287</v>
      </c>
      <c r="I68" s="82"/>
      <c r="J68" s="83"/>
      <c r="K68" s="82"/>
      <c r="L68" s="82">
        <v>46203</v>
      </c>
      <c r="M68" s="82"/>
      <c r="S68" s="84"/>
      <c r="T68" s="84"/>
      <c r="U68" s="78"/>
      <c r="V68" s="85"/>
      <c r="W68" s="78"/>
      <c r="X68" s="78"/>
      <c r="Y68" s="76"/>
      <c r="Z68" s="76"/>
      <c r="AA68" s="86"/>
    </row>
    <row r="69" spans="2:27" s="64" customFormat="1" ht="15" customHeight="1">
      <c r="B69" s="76" t="s">
        <v>376</v>
      </c>
      <c r="C69" s="77" t="s">
        <v>1463</v>
      </c>
      <c r="D69" s="78"/>
      <c r="E69" s="79"/>
      <c r="F69" s="80">
        <v>2</v>
      </c>
      <c r="G69" s="80">
        <f t="shared" si="0"/>
        <v>2</v>
      </c>
      <c r="H69" s="81" t="s">
        <v>287</v>
      </c>
      <c r="I69" s="82"/>
      <c r="J69" s="83"/>
      <c r="K69" s="82"/>
      <c r="L69" s="82">
        <v>46203</v>
      </c>
      <c r="M69" s="82"/>
      <c r="S69" s="84"/>
      <c r="T69" s="84"/>
      <c r="U69" s="78"/>
      <c r="V69" s="85"/>
      <c r="W69" s="78"/>
      <c r="X69" s="78"/>
      <c r="Y69" s="76"/>
      <c r="Z69" s="76"/>
      <c r="AA69" s="86"/>
    </row>
    <row r="70" spans="2:27" s="64" customFormat="1" ht="15" customHeight="1">
      <c r="B70" s="76" t="s">
        <v>377</v>
      </c>
      <c r="C70" s="77" t="s">
        <v>1464</v>
      </c>
      <c r="D70" s="78"/>
      <c r="E70" s="79"/>
      <c r="F70" s="80">
        <v>10</v>
      </c>
      <c r="G70" s="80">
        <f t="shared" si="0"/>
        <v>10</v>
      </c>
      <c r="H70" s="81" t="s">
        <v>287</v>
      </c>
      <c r="I70" s="82"/>
      <c r="J70" s="83"/>
      <c r="K70" s="82"/>
      <c r="L70" s="82">
        <v>46203</v>
      </c>
      <c r="M70" s="82"/>
      <c r="S70" s="84"/>
      <c r="T70" s="84"/>
      <c r="U70" s="78"/>
      <c r="V70" s="85"/>
      <c r="W70" s="78"/>
      <c r="X70" s="78"/>
      <c r="Y70" s="76"/>
      <c r="Z70" s="76"/>
      <c r="AA70" s="86"/>
    </row>
    <row r="71" spans="2:27" s="64" customFormat="1" ht="15" customHeight="1">
      <c r="B71" s="76" t="s">
        <v>378</v>
      </c>
      <c r="C71" s="77" t="s">
        <v>1465</v>
      </c>
      <c r="D71" s="78"/>
      <c r="E71" s="79"/>
      <c r="F71" s="80">
        <v>2</v>
      </c>
      <c r="G71" s="80">
        <f t="shared" si="0"/>
        <v>2</v>
      </c>
      <c r="H71" s="81" t="s">
        <v>291</v>
      </c>
      <c r="I71" s="82"/>
      <c r="J71" s="83"/>
      <c r="K71" s="82"/>
      <c r="L71" s="82">
        <v>46203</v>
      </c>
      <c r="M71" s="82"/>
      <c r="S71" s="84"/>
      <c r="T71" s="84"/>
      <c r="U71" s="78"/>
      <c r="V71" s="85"/>
      <c r="W71" s="78"/>
      <c r="X71" s="78"/>
      <c r="Y71" s="76"/>
      <c r="Z71" s="76"/>
      <c r="AA71" s="86"/>
    </row>
    <row r="72" spans="2:27" s="64" customFormat="1" ht="15" customHeight="1">
      <c r="B72" s="76" t="s">
        <v>379</v>
      </c>
      <c r="C72" s="77" t="s">
        <v>1466</v>
      </c>
      <c r="D72" s="78"/>
      <c r="E72" s="79"/>
      <c r="F72" s="80">
        <v>5</v>
      </c>
      <c r="G72" s="80">
        <f t="shared" si="0"/>
        <v>5</v>
      </c>
      <c r="H72" s="81" t="s">
        <v>291</v>
      </c>
      <c r="I72" s="82"/>
      <c r="J72" s="83"/>
      <c r="K72" s="82"/>
      <c r="L72" s="82">
        <v>46203</v>
      </c>
      <c r="M72" s="82"/>
      <c r="S72" s="84"/>
      <c r="T72" s="84"/>
      <c r="U72" s="78"/>
      <c r="V72" s="85"/>
      <c r="W72" s="78"/>
      <c r="X72" s="78"/>
      <c r="Y72" s="76"/>
      <c r="Z72" s="76"/>
      <c r="AA72" s="86"/>
    </row>
    <row r="73" spans="2:27" s="64" customFormat="1" ht="15" customHeight="1">
      <c r="B73" s="76" t="s">
        <v>380</v>
      </c>
      <c r="C73" s="77" t="s">
        <v>1467</v>
      </c>
      <c r="D73" s="78"/>
      <c r="E73" s="79"/>
      <c r="F73" s="80">
        <v>1</v>
      </c>
      <c r="G73" s="80">
        <f t="shared" ref="G73:G145" si="1">F73-E73</f>
        <v>1</v>
      </c>
      <c r="H73" s="81" t="s">
        <v>291</v>
      </c>
      <c r="I73" s="82"/>
      <c r="J73" s="83"/>
      <c r="K73" s="82"/>
      <c r="L73" s="82">
        <v>46203</v>
      </c>
      <c r="M73" s="82"/>
      <c r="S73" s="84"/>
      <c r="T73" s="84"/>
      <c r="U73" s="78"/>
      <c r="V73" s="85"/>
      <c r="W73" s="78"/>
      <c r="X73" s="78"/>
      <c r="Y73" s="76"/>
      <c r="Z73" s="76"/>
      <c r="AA73" s="86"/>
    </row>
    <row r="74" spans="2:27" s="64" customFormat="1" ht="15" customHeight="1">
      <c r="B74" s="76" t="s">
        <v>381</v>
      </c>
      <c r="C74" s="77" t="s">
        <v>1468</v>
      </c>
      <c r="D74" s="78" t="s">
        <v>382</v>
      </c>
      <c r="E74" s="79"/>
      <c r="F74" s="80">
        <v>1</v>
      </c>
      <c r="G74" s="80">
        <f t="shared" si="1"/>
        <v>1</v>
      </c>
      <c r="H74" s="81" t="s">
        <v>291</v>
      </c>
      <c r="I74" s="82"/>
      <c r="J74" s="83"/>
      <c r="K74" s="82"/>
      <c r="L74" s="82">
        <v>46203</v>
      </c>
      <c r="M74" s="82"/>
      <c r="S74" s="84"/>
      <c r="T74" s="84"/>
      <c r="U74" s="78"/>
      <c r="V74" s="85"/>
      <c r="W74" s="78"/>
      <c r="X74" s="78"/>
      <c r="Y74" s="76"/>
      <c r="Z74" s="76"/>
      <c r="AA74" s="86"/>
    </row>
    <row r="75" spans="2:27" s="64" customFormat="1" ht="15" customHeight="1">
      <c r="B75" s="76" t="s">
        <v>383</v>
      </c>
      <c r="C75" s="77" t="s">
        <v>1469</v>
      </c>
      <c r="D75" s="78"/>
      <c r="E75" s="79"/>
      <c r="F75" s="80">
        <v>11</v>
      </c>
      <c r="G75" s="80">
        <f t="shared" si="1"/>
        <v>11</v>
      </c>
      <c r="H75" s="81" t="s">
        <v>291</v>
      </c>
      <c r="I75" s="82"/>
      <c r="J75" s="83"/>
      <c r="K75" s="82"/>
      <c r="L75" s="82">
        <v>46203</v>
      </c>
      <c r="M75" s="82"/>
      <c r="S75" s="84"/>
      <c r="T75" s="84"/>
      <c r="U75" s="78"/>
      <c r="V75" s="85"/>
      <c r="W75" s="78"/>
      <c r="X75" s="78"/>
      <c r="Y75" s="76"/>
      <c r="Z75" s="76"/>
      <c r="AA75" s="86"/>
    </row>
    <row r="76" spans="2:27" s="64" customFormat="1" ht="15" customHeight="1">
      <c r="B76" s="76" t="s">
        <v>384</v>
      </c>
      <c r="C76" s="77" t="s">
        <v>1470</v>
      </c>
      <c r="D76" s="78" t="s">
        <v>385</v>
      </c>
      <c r="E76" s="79"/>
      <c r="F76" s="80">
        <v>1</v>
      </c>
      <c r="G76" s="80">
        <f t="shared" si="1"/>
        <v>1</v>
      </c>
      <c r="H76" s="81" t="s">
        <v>287</v>
      </c>
      <c r="I76" s="82"/>
      <c r="J76" s="83"/>
      <c r="K76" s="82"/>
      <c r="L76" s="82">
        <v>46203</v>
      </c>
      <c r="M76" s="82"/>
      <c r="S76" s="84"/>
      <c r="T76" s="84"/>
      <c r="U76" s="78"/>
      <c r="V76" s="85"/>
      <c r="W76" s="78"/>
      <c r="X76" s="78"/>
      <c r="Y76" s="76"/>
      <c r="Z76" s="76"/>
      <c r="AA76" s="86"/>
    </row>
    <row r="77" spans="2:27" s="64" customFormat="1" ht="15" customHeight="1">
      <c r="B77" s="76" t="s">
        <v>386</v>
      </c>
      <c r="C77" s="77" t="s">
        <v>1471</v>
      </c>
      <c r="D77" s="78" t="s">
        <v>360</v>
      </c>
      <c r="E77" s="79"/>
      <c r="F77" s="80">
        <v>2</v>
      </c>
      <c r="G77" s="80">
        <f t="shared" si="1"/>
        <v>2</v>
      </c>
      <c r="H77" s="81" t="s">
        <v>285</v>
      </c>
      <c r="I77" s="82"/>
      <c r="J77" s="83"/>
      <c r="K77" s="82"/>
      <c r="L77" s="82">
        <v>46203</v>
      </c>
      <c r="M77" s="82"/>
      <c r="S77" s="84"/>
      <c r="T77" s="84"/>
      <c r="U77" s="78"/>
      <c r="V77" s="85"/>
      <c r="W77" s="78"/>
      <c r="X77" s="78"/>
      <c r="Y77" s="76"/>
      <c r="Z77" s="76"/>
      <c r="AA77" s="86"/>
    </row>
    <row r="78" spans="2:27" s="64" customFormat="1" ht="15" customHeight="1">
      <c r="B78" s="76" t="s">
        <v>387</v>
      </c>
      <c r="C78" s="77" t="s">
        <v>1472</v>
      </c>
      <c r="D78" s="78" t="s">
        <v>362</v>
      </c>
      <c r="E78" s="79"/>
      <c r="F78" s="80">
        <v>1</v>
      </c>
      <c r="G78" s="80">
        <f t="shared" si="1"/>
        <v>1</v>
      </c>
      <c r="H78" s="81" t="s">
        <v>373</v>
      </c>
      <c r="I78" s="82"/>
      <c r="J78" s="83"/>
      <c r="K78" s="82"/>
      <c r="L78" s="82">
        <v>46203</v>
      </c>
      <c r="M78" s="82"/>
      <c r="S78" s="84"/>
      <c r="T78" s="84"/>
      <c r="U78" s="78"/>
      <c r="V78" s="85"/>
      <c r="W78" s="78"/>
      <c r="X78" s="78"/>
      <c r="Y78" s="76"/>
      <c r="Z78" s="76"/>
      <c r="AA78" s="86"/>
    </row>
    <row r="79" spans="2:27" s="64" customFormat="1" ht="15" customHeight="1">
      <c r="B79" s="76" t="s">
        <v>388</v>
      </c>
      <c r="C79" s="77" t="s">
        <v>1473</v>
      </c>
      <c r="D79" s="78" t="s">
        <v>362</v>
      </c>
      <c r="E79" s="79"/>
      <c r="F79" s="80">
        <v>3</v>
      </c>
      <c r="G79" s="80">
        <f t="shared" si="1"/>
        <v>3</v>
      </c>
      <c r="H79" s="81" t="s">
        <v>373</v>
      </c>
      <c r="I79" s="82"/>
      <c r="J79" s="83"/>
      <c r="K79" s="82"/>
      <c r="L79" s="82">
        <v>46203</v>
      </c>
      <c r="M79" s="82"/>
      <c r="S79" s="84"/>
      <c r="T79" s="84"/>
      <c r="U79" s="78"/>
      <c r="V79" s="85"/>
      <c r="W79" s="78"/>
      <c r="X79" s="78"/>
      <c r="Y79" s="76"/>
      <c r="Z79" s="76"/>
      <c r="AA79" s="86"/>
    </row>
    <row r="80" spans="2:27" s="64" customFormat="1" ht="15" customHeight="1">
      <c r="B80" s="76" t="s">
        <v>389</v>
      </c>
      <c r="C80" s="77" t="s">
        <v>1474</v>
      </c>
      <c r="D80" s="78" t="s">
        <v>174</v>
      </c>
      <c r="E80" s="79"/>
      <c r="F80" s="80">
        <v>1</v>
      </c>
      <c r="G80" s="80">
        <f t="shared" si="1"/>
        <v>1</v>
      </c>
      <c r="H80" s="81" t="s">
        <v>287</v>
      </c>
      <c r="I80" s="82"/>
      <c r="J80" s="83"/>
      <c r="K80" s="82"/>
      <c r="L80" s="82">
        <v>46203</v>
      </c>
      <c r="M80" s="82"/>
      <c r="S80" s="84"/>
      <c r="T80" s="84"/>
      <c r="U80" s="78"/>
      <c r="V80" s="85"/>
      <c r="W80" s="78"/>
      <c r="X80" s="78"/>
      <c r="Y80" s="76"/>
      <c r="Z80" s="76"/>
      <c r="AA80" s="86"/>
    </row>
    <row r="81" spans="2:27" s="64" customFormat="1" ht="15" customHeight="1">
      <c r="B81" s="76" t="s">
        <v>390</v>
      </c>
      <c r="C81" s="77" t="s">
        <v>1475</v>
      </c>
      <c r="D81" s="78" t="s">
        <v>174</v>
      </c>
      <c r="E81" s="79"/>
      <c r="F81" s="80">
        <v>1</v>
      </c>
      <c r="G81" s="80">
        <f t="shared" si="1"/>
        <v>1</v>
      </c>
      <c r="H81" s="81" t="s">
        <v>287</v>
      </c>
      <c r="I81" s="82"/>
      <c r="J81" s="83"/>
      <c r="K81" s="82"/>
      <c r="L81" s="82">
        <v>46203</v>
      </c>
      <c r="M81" s="82"/>
      <c r="S81" s="84"/>
      <c r="T81" s="84"/>
      <c r="U81" s="78"/>
      <c r="V81" s="85"/>
      <c r="W81" s="78"/>
      <c r="X81" s="78"/>
      <c r="Y81" s="76"/>
      <c r="Z81" s="76"/>
      <c r="AA81" s="86"/>
    </row>
    <row r="82" spans="2:27" s="64" customFormat="1" ht="15" customHeight="1">
      <c r="B82" s="76" t="s">
        <v>391</v>
      </c>
      <c r="C82" s="77" t="s">
        <v>1476</v>
      </c>
      <c r="D82" s="78"/>
      <c r="E82" s="79"/>
      <c r="F82" s="80">
        <v>5</v>
      </c>
      <c r="G82" s="80">
        <f t="shared" si="1"/>
        <v>5</v>
      </c>
      <c r="H82" s="81" t="s">
        <v>287</v>
      </c>
      <c r="I82" s="82"/>
      <c r="J82" s="83"/>
      <c r="K82" s="82"/>
      <c r="L82" s="82">
        <v>46203</v>
      </c>
      <c r="M82" s="82"/>
      <c r="S82" s="84"/>
      <c r="T82" s="84"/>
      <c r="U82" s="78"/>
      <c r="V82" s="85"/>
      <c r="W82" s="78"/>
      <c r="X82" s="78"/>
      <c r="Y82" s="76"/>
      <c r="Z82" s="76"/>
      <c r="AA82" s="86"/>
    </row>
    <row r="83" spans="2:27" s="64" customFormat="1" ht="15" customHeight="1">
      <c r="B83" s="76" t="s">
        <v>392</v>
      </c>
      <c r="C83" s="76" t="s">
        <v>1477</v>
      </c>
      <c r="D83" s="78" t="s">
        <v>393</v>
      </c>
      <c r="E83" s="79"/>
      <c r="F83" s="80">
        <v>217</v>
      </c>
      <c r="G83" s="80">
        <f t="shared" si="1"/>
        <v>217</v>
      </c>
      <c r="H83" s="81" t="s">
        <v>300</v>
      </c>
      <c r="I83" s="82"/>
      <c r="J83" s="83"/>
      <c r="K83" s="82"/>
      <c r="L83" s="82">
        <v>46203</v>
      </c>
      <c r="M83" s="82"/>
      <c r="S83" s="84"/>
      <c r="T83" s="84"/>
      <c r="U83" s="78"/>
      <c r="V83" s="85"/>
      <c r="W83" s="78"/>
      <c r="X83" s="78"/>
      <c r="Y83" s="76"/>
      <c r="Z83" s="76"/>
      <c r="AA83" s="86"/>
    </row>
    <row r="84" spans="2:27" s="64" customFormat="1" ht="15" customHeight="1">
      <c r="B84" s="76" t="s">
        <v>394</v>
      </c>
      <c r="C84" s="77" t="s">
        <v>1478</v>
      </c>
      <c r="D84" s="78"/>
      <c r="E84" s="79"/>
      <c r="F84" s="80">
        <v>1</v>
      </c>
      <c r="G84" s="80">
        <f t="shared" si="1"/>
        <v>1</v>
      </c>
      <c r="H84" s="81" t="s">
        <v>287</v>
      </c>
      <c r="I84" s="82"/>
      <c r="J84" s="83"/>
      <c r="K84" s="82"/>
      <c r="L84" s="82">
        <v>46203</v>
      </c>
      <c r="M84" s="82"/>
      <c r="S84" s="84"/>
      <c r="T84" s="84"/>
      <c r="U84" s="78"/>
      <c r="V84" s="85"/>
      <c r="W84" s="78"/>
      <c r="X84" s="78"/>
      <c r="Y84" s="76"/>
      <c r="Z84" s="76"/>
      <c r="AA84" s="86"/>
    </row>
    <row r="85" spans="2:27" s="64" customFormat="1" ht="15" customHeight="1">
      <c r="B85" s="76" t="s">
        <v>395</v>
      </c>
      <c r="C85" s="76" t="s">
        <v>1479</v>
      </c>
      <c r="D85" s="78" t="s">
        <v>396</v>
      </c>
      <c r="E85" s="79"/>
      <c r="F85" s="80">
        <v>2</v>
      </c>
      <c r="G85" s="80">
        <f t="shared" si="1"/>
        <v>2</v>
      </c>
      <c r="H85" s="81" t="s">
        <v>287</v>
      </c>
      <c r="I85" s="82"/>
      <c r="J85" s="83"/>
      <c r="K85" s="82"/>
      <c r="L85" s="82">
        <v>46203</v>
      </c>
      <c r="M85" s="82"/>
      <c r="S85" s="84"/>
      <c r="T85" s="84"/>
      <c r="U85" s="78"/>
      <c r="V85" s="85"/>
      <c r="W85" s="78"/>
      <c r="X85" s="78"/>
      <c r="Y85" s="76"/>
      <c r="Z85" s="76"/>
      <c r="AA85" s="86"/>
    </row>
    <row r="86" spans="2:27" s="64" customFormat="1" ht="15" customHeight="1">
      <c r="B86" s="76" t="s">
        <v>397</v>
      </c>
      <c r="C86" s="77" t="s">
        <v>1480</v>
      </c>
      <c r="D86" s="78" t="s">
        <v>398</v>
      </c>
      <c r="E86" s="79"/>
      <c r="F86" s="80">
        <v>64</v>
      </c>
      <c r="G86" s="80">
        <f t="shared" si="1"/>
        <v>64</v>
      </c>
      <c r="H86" s="81" t="s">
        <v>300</v>
      </c>
      <c r="I86" s="82"/>
      <c r="J86" s="83"/>
      <c r="K86" s="82"/>
      <c r="L86" s="82">
        <v>46203</v>
      </c>
      <c r="M86" s="82"/>
      <c r="S86" s="84"/>
      <c r="T86" s="84"/>
      <c r="U86" s="78"/>
      <c r="V86" s="85"/>
      <c r="W86" s="78"/>
      <c r="X86" s="78"/>
      <c r="Y86" s="76"/>
      <c r="Z86" s="76"/>
      <c r="AA86" s="86"/>
    </row>
    <row r="87" spans="2:27" s="64" customFormat="1" ht="15" customHeight="1">
      <c r="B87" s="76" t="s">
        <v>399</v>
      </c>
      <c r="C87" s="77" t="s">
        <v>1481</v>
      </c>
      <c r="D87" s="78"/>
      <c r="E87" s="79"/>
      <c r="F87" s="80">
        <v>1</v>
      </c>
      <c r="G87" s="80">
        <f t="shared" si="1"/>
        <v>1</v>
      </c>
      <c r="H87" s="81" t="s">
        <v>400</v>
      </c>
      <c r="I87" s="82"/>
      <c r="J87" s="83"/>
      <c r="K87" s="82"/>
      <c r="L87" s="82">
        <v>46203</v>
      </c>
      <c r="M87" s="82"/>
      <c r="S87" s="84"/>
      <c r="T87" s="84"/>
      <c r="U87" s="78"/>
      <c r="V87" s="85"/>
      <c r="W87" s="78"/>
      <c r="X87" s="78"/>
      <c r="Y87" s="76"/>
      <c r="Z87" s="76"/>
      <c r="AA87" s="86"/>
    </row>
    <row r="88" spans="2:27" s="64" customFormat="1" ht="15" customHeight="1">
      <c r="B88" s="76" t="s">
        <v>401</v>
      </c>
      <c r="C88" s="77" t="s">
        <v>1482</v>
      </c>
      <c r="D88" s="78"/>
      <c r="E88" s="79"/>
      <c r="F88" s="80">
        <v>1</v>
      </c>
      <c r="G88" s="80">
        <f t="shared" si="1"/>
        <v>1</v>
      </c>
      <c r="H88" s="81" t="s">
        <v>400</v>
      </c>
      <c r="I88" s="82"/>
      <c r="J88" s="83"/>
      <c r="K88" s="82"/>
      <c r="L88" s="82">
        <v>46203</v>
      </c>
      <c r="M88" s="82"/>
      <c r="S88" s="84"/>
      <c r="T88" s="84"/>
      <c r="U88" s="78"/>
      <c r="V88" s="85"/>
      <c r="W88" s="78"/>
      <c r="X88" s="78"/>
      <c r="Y88" s="76"/>
      <c r="Z88" s="76"/>
      <c r="AA88" s="86"/>
    </row>
    <row r="89" spans="2:27" s="64" customFormat="1" ht="15" customHeight="1">
      <c r="B89" s="76" t="s">
        <v>402</v>
      </c>
      <c r="C89" s="77" t="s">
        <v>1483</v>
      </c>
      <c r="D89" s="78"/>
      <c r="E89" s="79"/>
      <c r="F89" s="80">
        <v>1</v>
      </c>
      <c r="G89" s="80">
        <f t="shared" si="1"/>
        <v>1</v>
      </c>
      <c r="H89" s="81" t="s">
        <v>400</v>
      </c>
      <c r="I89" s="82"/>
      <c r="J89" s="83"/>
      <c r="K89" s="82"/>
      <c r="L89" s="82">
        <v>46203</v>
      </c>
      <c r="M89" s="82"/>
      <c r="S89" s="84"/>
      <c r="T89" s="84"/>
      <c r="U89" s="78"/>
      <c r="V89" s="85"/>
      <c r="W89" s="78"/>
      <c r="X89" s="78"/>
      <c r="Y89" s="76"/>
      <c r="Z89" s="76"/>
      <c r="AA89" s="86"/>
    </row>
    <row r="90" spans="2:27" s="64" customFormat="1" ht="15" customHeight="1">
      <c r="B90" s="76" t="s">
        <v>1764</v>
      </c>
      <c r="C90" s="77" t="s">
        <v>1765</v>
      </c>
      <c r="D90" s="78"/>
      <c r="E90" s="79"/>
      <c r="F90" s="80">
        <v>1</v>
      </c>
      <c r="G90" s="80">
        <f t="shared" si="1"/>
        <v>1</v>
      </c>
      <c r="H90" s="81" t="s">
        <v>400</v>
      </c>
      <c r="I90" s="82"/>
      <c r="J90" s="83"/>
      <c r="K90" s="82"/>
      <c r="L90" s="82">
        <v>46203</v>
      </c>
      <c r="M90" s="82"/>
      <c r="S90" s="84"/>
      <c r="T90" s="84"/>
      <c r="U90" s="78"/>
      <c r="V90" s="85"/>
      <c r="W90" s="78"/>
      <c r="X90" s="78"/>
      <c r="Y90" s="76"/>
      <c r="Z90" s="76"/>
      <c r="AA90" s="86"/>
    </row>
    <row r="91" spans="2:27" s="64" customFormat="1" ht="15" customHeight="1">
      <c r="B91" s="76" t="s">
        <v>403</v>
      </c>
      <c r="C91" s="77" t="s">
        <v>1484</v>
      </c>
      <c r="D91" s="78"/>
      <c r="E91" s="79"/>
      <c r="F91" s="80">
        <v>1</v>
      </c>
      <c r="G91" s="80">
        <f t="shared" si="1"/>
        <v>1</v>
      </c>
      <c r="H91" s="81" t="s">
        <v>400</v>
      </c>
      <c r="I91" s="82"/>
      <c r="J91" s="83"/>
      <c r="K91" s="82"/>
      <c r="L91" s="82">
        <v>46203</v>
      </c>
      <c r="M91" s="82"/>
      <c r="S91" s="84"/>
      <c r="T91" s="84"/>
      <c r="U91" s="78"/>
      <c r="V91" s="85"/>
      <c r="W91" s="78"/>
      <c r="X91" s="78"/>
      <c r="Y91" s="76"/>
      <c r="Z91" s="76"/>
      <c r="AA91" s="86"/>
    </row>
    <row r="92" spans="2:27" s="64" customFormat="1" ht="15" customHeight="1">
      <c r="B92" s="76" t="s">
        <v>404</v>
      </c>
      <c r="C92" s="77" t="s">
        <v>1485</v>
      </c>
      <c r="D92" s="78"/>
      <c r="E92" s="79"/>
      <c r="F92" s="80">
        <v>1</v>
      </c>
      <c r="G92" s="80">
        <f t="shared" si="1"/>
        <v>1</v>
      </c>
      <c r="H92" s="81" t="s">
        <v>291</v>
      </c>
      <c r="I92" s="82"/>
      <c r="J92" s="83"/>
      <c r="K92" s="82"/>
      <c r="L92" s="82">
        <v>46203</v>
      </c>
      <c r="M92" s="82"/>
      <c r="S92" s="84"/>
      <c r="T92" s="84"/>
      <c r="U92" s="78"/>
      <c r="V92" s="85"/>
      <c r="W92" s="78"/>
      <c r="X92" s="78"/>
      <c r="Y92" s="76"/>
      <c r="Z92" s="76"/>
      <c r="AA92" s="86"/>
    </row>
    <row r="93" spans="2:27" s="64" customFormat="1" ht="15" customHeight="1">
      <c r="B93" s="76" t="s">
        <v>405</v>
      </c>
      <c r="C93" s="77" t="s">
        <v>1486</v>
      </c>
      <c r="D93" s="78"/>
      <c r="E93" s="79"/>
      <c r="F93" s="80">
        <v>1</v>
      </c>
      <c r="G93" s="80">
        <f t="shared" si="1"/>
        <v>1</v>
      </c>
      <c r="H93" s="81" t="s">
        <v>289</v>
      </c>
      <c r="I93" s="82"/>
      <c r="J93" s="83"/>
      <c r="K93" s="82"/>
      <c r="L93" s="82">
        <v>46203</v>
      </c>
      <c r="M93" s="82"/>
      <c r="S93" s="84"/>
      <c r="T93" s="84"/>
      <c r="U93" s="78"/>
      <c r="V93" s="85"/>
      <c r="W93" s="78"/>
      <c r="X93" s="78"/>
      <c r="Y93" s="76"/>
      <c r="Z93" s="76"/>
      <c r="AA93" s="86"/>
    </row>
    <row r="94" spans="2:27" s="64" customFormat="1" ht="15" customHeight="1">
      <c r="B94" s="76" t="s">
        <v>406</v>
      </c>
      <c r="C94" s="77" t="s">
        <v>1487</v>
      </c>
      <c r="D94" s="78"/>
      <c r="E94" s="79"/>
      <c r="F94" s="80">
        <v>3</v>
      </c>
      <c r="G94" s="80">
        <f t="shared" si="1"/>
        <v>3</v>
      </c>
      <c r="H94" s="81" t="s">
        <v>289</v>
      </c>
      <c r="I94" s="82"/>
      <c r="J94" s="83"/>
      <c r="K94" s="82"/>
      <c r="L94" s="82">
        <v>46203</v>
      </c>
      <c r="M94" s="82"/>
      <c r="S94" s="84"/>
      <c r="T94" s="84"/>
      <c r="U94" s="78"/>
      <c r="V94" s="85"/>
      <c r="W94" s="78"/>
      <c r="X94" s="78"/>
      <c r="Y94" s="76"/>
      <c r="Z94" s="76"/>
      <c r="AA94" s="86"/>
    </row>
    <row r="95" spans="2:27" s="64" customFormat="1" ht="15" customHeight="1">
      <c r="B95" s="76" t="s">
        <v>406</v>
      </c>
      <c r="C95" s="77" t="s">
        <v>1488</v>
      </c>
      <c r="D95" s="78"/>
      <c r="E95" s="79"/>
      <c r="F95" s="80">
        <v>0</v>
      </c>
      <c r="G95" s="80">
        <f t="shared" si="1"/>
        <v>0</v>
      </c>
      <c r="H95" s="81"/>
      <c r="I95" s="82"/>
      <c r="J95" s="83"/>
      <c r="K95" s="82"/>
      <c r="L95" s="82">
        <v>46203</v>
      </c>
      <c r="M95" s="82"/>
      <c r="S95" s="84"/>
      <c r="T95" s="84"/>
      <c r="U95" s="78"/>
      <c r="V95" s="85"/>
      <c r="W95" s="78"/>
      <c r="X95" s="78"/>
      <c r="Y95" s="76"/>
      <c r="Z95" s="76"/>
      <c r="AA95" s="86"/>
    </row>
    <row r="96" spans="2:27" s="64" customFormat="1" ht="15" customHeight="1">
      <c r="B96" s="76" t="s">
        <v>407</v>
      </c>
      <c r="C96" s="77" t="s">
        <v>1489</v>
      </c>
      <c r="D96" s="78"/>
      <c r="E96" s="79"/>
      <c r="F96" s="80">
        <v>1</v>
      </c>
      <c r="G96" s="80">
        <f t="shared" si="1"/>
        <v>1</v>
      </c>
      <c r="H96" s="81" t="s">
        <v>289</v>
      </c>
      <c r="I96" s="82"/>
      <c r="J96" s="83"/>
      <c r="K96" s="82"/>
      <c r="L96" s="82">
        <v>46203</v>
      </c>
      <c r="M96" s="82"/>
      <c r="S96" s="84"/>
      <c r="T96" s="84"/>
      <c r="U96" s="78"/>
      <c r="V96" s="85"/>
      <c r="W96" s="78"/>
      <c r="X96" s="78"/>
      <c r="Y96" s="76"/>
      <c r="Z96" s="76"/>
      <c r="AA96" s="86"/>
    </row>
    <row r="97" spans="2:27" s="64" customFormat="1" ht="15" customHeight="1">
      <c r="B97" s="76" t="s">
        <v>408</v>
      </c>
      <c r="C97" s="77" t="s">
        <v>1490</v>
      </c>
      <c r="D97" s="78"/>
      <c r="E97" s="79"/>
      <c r="F97" s="80">
        <v>1</v>
      </c>
      <c r="G97" s="80">
        <f t="shared" si="1"/>
        <v>1</v>
      </c>
      <c r="H97" s="81" t="s">
        <v>289</v>
      </c>
      <c r="I97" s="82"/>
      <c r="J97" s="83"/>
      <c r="K97" s="82"/>
      <c r="L97" s="82">
        <v>46203</v>
      </c>
      <c r="M97" s="82"/>
      <c r="S97" s="84"/>
      <c r="T97" s="84"/>
      <c r="U97" s="78"/>
      <c r="V97" s="85"/>
      <c r="W97" s="78"/>
      <c r="X97" s="78"/>
      <c r="Y97" s="76"/>
      <c r="Z97" s="76"/>
      <c r="AA97" s="86"/>
    </row>
    <row r="98" spans="2:27" s="64" customFormat="1" ht="15" customHeight="1">
      <c r="B98" s="76" t="s">
        <v>409</v>
      </c>
      <c r="C98" s="77" t="s">
        <v>1491</v>
      </c>
      <c r="D98" s="78"/>
      <c r="E98" s="79"/>
      <c r="F98" s="80">
        <v>1</v>
      </c>
      <c r="G98" s="80">
        <f t="shared" si="1"/>
        <v>1</v>
      </c>
      <c r="H98" s="81" t="s">
        <v>293</v>
      </c>
      <c r="I98" s="82"/>
      <c r="J98" s="83"/>
      <c r="K98" s="82"/>
      <c r="L98" s="82">
        <v>46203</v>
      </c>
      <c r="M98" s="82"/>
      <c r="S98" s="84"/>
      <c r="T98" s="84"/>
      <c r="U98" s="78"/>
      <c r="V98" s="85"/>
      <c r="W98" s="78"/>
      <c r="X98" s="78"/>
      <c r="Y98" s="76"/>
      <c r="Z98" s="76"/>
      <c r="AA98" s="86"/>
    </row>
    <row r="99" spans="2:27" s="64" customFormat="1" ht="15" customHeight="1">
      <c r="B99" s="76" t="s">
        <v>410</v>
      </c>
      <c r="C99" s="77" t="s">
        <v>1492</v>
      </c>
      <c r="D99" s="78"/>
      <c r="E99" s="79"/>
      <c r="F99" s="80">
        <v>2</v>
      </c>
      <c r="G99" s="80">
        <f t="shared" si="1"/>
        <v>2</v>
      </c>
      <c r="H99" s="81" t="s">
        <v>293</v>
      </c>
      <c r="I99" s="82"/>
      <c r="J99" s="83"/>
      <c r="K99" s="82"/>
      <c r="L99" s="82">
        <v>46203</v>
      </c>
      <c r="M99" s="82"/>
      <c r="S99" s="84"/>
      <c r="T99" s="84"/>
      <c r="U99" s="78"/>
      <c r="V99" s="85"/>
      <c r="W99" s="78"/>
      <c r="X99" s="78"/>
      <c r="Y99" s="76"/>
      <c r="Z99" s="76"/>
      <c r="AA99" s="86"/>
    </row>
    <row r="100" spans="2:27" s="64" customFormat="1" ht="15" customHeight="1">
      <c r="B100" s="76" t="s">
        <v>411</v>
      </c>
      <c r="C100" s="77" t="s">
        <v>1493</v>
      </c>
      <c r="D100" s="78"/>
      <c r="E100" s="79"/>
      <c r="F100" s="80">
        <v>1</v>
      </c>
      <c r="G100" s="80">
        <f t="shared" si="1"/>
        <v>1</v>
      </c>
      <c r="H100" s="81" t="s">
        <v>293</v>
      </c>
      <c r="I100" s="82"/>
      <c r="J100" s="83"/>
      <c r="K100" s="82"/>
      <c r="L100" s="82">
        <v>46203</v>
      </c>
      <c r="M100" s="82"/>
      <c r="S100" s="84"/>
      <c r="T100" s="84"/>
      <c r="U100" s="78"/>
      <c r="V100" s="85"/>
      <c r="W100" s="78"/>
      <c r="X100" s="78"/>
      <c r="Y100" s="76"/>
      <c r="Z100" s="76"/>
      <c r="AA100" s="86"/>
    </row>
    <row r="101" spans="2:27" s="64" customFormat="1" ht="15" customHeight="1">
      <c r="B101" s="76" t="s">
        <v>412</v>
      </c>
      <c r="C101" s="77" t="s">
        <v>1494</v>
      </c>
      <c r="D101" s="78" t="s">
        <v>1495</v>
      </c>
      <c r="E101" s="79"/>
      <c r="F101" s="80">
        <v>3</v>
      </c>
      <c r="G101" s="80">
        <f t="shared" si="1"/>
        <v>3</v>
      </c>
      <c r="H101" s="81" t="s">
        <v>293</v>
      </c>
      <c r="I101" s="82"/>
      <c r="J101" s="83"/>
      <c r="K101" s="82"/>
      <c r="L101" s="82">
        <v>46203</v>
      </c>
      <c r="M101" s="82"/>
      <c r="S101" s="84"/>
      <c r="T101" s="84"/>
      <c r="U101" s="78"/>
      <c r="V101" s="85"/>
      <c r="W101" s="78"/>
      <c r="X101" s="78"/>
      <c r="Y101" s="76"/>
      <c r="Z101" s="76"/>
      <c r="AA101" s="86"/>
    </row>
    <row r="102" spans="2:27" s="64" customFormat="1" ht="15" customHeight="1">
      <c r="B102" s="76" t="s">
        <v>413</v>
      </c>
      <c r="C102" s="77" t="s">
        <v>414</v>
      </c>
      <c r="D102" s="78" t="s">
        <v>415</v>
      </c>
      <c r="E102" s="79"/>
      <c r="F102" s="80">
        <v>1</v>
      </c>
      <c r="G102" s="80">
        <f t="shared" si="1"/>
        <v>1</v>
      </c>
      <c r="H102" s="81" t="s">
        <v>293</v>
      </c>
      <c r="I102" s="82"/>
      <c r="J102" s="83"/>
      <c r="K102" s="82"/>
      <c r="L102" s="82">
        <v>46203</v>
      </c>
      <c r="M102" s="82"/>
      <c r="S102" s="84"/>
      <c r="T102" s="84"/>
      <c r="U102" s="78"/>
      <c r="V102" s="85"/>
      <c r="W102" s="78"/>
      <c r="X102" s="78"/>
      <c r="Y102" s="76"/>
      <c r="Z102" s="76"/>
      <c r="AA102" s="86"/>
    </row>
    <row r="103" spans="2:27" s="64" customFormat="1" ht="15" customHeight="1">
      <c r="B103" s="76" t="s">
        <v>416</v>
      </c>
      <c r="C103" s="77" t="s">
        <v>1496</v>
      </c>
      <c r="D103" s="78"/>
      <c r="E103" s="79"/>
      <c r="F103" s="80">
        <v>2</v>
      </c>
      <c r="G103" s="80">
        <f t="shared" si="1"/>
        <v>2</v>
      </c>
      <c r="H103" s="81" t="s">
        <v>293</v>
      </c>
      <c r="I103" s="82"/>
      <c r="J103" s="83"/>
      <c r="K103" s="82"/>
      <c r="L103" s="82">
        <v>46203</v>
      </c>
      <c r="M103" s="82"/>
      <c r="S103" s="84"/>
      <c r="T103" s="84"/>
      <c r="U103" s="78"/>
      <c r="V103" s="85"/>
      <c r="W103" s="78"/>
      <c r="X103" s="78"/>
      <c r="Y103" s="76"/>
      <c r="Z103" s="76"/>
      <c r="AA103" s="86"/>
    </row>
    <row r="104" spans="2:27" s="64" customFormat="1" ht="15" customHeight="1">
      <c r="B104" s="76" t="s">
        <v>417</v>
      </c>
      <c r="C104" s="77" t="s">
        <v>1497</v>
      </c>
      <c r="D104" s="78"/>
      <c r="E104" s="79"/>
      <c r="F104" s="80">
        <v>1</v>
      </c>
      <c r="G104" s="80">
        <f t="shared" si="1"/>
        <v>1</v>
      </c>
      <c r="H104" s="81" t="s">
        <v>293</v>
      </c>
      <c r="I104" s="82"/>
      <c r="J104" s="83"/>
      <c r="K104" s="82"/>
      <c r="L104" s="82">
        <v>46203</v>
      </c>
      <c r="M104" s="82"/>
      <c r="S104" s="84"/>
      <c r="T104" s="84"/>
      <c r="U104" s="78"/>
      <c r="V104" s="85"/>
      <c r="W104" s="78"/>
      <c r="X104" s="78"/>
      <c r="Y104" s="76"/>
      <c r="Z104" s="76"/>
      <c r="AA104" s="86"/>
    </row>
    <row r="105" spans="2:27" s="64" customFormat="1" ht="15" customHeight="1">
      <c r="B105" s="76" t="s">
        <v>418</v>
      </c>
      <c r="C105" s="105" t="s">
        <v>1754</v>
      </c>
      <c r="D105" s="78" t="s">
        <v>419</v>
      </c>
      <c r="E105" s="79"/>
      <c r="F105" s="80">
        <v>2</v>
      </c>
      <c r="G105" s="80">
        <f t="shared" si="1"/>
        <v>2</v>
      </c>
      <c r="H105" s="81" t="s">
        <v>345</v>
      </c>
      <c r="I105" s="82"/>
      <c r="J105" s="83"/>
      <c r="K105" s="82"/>
      <c r="L105" s="82">
        <v>46203</v>
      </c>
      <c r="M105" s="82"/>
      <c r="S105" s="84"/>
      <c r="T105" s="84"/>
      <c r="U105" s="78"/>
      <c r="V105" s="85"/>
      <c r="W105" s="78"/>
      <c r="X105" s="78"/>
      <c r="Y105" s="76"/>
      <c r="Z105" s="76"/>
      <c r="AA105" s="86"/>
    </row>
    <row r="106" spans="2:27" s="64" customFormat="1" ht="15" customHeight="1">
      <c r="B106" s="76" t="s">
        <v>1758</v>
      </c>
      <c r="C106" s="105" t="s">
        <v>1759</v>
      </c>
      <c r="D106" s="78"/>
      <c r="E106" s="79"/>
      <c r="F106" s="80">
        <v>1</v>
      </c>
      <c r="G106" s="80">
        <f t="shared" si="1"/>
        <v>1</v>
      </c>
      <c r="H106" s="81" t="s">
        <v>1753</v>
      </c>
      <c r="I106" s="82"/>
      <c r="J106" s="83"/>
      <c r="K106" s="82"/>
      <c r="L106" s="82">
        <v>46203</v>
      </c>
      <c r="M106" s="82"/>
      <c r="S106" s="84"/>
      <c r="T106" s="84"/>
      <c r="U106" s="78"/>
      <c r="V106" s="85"/>
      <c r="W106" s="78"/>
      <c r="X106" s="78"/>
      <c r="Y106" s="76"/>
      <c r="Z106" s="76"/>
      <c r="AA106" s="86"/>
    </row>
    <row r="107" spans="2:27" s="64" customFormat="1" ht="15" customHeight="1">
      <c r="B107" s="76" t="s">
        <v>420</v>
      </c>
      <c r="C107" s="77" t="s">
        <v>1498</v>
      </c>
      <c r="D107" s="78" t="s">
        <v>421</v>
      </c>
      <c r="E107" s="79"/>
      <c r="F107" s="80">
        <v>22</v>
      </c>
      <c r="G107" s="80">
        <f t="shared" si="1"/>
        <v>22</v>
      </c>
      <c r="H107" s="81" t="s">
        <v>300</v>
      </c>
      <c r="I107" s="82"/>
      <c r="J107" s="83"/>
      <c r="K107" s="82"/>
      <c r="L107" s="82">
        <v>46203</v>
      </c>
      <c r="M107" s="82"/>
      <c r="S107" s="84"/>
      <c r="T107" s="84"/>
      <c r="U107" s="78"/>
      <c r="V107" s="85"/>
      <c r="W107" s="78"/>
      <c r="X107" s="78"/>
      <c r="Y107" s="76"/>
      <c r="Z107" s="76"/>
      <c r="AA107" s="86"/>
    </row>
    <row r="108" spans="2:27" s="64" customFormat="1" ht="15" customHeight="1">
      <c r="B108" s="76" t="s">
        <v>422</v>
      </c>
      <c r="C108" s="77" t="s">
        <v>1499</v>
      </c>
      <c r="D108" s="78"/>
      <c r="E108" s="79"/>
      <c r="F108" s="80">
        <v>1</v>
      </c>
      <c r="G108" s="80">
        <f t="shared" si="1"/>
        <v>1</v>
      </c>
      <c r="H108" s="81" t="s">
        <v>400</v>
      </c>
      <c r="I108" s="82"/>
      <c r="J108" s="83"/>
      <c r="K108" s="82"/>
      <c r="L108" s="82">
        <v>46203</v>
      </c>
      <c r="M108" s="82"/>
      <c r="S108" s="84"/>
      <c r="T108" s="84"/>
      <c r="U108" s="78"/>
      <c r="V108" s="85"/>
      <c r="W108" s="78"/>
      <c r="X108" s="78"/>
      <c r="Y108" s="76"/>
      <c r="Z108" s="76"/>
      <c r="AA108" s="86"/>
    </row>
    <row r="109" spans="2:27" s="64" customFormat="1" ht="15" customHeight="1">
      <c r="B109" s="76" t="s">
        <v>423</v>
      </c>
      <c r="C109" s="77" t="s">
        <v>1500</v>
      </c>
      <c r="D109" s="78" t="s">
        <v>424</v>
      </c>
      <c r="E109" s="79"/>
      <c r="F109" s="80">
        <v>1</v>
      </c>
      <c r="G109" s="80">
        <f t="shared" si="1"/>
        <v>1</v>
      </c>
      <c r="H109" s="81" t="s">
        <v>425</v>
      </c>
      <c r="I109" s="82"/>
      <c r="J109" s="83"/>
      <c r="K109" s="82"/>
      <c r="L109" s="82">
        <v>46203</v>
      </c>
      <c r="M109" s="82"/>
      <c r="S109" s="84"/>
      <c r="T109" s="84"/>
      <c r="U109" s="78"/>
      <c r="V109" s="85"/>
      <c r="W109" s="78"/>
      <c r="X109" s="78"/>
      <c r="Y109" s="76"/>
      <c r="Z109" s="76"/>
      <c r="AA109" s="86"/>
    </row>
    <row r="110" spans="2:27" s="64" customFormat="1" ht="15" customHeight="1">
      <c r="B110" s="76" t="s">
        <v>426</v>
      </c>
      <c r="C110" s="77" t="s">
        <v>1501</v>
      </c>
      <c r="D110" s="78" t="s">
        <v>427</v>
      </c>
      <c r="E110" s="79"/>
      <c r="F110" s="80">
        <v>1</v>
      </c>
      <c r="G110" s="80">
        <f t="shared" si="1"/>
        <v>1</v>
      </c>
      <c r="H110" s="81" t="s">
        <v>425</v>
      </c>
      <c r="I110" s="82"/>
      <c r="J110" s="83"/>
      <c r="K110" s="82"/>
      <c r="L110" s="82">
        <v>46203</v>
      </c>
      <c r="M110" s="82"/>
      <c r="S110" s="84"/>
      <c r="T110" s="84"/>
      <c r="U110" s="78"/>
      <c r="V110" s="85"/>
      <c r="W110" s="78"/>
      <c r="X110" s="78"/>
      <c r="Y110" s="76"/>
      <c r="Z110" s="76"/>
      <c r="AA110" s="86"/>
    </row>
    <row r="111" spans="2:27" s="64" customFormat="1" ht="15" customHeight="1">
      <c r="B111" s="76" t="s">
        <v>428</v>
      </c>
      <c r="C111" s="77" t="s">
        <v>1502</v>
      </c>
      <c r="D111" s="78" t="s">
        <v>1503</v>
      </c>
      <c r="E111" s="79"/>
      <c r="F111" s="80">
        <v>1</v>
      </c>
      <c r="G111" s="80">
        <f t="shared" si="1"/>
        <v>1</v>
      </c>
      <c r="H111" s="81" t="s">
        <v>400</v>
      </c>
      <c r="I111" s="82"/>
      <c r="J111" s="83"/>
      <c r="K111" s="82"/>
      <c r="L111" s="82">
        <v>46203</v>
      </c>
      <c r="M111" s="82"/>
      <c r="S111" s="84"/>
      <c r="T111" s="84"/>
      <c r="U111" s="78"/>
      <c r="V111" s="85"/>
      <c r="W111" s="78"/>
      <c r="X111" s="78"/>
      <c r="Y111" s="76"/>
      <c r="Z111" s="76"/>
      <c r="AA111" s="86"/>
    </row>
    <row r="112" spans="2:27" s="64" customFormat="1" ht="15" customHeight="1">
      <c r="B112" s="76" t="s">
        <v>429</v>
      </c>
      <c r="C112" s="77" t="s">
        <v>1504</v>
      </c>
      <c r="D112" s="78"/>
      <c r="E112" s="79"/>
      <c r="F112" s="80">
        <v>1</v>
      </c>
      <c r="G112" s="80">
        <f t="shared" si="1"/>
        <v>1</v>
      </c>
      <c r="H112" s="81" t="s">
        <v>400</v>
      </c>
      <c r="I112" s="82"/>
      <c r="J112" s="83"/>
      <c r="K112" s="82"/>
      <c r="L112" s="82">
        <v>46203</v>
      </c>
      <c r="M112" s="82"/>
      <c r="S112" s="84"/>
      <c r="T112" s="84"/>
      <c r="U112" s="78"/>
      <c r="V112" s="85"/>
      <c r="W112" s="78"/>
      <c r="X112" s="78"/>
      <c r="Y112" s="76"/>
      <c r="Z112" s="76"/>
      <c r="AA112" s="86"/>
    </row>
    <row r="113" spans="2:27" s="64" customFormat="1" ht="15" customHeight="1">
      <c r="B113" s="76" t="s">
        <v>430</v>
      </c>
      <c r="C113" s="77" t="s">
        <v>1505</v>
      </c>
      <c r="D113" s="78"/>
      <c r="E113" s="79"/>
      <c r="F113" s="80">
        <v>0</v>
      </c>
      <c r="G113" s="80">
        <f t="shared" si="1"/>
        <v>0</v>
      </c>
      <c r="H113" s="81" t="s">
        <v>400</v>
      </c>
      <c r="I113" s="82"/>
      <c r="J113" s="83"/>
      <c r="K113" s="82"/>
      <c r="L113" s="82">
        <v>46203</v>
      </c>
      <c r="M113" s="82"/>
      <c r="S113" s="84"/>
      <c r="T113" s="84"/>
      <c r="U113" s="78"/>
      <c r="V113" s="85"/>
      <c r="W113" s="78"/>
      <c r="X113" s="78"/>
      <c r="Y113" s="76"/>
      <c r="Z113" s="76"/>
      <c r="AA113" s="86"/>
    </row>
    <row r="114" spans="2:27" s="64" customFormat="1" ht="15" customHeight="1">
      <c r="B114" s="76" t="s">
        <v>431</v>
      </c>
      <c r="C114" s="77" t="s">
        <v>1506</v>
      </c>
      <c r="D114" s="78"/>
      <c r="E114" s="79"/>
      <c r="F114" s="80">
        <v>2</v>
      </c>
      <c r="G114" s="80">
        <f t="shared" si="1"/>
        <v>2</v>
      </c>
      <c r="H114" s="81" t="s">
        <v>400</v>
      </c>
      <c r="I114" s="82"/>
      <c r="J114" s="83"/>
      <c r="K114" s="82"/>
      <c r="L114" s="82">
        <v>46203</v>
      </c>
      <c r="M114" s="82"/>
      <c r="S114" s="84"/>
      <c r="T114" s="84"/>
      <c r="U114" s="78"/>
      <c r="V114" s="85"/>
      <c r="W114" s="78"/>
      <c r="X114" s="78"/>
      <c r="Y114" s="76"/>
      <c r="Z114" s="76"/>
      <c r="AA114" s="86"/>
    </row>
    <row r="115" spans="2:27" s="64" customFormat="1" ht="15" customHeight="1">
      <c r="B115" s="76" t="s">
        <v>432</v>
      </c>
      <c r="C115" s="77" t="s">
        <v>1507</v>
      </c>
      <c r="D115" s="78" t="s">
        <v>433</v>
      </c>
      <c r="E115" s="79"/>
      <c r="F115" s="80">
        <v>1</v>
      </c>
      <c r="G115" s="80">
        <f t="shared" si="1"/>
        <v>1</v>
      </c>
      <c r="H115" s="81" t="s">
        <v>425</v>
      </c>
      <c r="I115" s="82"/>
      <c r="J115" s="83"/>
      <c r="K115" s="82"/>
      <c r="L115" s="82">
        <v>46203</v>
      </c>
      <c r="M115" s="82"/>
      <c r="S115" s="84"/>
      <c r="T115" s="84"/>
      <c r="U115" s="78"/>
      <c r="V115" s="85"/>
      <c r="W115" s="78"/>
      <c r="X115" s="78"/>
      <c r="Y115" s="76"/>
      <c r="Z115" s="76"/>
      <c r="AA115" s="86"/>
    </row>
    <row r="116" spans="2:27" s="64" customFormat="1" ht="15" customHeight="1">
      <c r="B116" s="76" t="s">
        <v>434</v>
      </c>
      <c r="C116" s="77" t="s">
        <v>1508</v>
      </c>
      <c r="D116" s="78" t="s">
        <v>435</v>
      </c>
      <c r="E116" s="79"/>
      <c r="F116" s="80">
        <v>1</v>
      </c>
      <c r="G116" s="80">
        <f t="shared" si="1"/>
        <v>1</v>
      </c>
      <c r="H116" s="81" t="s">
        <v>425</v>
      </c>
      <c r="I116" s="82"/>
      <c r="J116" s="83"/>
      <c r="K116" s="82"/>
      <c r="L116" s="82">
        <v>46203</v>
      </c>
      <c r="M116" s="82"/>
      <c r="S116" s="84"/>
      <c r="T116" s="84"/>
      <c r="U116" s="78"/>
      <c r="V116" s="85"/>
      <c r="W116" s="78"/>
      <c r="X116" s="78"/>
      <c r="Y116" s="76"/>
      <c r="Z116" s="76"/>
      <c r="AA116" s="86"/>
    </row>
    <row r="117" spans="2:27" s="64" customFormat="1" ht="15" customHeight="1">
      <c r="B117" s="76" t="s">
        <v>436</v>
      </c>
      <c r="C117" s="77" t="s">
        <v>1509</v>
      </c>
      <c r="D117" s="78" t="s">
        <v>437</v>
      </c>
      <c r="E117" s="79"/>
      <c r="F117" s="80">
        <v>1</v>
      </c>
      <c r="G117" s="80">
        <f t="shared" si="1"/>
        <v>1</v>
      </c>
      <c r="H117" s="81" t="s">
        <v>425</v>
      </c>
      <c r="I117" s="82"/>
      <c r="J117" s="83"/>
      <c r="K117" s="82"/>
      <c r="L117" s="82">
        <v>46203</v>
      </c>
      <c r="M117" s="82"/>
      <c r="S117" s="84"/>
      <c r="T117" s="84"/>
      <c r="U117" s="78"/>
      <c r="V117" s="85"/>
      <c r="W117" s="78"/>
      <c r="X117" s="78"/>
      <c r="Y117" s="76"/>
      <c r="Z117" s="76"/>
      <c r="AA117" s="86"/>
    </row>
    <row r="118" spans="2:27" s="64" customFormat="1" ht="15" customHeight="1">
      <c r="B118" s="76" t="s">
        <v>438</v>
      </c>
      <c r="C118" s="77" t="s">
        <v>1510</v>
      </c>
      <c r="D118" s="78" t="s">
        <v>439</v>
      </c>
      <c r="E118" s="79"/>
      <c r="F118" s="80">
        <v>1</v>
      </c>
      <c r="G118" s="80">
        <f t="shared" si="1"/>
        <v>1</v>
      </c>
      <c r="H118" s="81" t="s">
        <v>425</v>
      </c>
      <c r="I118" s="82"/>
      <c r="J118" s="83"/>
      <c r="K118" s="82"/>
      <c r="L118" s="82">
        <v>46203</v>
      </c>
      <c r="M118" s="82"/>
      <c r="S118" s="84"/>
      <c r="T118" s="84"/>
      <c r="U118" s="78"/>
      <c r="V118" s="85"/>
      <c r="W118" s="78"/>
      <c r="X118" s="78"/>
      <c r="Y118" s="76"/>
      <c r="Z118" s="76"/>
      <c r="AA118" s="86"/>
    </row>
    <row r="119" spans="2:27" s="64" customFormat="1" ht="15" customHeight="1">
      <c r="B119" s="76" t="s">
        <v>440</v>
      </c>
      <c r="C119" s="77" t="s">
        <v>1511</v>
      </c>
      <c r="D119" s="78" t="s">
        <v>441</v>
      </c>
      <c r="E119" s="79"/>
      <c r="F119" s="80">
        <v>1</v>
      </c>
      <c r="G119" s="80">
        <f t="shared" si="1"/>
        <v>1</v>
      </c>
      <c r="H119" s="81" t="s">
        <v>425</v>
      </c>
      <c r="I119" s="82"/>
      <c r="J119" s="83"/>
      <c r="K119" s="82"/>
      <c r="L119" s="82">
        <v>46203</v>
      </c>
      <c r="M119" s="82"/>
      <c r="S119" s="84"/>
      <c r="T119" s="84"/>
      <c r="U119" s="78"/>
      <c r="V119" s="85"/>
      <c r="W119" s="78"/>
      <c r="X119" s="78"/>
      <c r="Y119" s="76"/>
      <c r="Z119" s="76"/>
      <c r="AA119" s="86"/>
    </row>
    <row r="120" spans="2:27" s="64" customFormat="1" ht="15" customHeight="1">
      <c r="B120" s="76" t="s">
        <v>442</v>
      </c>
      <c r="C120" s="77" t="s">
        <v>1512</v>
      </c>
      <c r="D120" s="78" t="s">
        <v>443</v>
      </c>
      <c r="E120" s="79"/>
      <c r="F120" s="80">
        <v>1</v>
      </c>
      <c r="G120" s="80">
        <f t="shared" si="1"/>
        <v>1</v>
      </c>
      <c r="H120" s="81" t="s">
        <v>400</v>
      </c>
      <c r="I120" s="82"/>
      <c r="J120" s="83"/>
      <c r="K120" s="82"/>
      <c r="L120" s="82">
        <v>46203</v>
      </c>
      <c r="M120" s="82"/>
      <c r="S120" s="84"/>
      <c r="T120" s="84"/>
      <c r="U120" s="78"/>
      <c r="V120" s="85"/>
      <c r="W120" s="78"/>
      <c r="X120" s="78"/>
      <c r="Y120" s="76"/>
      <c r="Z120" s="76"/>
      <c r="AA120" s="86"/>
    </row>
    <row r="121" spans="2:27" s="64" customFormat="1" ht="15" customHeight="1">
      <c r="B121" s="76" t="s">
        <v>1751</v>
      </c>
      <c r="C121" s="77" t="s">
        <v>1755</v>
      </c>
      <c r="D121" s="78" t="s">
        <v>1752</v>
      </c>
      <c r="E121" s="79"/>
      <c r="F121" s="80">
        <v>1</v>
      </c>
      <c r="G121" s="80">
        <f t="shared" si="1"/>
        <v>1</v>
      </c>
      <c r="H121" s="81" t="s">
        <v>1757</v>
      </c>
      <c r="I121" s="82"/>
      <c r="J121" s="83"/>
      <c r="K121" s="82"/>
      <c r="L121" s="82">
        <v>46295</v>
      </c>
      <c r="M121" s="82"/>
      <c r="S121" s="84"/>
      <c r="T121" s="84"/>
      <c r="U121" s="78"/>
      <c r="V121" s="85"/>
      <c r="W121" s="78"/>
      <c r="X121" s="78"/>
      <c r="Y121" s="76"/>
      <c r="Z121" s="76"/>
      <c r="AA121" s="86"/>
    </row>
    <row r="122" spans="2:27" s="64" customFormat="1" ht="15" customHeight="1">
      <c r="B122" s="76" t="s">
        <v>444</v>
      </c>
      <c r="C122" s="77" t="s">
        <v>1513</v>
      </c>
      <c r="D122" s="78" t="s">
        <v>445</v>
      </c>
      <c r="E122" s="79"/>
      <c r="F122" s="80">
        <v>7</v>
      </c>
      <c r="G122" s="80">
        <f t="shared" si="1"/>
        <v>7</v>
      </c>
      <c r="H122" s="81" t="s">
        <v>425</v>
      </c>
      <c r="I122" s="82"/>
      <c r="J122" s="83"/>
      <c r="K122" s="82"/>
      <c r="L122" s="82">
        <v>46203</v>
      </c>
      <c r="M122" s="82"/>
      <c r="S122" s="84"/>
      <c r="T122" s="84"/>
      <c r="U122" s="78"/>
      <c r="V122" s="85"/>
      <c r="W122" s="78"/>
      <c r="X122" s="78"/>
      <c r="Y122" s="76"/>
      <c r="Z122" s="76"/>
      <c r="AA122" s="86"/>
    </row>
    <row r="123" spans="2:27" s="64" customFormat="1" ht="15" customHeight="1">
      <c r="B123" s="76" t="s">
        <v>446</v>
      </c>
      <c r="C123" s="77" t="s">
        <v>1514</v>
      </c>
      <c r="D123" s="78"/>
      <c r="E123" s="79"/>
      <c r="F123" s="80">
        <v>1</v>
      </c>
      <c r="G123" s="80">
        <f t="shared" si="1"/>
        <v>1</v>
      </c>
      <c r="H123" s="81" t="s">
        <v>425</v>
      </c>
      <c r="I123" s="82"/>
      <c r="J123" s="83"/>
      <c r="K123" s="82"/>
      <c r="L123" s="82">
        <v>46203</v>
      </c>
      <c r="M123" s="82"/>
      <c r="S123" s="84"/>
      <c r="T123" s="84"/>
      <c r="U123" s="78"/>
      <c r="V123" s="85"/>
      <c r="W123" s="78"/>
      <c r="X123" s="78"/>
      <c r="Y123" s="76"/>
      <c r="Z123" s="76"/>
      <c r="AA123" s="86"/>
    </row>
    <row r="124" spans="2:27" s="64" customFormat="1" ht="15" customHeight="1">
      <c r="B124" s="76" t="s">
        <v>447</v>
      </c>
      <c r="C124" s="77" t="s">
        <v>1515</v>
      </c>
      <c r="D124" s="78" t="s">
        <v>448</v>
      </c>
      <c r="E124" s="79"/>
      <c r="F124" s="80">
        <v>10</v>
      </c>
      <c r="G124" s="80">
        <f t="shared" si="1"/>
        <v>10</v>
      </c>
      <c r="H124" s="81" t="s">
        <v>400</v>
      </c>
      <c r="I124" s="82"/>
      <c r="J124" s="83"/>
      <c r="K124" s="82"/>
      <c r="L124" s="82">
        <v>46203</v>
      </c>
      <c r="M124" s="82"/>
      <c r="S124" s="84"/>
      <c r="T124" s="84"/>
      <c r="U124" s="78"/>
      <c r="V124" s="85"/>
      <c r="W124" s="78"/>
      <c r="X124" s="78"/>
      <c r="Y124" s="76"/>
      <c r="Z124" s="76"/>
      <c r="AA124" s="86"/>
    </row>
    <row r="125" spans="2:27" s="64" customFormat="1" ht="15" customHeight="1">
      <c r="B125" s="76" t="s">
        <v>449</v>
      </c>
      <c r="C125" s="77" t="s">
        <v>1516</v>
      </c>
      <c r="D125" s="78" t="s">
        <v>450</v>
      </c>
      <c r="E125" s="79"/>
      <c r="F125" s="80">
        <v>2</v>
      </c>
      <c r="G125" s="80">
        <f t="shared" si="1"/>
        <v>2</v>
      </c>
      <c r="H125" s="81" t="s">
        <v>400</v>
      </c>
      <c r="I125" s="82"/>
      <c r="J125" s="83"/>
      <c r="K125" s="82"/>
      <c r="L125" s="82">
        <v>46203</v>
      </c>
      <c r="M125" s="82"/>
      <c r="S125" s="84"/>
      <c r="T125" s="84"/>
      <c r="U125" s="78"/>
      <c r="V125" s="85"/>
      <c r="W125" s="78"/>
      <c r="X125" s="78"/>
      <c r="Y125" s="76"/>
      <c r="Z125" s="76"/>
      <c r="AA125" s="86"/>
    </row>
    <row r="126" spans="2:27" s="64" customFormat="1" ht="15" customHeight="1">
      <c r="B126" s="76" t="s">
        <v>451</v>
      </c>
      <c r="C126" s="77" t="s">
        <v>1517</v>
      </c>
      <c r="D126" s="78"/>
      <c r="E126" s="79"/>
      <c r="F126" s="80">
        <v>1</v>
      </c>
      <c r="G126" s="80">
        <f t="shared" si="1"/>
        <v>1</v>
      </c>
      <c r="H126" s="81" t="s">
        <v>400</v>
      </c>
      <c r="I126" s="82"/>
      <c r="J126" s="83"/>
      <c r="K126" s="82"/>
      <c r="L126" s="82">
        <v>46203</v>
      </c>
      <c r="M126" s="82"/>
      <c r="S126" s="84"/>
      <c r="T126" s="84"/>
      <c r="U126" s="78"/>
      <c r="V126" s="85"/>
      <c r="W126" s="78"/>
      <c r="X126" s="78"/>
      <c r="Y126" s="76"/>
      <c r="Z126" s="76"/>
      <c r="AA126" s="86"/>
    </row>
    <row r="127" spans="2:27" s="64" customFormat="1" ht="15" customHeight="1">
      <c r="B127" s="76" t="s">
        <v>452</v>
      </c>
      <c r="C127" s="77" t="s">
        <v>1518</v>
      </c>
      <c r="D127" s="78" t="s">
        <v>453</v>
      </c>
      <c r="E127" s="79"/>
      <c r="F127" s="80">
        <v>1</v>
      </c>
      <c r="G127" s="80">
        <f t="shared" si="1"/>
        <v>1</v>
      </c>
      <c r="H127" s="81" t="s">
        <v>400</v>
      </c>
      <c r="I127" s="82"/>
      <c r="J127" s="83"/>
      <c r="K127" s="82"/>
      <c r="L127" s="82">
        <v>46203</v>
      </c>
      <c r="M127" s="82"/>
      <c r="S127" s="84"/>
      <c r="T127" s="84"/>
      <c r="U127" s="78"/>
      <c r="V127" s="85"/>
      <c r="W127" s="78"/>
      <c r="X127" s="78"/>
      <c r="Y127" s="76"/>
      <c r="Z127" s="76"/>
      <c r="AA127" s="86"/>
    </row>
    <row r="128" spans="2:27" s="64" customFormat="1" ht="15" customHeight="1">
      <c r="B128" s="76" t="s">
        <v>454</v>
      </c>
      <c r="C128" s="77" t="s">
        <v>1519</v>
      </c>
      <c r="D128" s="78" t="s">
        <v>455</v>
      </c>
      <c r="E128" s="79"/>
      <c r="F128" s="80">
        <v>1</v>
      </c>
      <c r="G128" s="80">
        <f t="shared" si="1"/>
        <v>1</v>
      </c>
      <c r="H128" s="81" t="s">
        <v>425</v>
      </c>
      <c r="I128" s="82"/>
      <c r="J128" s="83"/>
      <c r="K128" s="82"/>
      <c r="L128" s="82">
        <v>46203</v>
      </c>
      <c r="M128" s="82"/>
      <c r="S128" s="84"/>
      <c r="T128" s="84"/>
      <c r="U128" s="78"/>
      <c r="V128" s="85"/>
      <c r="W128" s="78"/>
      <c r="X128" s="78"/>
      <c r="Y128" s="76"/>
      <c r="Z128" s="76"/>
      <c r="AA128" s="86"/>
    </row>
    <row r="129" spans="2:27" s="64" customFormat="1" ht="15" customHeight="1">
      <c r="B129" s="76" t="s">
        <v>1761</v>
      </c>
      <c r="C129" s="77" t="s">
        <v>1763</v>
      </c>
      <c r="D129" s="78"/>
      <c r="E129" s="79"/>
      <c r="F129" s="80">
        <v>1</v>
      </c>
      <c r="G129" s="80">
        <f t="shared" si="1"/>
        <v>1</v>
      </c>
      <c r="H129" s="81" t="s">
        <v>425</v>
      </c>
      <c r="I129" s="82"/>
      <c r="J129" s="83"/>
      <c r="K129" s="82"/>
      <c r="L129" s="82">
        <v>46203</v>
      </c>
      <c r="M129" s="82"/>
      <c r="S129" s="84"/>
      <c r="T129" s="84"/>
      <c r="U129" s="78"/>
      <c r="V129" s="85"/>
      <c r="W129" s="78"/>
      <c r="X129" s="78"/>
      <c r="Y129" s="76"/>
      <c r="Z129" s="76"/>
      <c r="AA129" s="86"/>
    </row>
    <row r="130" spans="2:27" s="64" customFormat="1" ht="15" customHeight="1">
      <c r="B130" s="76" t="s">
        <v>456</v>
      </c>
      <c r="C130" s="77" t="s">
        <v>1520</v>
      </c>
      <c r="D130" s="78" t="s">
        <v>457</v>
      </c>
      <c r="E130" s="79"/>
      <c r="F130" s="80">
        <v>1</v>
      </c>
      <c r="G130" s="80">
        <f t="shared" si="1"/>
        <v>1</v>
      </c>
      <c r="H130" s="81" t="s">
        <v>400</v>
      </c>
      <c r="I130" s="82"/>
      <c r="J130" s="83"/>
      <c r="K130" s="82"/>
      <c r="L130" s="82">
        <v>46203</v>
      </c>
      <c r="M130" s="82"/>
      <c r="S130" s="84"/>
      <c r="T130" s="84"/>
      <c r="U130" s="78"/>
      <c r="V130" s="85"/>
      <c r="W130" s="78"/>
      <c r="X130" s="78"/>
      <c r="Y130" s="76"/>
      <c r="Z130" s="76"/>
      <c r="AA130" s="86"/>
    </row>
    <row r="131" spans="2:27" s="64" customFormat="1" ht="15" customHeight="1">
      <c r="B131" s="76" t="s">
        <v>458</v>
      </c>
      <c r="C131" s="77" t="s">
        <v>1521</v>
      </c>
      <c r="D131" s="78" t="s">
        <v>459</v>
      </c>
      <c r="E131" s="79"/>
      <c r="F131" s="80">
        <v>1</v>
      </c>
      <c r="G131" s="80">
        <f t="shared" si="1"/>
        <v>1</v>
      </c>
      <c r="H131" s="81" t="s">
        <v>425</v>
      </c>
      <c r="I131" s="82"/>
      <c r="J131" s="83"/>
      <c r="K131" s="82"/>
      <c r="L131" s="82">
        <v>46203</v>
      </c>
      <c r="M131" s="82"/>
      <c r="S131" s="84"/>
      <c r="T131" s="84"/>
      <c r="U131" s="78"/>
      <c r="V131" s="85"/>
      <c r="W131" s="78"/>
      <c r="X131" s="78"/>
      <c r="Y131" s="76"/>
      <c r="Z131" s="76"/>
      <c r="AA131" s="86"/>
    </row>
    <row r="132" spans="2:27" s="64" customFormat="1" ht="15" customHeight="1">
      <c r="B132" s="76" t="s">
        <v>460</v>
      </c>
      <c r="C132" s="77" t="s">
        <v>1522</v>
      </c>
      <c r="D132" s="78" t="s">
        <v>461</v>
      </c>
      <c r="E132" s="79"/>
      <c r="F132" s="80">
        <v>1</v>
      </c>
      <c r="G132" s="80">
        <f t="shared" si="1"/>
        <v>1</v>
      </c>
      <c r="H132" s="81" t="s">
        <v>425</v>
      </c>
      <c r="I132" s="82"/>
      <c r="J132" s="83"/>
      <c r="K132" s="82"/>
      <c r="L132" s="82">
        <v>46203</v>
      </c>
      <c r="M132" s="82"/>
      <c r="S132" s="84"/>
      <c r="T132" s="84"/>
      <c r="U132" s="78"/>
      <c r="V132" s="85"/>
      <c r="W132" s="78"/>
      <c r="X132" s="78"/>
      <c r="Y132" s="76"/>
      <c r="Z132" s="76"/>
      <c r="AA132" s="86"/>
    </row>
    <row r="133" spans="2:27" s="64" customFormat="1" ht="15" customHeight="1">
      <c r="B133" s="76" t="s">
        <v>462</v>
      </c>
      <c r="C133" s="77" t="s">
        <v>1523</v>
      </c>
      <c r="D133" s="78"/>
      <c r="E133" s="79"/>
      <c r="F133" s="80">
        <v>1</v>
      </c>
      <c r="G133" s="80">
        <f t="shared" si="1"/>
        <v>1</v>
      </c>
      <c r="H133" s="81" t="s">
        <v>425</v>
      </c>
      <c r="I133" s="82"/>
      <c r="J133" s="83"/>
      <c r="K133" s="82"/>
      <c r="L133" s="82">
        <v>46203</v>
      </c>
      <c r="M133" s="82"/>
      <c r="S133" s="84"/>
      <c r="T133" s="84"/>
      <c r="U133" s="78"/>
      <c r="V133" s="85"/>
      <c r="W133" s="78"/>
      <c r="X133" s="78"/>
      <c r="Y133" s="76"/>
      <c r="Z133" s="76"/>
      <c r="AA133" s="86"/>
    </row>
    <row r="134" spans="2:27" s="64" customFormat="1" ht="15" customHeight="1">
      <c r="B134" s="76" t="s">
        <v>463</v>
      </c>
      <c r="C134" s="77" t="s">
        <v>1524</v>
      </c>
      <c r="D134" s="78" t="s">
        <v>464</v>
      </c>
      <c r="E134" s="79"/>
      <c r="F134" s="80">
        <v>1</v>
      </c>
      <c r="G134" s="80">
        <f t="shared" si="1"/>
        <v>1</v>
      </c>
      <c r="H134" s="81" t="s">
        <v>400</v>
      </c>
      <c r="I134" s="82"/>
      <c r="J134" s="83"/>
      <c r="K134" s="82"/>
      <c r="L134" s="82">
        <v>46203</v>
      </c>
      <c r="M134" s="82"/>
      <c r="S134" s="84"/>
      <c r="T134" s="84"/>
      <c r="U134" s="78"/>
      <c r="V134" s="85"/>
      <c r="W134" s="78"/>
      <c r="X134" s="78"/>
      <c r="Y134" s="76"/>
      <c r="Z134" s="76"/>
      <c r="AA134" s="86"/>
    </row>
    <row r="135" spans="2:27" s="64" customFormat="1" ht="15" customHeight="1">
      <c r="B135" s="76" t="s">
        <v>1748</v>
      </c>
      <c r="C135" s="77" t="s">
        <v>1743</v>
      </c>
      <c r="D135" s="78" t="s">
        <v>1744</v>
      </c>
      <c r="E135" s="79"/>
      <c r="F135" s="80">
        <v>1</v>
      </c>
      <c r="G135" s="80">
        <f t="shared" ref="G135" si="2">F135-E135</f>
        <v>1</v>
      </c>
      <c r="H135" s="81" t="s">
        <v>400</v>
      </c>
      <c r="I135" s="82"/>
      <c r="J135" s="83"/>
      <c r="K135" s="82"/>
      <c r="L135" s="82">
        <v>46295</v>
      </c>
      <c r="M135" s="82"/>
      <c r="S135" s="84"/>
      <c r="T135" s="84"/>
      <c r="U135" s="78"/>
      <c r="V135" s="85"/>
      <c r="W135" s="78"/>
      <c r="X135" s="78"/>
      <c r="Y135" s="76"/>
      <c r="Z135" s="76"/>
      <c r="AA135" s="86"/>
    </row>
    <row r="136" spans="2:27" s="64" customFormat="1" ht="15" customHeight="1">
      <c r="B136" s="76" t="s">
        <v>1741</v>
      </c>
      <c r="C136" s="77" t="s">
        <v>1743</v>
      </c>
      <c r="D136" s="78" t="s">
        <v>1744</v>
      </c>
      <c r="E136" s="79"/>
      <c r="F136" s="80">
        <v>1</v>
      </c>
      <c r="G136" s="80">
        <f t="shared" si="1"/>
        <v>1</v>
      </c>
      <c r="H136" s="81" t="s">
        <v>400</v>
      </c>
      <c r="I136" s="82"/>
      <c r="J136" s="83"/>
      <c r="K136" s="82"/>
      <c r="L136" s="82">
        <v>46295</v>
      </c>
      <c r="M136" s="82"/>
      <c r="S136" s="84"/>
      <c r="T136" s="84"/>
      <c r="U136" s="78"/>
      <c r="V136" s="85"/>
      <c r="W136" s="78"/>
      <c r="X136" s="78"/>
      <c r="Y136" s="76"/>
      <c r="Z136" s="76"/>
      <c r="AA136" s="86"/>
    </row>
    <row r="137" spans="2:27" s="64" customFormat="1" ht="15" customHeight="1">
      <c r="B137" s="76" t="s">
        <v>1746</v>
      </c>
      <c r="C137" s="77" t="s">
        <v>1743</v>
      </c>
      <c r="D137" s="78" t="s">
        <v>1744</v>
      </c>
      <c r="E137" s="79"/>
      <c r="F137" s="80">
        <v>2</v>
      </c>
      <c r="G137" s="80">
        <f t="shared" ref="G137:G138" si="3">F137-E137</f>
        <v>2</v>
      </c>
      <c r="H137" s="81" t="s">
        <v>400</v>
      </c>
      <c r="I137" s="82"/>
      <c r="J137" s="83"/>
      <c r="K137" s="82"/>
      <c r="L137" s="82">
        <v>46295</v>
      </c>
      <c r="M137" s="82"/>
      <c r="S137" s="84"/>
      <c r="T137" s="84"/>
      <c r="U137" s="78"/>
      <c r="V137" s="85"/>
      <c r="W137" s="78"/>
      <c r="X137" s="78"/>
      <c r="Y137" s="76"/>
      <c r="Z137" s="76"/>
      <c r="AA137" s="86"/>
    </row>
    <row r="138" spans="2:27" s="64" customFormat="1" ht="15" customHeight="1">
      <c r="B138" s="76" t="s">
        <v>1747</v>
      </c>
      <c r="C138" s="77" t="s">
        <v>1745</v>
      </c>
      <c r="D138" s="78"/>
      <c r="E138" s="79"/>
      <c r="F138" s="80">
        <v>1</v>
      </c>
      <c r="G138" s="80">
        <f t="shared" si="3"/>
        <v>1</v>
      </c>
      <c r="H138" s="81" t="s">
        <v>400</v>
      </c>
      <c r="I138" s="82"/>
      <c r="J138" s="83"/>
      <c r="K138" s="82"/>
      <c r="L138" s="82">
        <v>46295</v>
      </c>
      <c r="M138" s="82"/>
      <c r="S138" s="84"/>
      <c r="T138" s="84"/>
      <c r="U138" s="78"/>
      <c r="V138" s="85"/>
      <c r="W138" s="78"/>
      <c r="X138" s="78"/>
      <c r="Y138" s="76"/>
      <c r="Z138" s="76"/>
      <c r="AA138" s="86"/>
    </row>
    <row r="139" spans="2:27" s="64" customFormat="1" ht="15" customHeight="1">
      <c r="B139" s="76" t="s">
        <v>1742</v>
      </c>
      <c r="C139" s="77" t="s">
        <v>1745</v>
      </c>
      <c r="D139" s="78"/>
      <c r="E139" s="79"/>
      <c r="F139" s="80">
        <v>1</v>
      </c>
      <c r="G139" s="80">
        <f t="shared" si="1"/>
        <v>1</v>
      </c>
      <c r="H139" s="81" t="s">
        <v>400</v>
      </c>
      <c r="I139" s="82"/>
      <c r="J139" s="83"/>
      <c r="K139" s="82"/>
      <c r="L139" s="82">
        <v>46295</v>
      </c>
      <c r="M139" s="82"/>
      <c r="S139" s="84"/>
      <c r="T139" s="84"/>
      <c r="U139" s="78"/>
      <c r="V139" s="85"/>
      <c r="W139" s="78"/>
      <c r="X139" s="78"/>
      <c r="Y139" s="76"/>
      <c r="Z139" s="76"/>
      <c r="AA139" s="86"/>
    </row>
    <row r="140" spans="2:27" s="64" customFormat="1" ht="15" customHeight="1">
      <c r="B140" s="76" t="s">
        <v>465</v>
      </c>
      <c r="C140" s="77" t="s">
        <v>1525</v>
      </c>
      <c r="D140" s="78"/>
      <c r="E140" s="79"/>
      <c r="F140" s="80">
        <v>22</v>
      </c>
      <c r="G140" s="80">
        <f t="shared" si="1"/>
        <v>22</v>
      </c>
      <c r="H140" s="81" t="s">
        <v>373</v>
      </c>
      <c r="I140" s="82"/>
      <c r="J140" s="83"/>
      <c r="K140" s="82"/>
      <c r="L140" s="82">
        <v>46203</v>
      </c>
      <c r="M140" s="82"/>
      <c r="S140" s="84"/>
      <c r="T140" s="84"/>
      <c r="U140" s="78"/>
      <c r="V140" s="85"/>
      <c r="W140" s="78"/>
      <c r="X140" s="78"/>
      <c r="Y140" s="76"/>
      <c r="Z140" s="76"/>
      <c r="AA140" s="86"/>
    </row>
    <row r="141" spans="2:27" s="64" customFormat="1" ht="15" customHeight="1">
      <c r="B141" s="76" t="s">
        <v>466</v>
      </c>
      <c r="C141" s="77" t="s">
        <v>1526</v>
      </c>
      <c r="D141" s="78" t="s">
        <v>1527</v>
      </c>
      <c r="E141" s="79"/>
      <c r="F141" s="80">
        <v>2</v>
      </c>
      <c r="G141" s="80">
        <f t="shared" si="1"/>
        <v>2</v>
      </c>
      <c r="H141" s="81" t="s">
        <v>289</v>
      </c>
      <c r="I141" s="82"/>
      <c r="J141" s="83"/>
      <c r="K141" s="82"/>
      <c r="L141" s="82">
        <v>46203</v>
      </c>
      <c r="M141" s="82"/>
      <c r="S141" s="84"/>
      <c r="T141" s="84"/>
      <c r="U141" s="78"/>
      <c r="V141" s="85"/>
      <c r="W141" s="78"/>
      <c r="X141" s="78"/>
      <c r="Y141" s="76"/>
      <c r="Z141" s="76"/>
      <c r="AA141" s="86"/>
    </row>
    <row r="142" spans="2:27" s="64" customFormat="1" ht="15" customHeight="1">
      <c r="B142" s="76" t="s">
        <v>467</v>
      </c>
      <c r="C142" s="77" t="s">
        <v>1528</v>
      </c>
      <c r="D142" s="78"/>
      <c r="E142" s="79"/>
      <c r="F142" s="80">
        <v>1</v>
      </c>
      <c r="G142" s="80">
        <f t="shared" si="1"/>
        <v>1</v>
      </c>
      <c r="H142" s="81" t="s">
        <v>400</v>
      </c>
      <c r="I142" s="82"/>
      <c r="J142" s="83"/>
      <c r="K142" s="82"/>
      <c r="L142" s="82">
        <v>46203</v>
      </c>
      <c r="M142" s="82"/>
      <c r="S142" s="84"/>
      <c r="T142" s="84"/>
      <c r="U142" s="78"/>
      <c r="V142" s="85"/>
      <c r="W142" s="78"/>
      <c r="X142" s="78"/>
      <c r="Y142" s="76"/>
      <c r="Z142" s="76"/>
      <c r="AA142" s="86"/>
    </row>
    <row r="143" spans="2:27" s="64" customFormat="1" ht="15" customHeight="1">
      <c r="B143" s="76" t="s">
        <v>281</v>
      </c>
      <c r="C143" s="77" t="s">
        <v>1529</v>
      </c>
      <c r="D143" s="78" t="s">
        <v>282</v>
      </c>
      <c r="E143" s="79"/>
      <c r="F143" s="80">
        <v>4</v>
      </c>
      <c r="G143" s="80">
        <f t="shared" si="1"/>
        <v>4</v>
      </c>
      <c r="H143" s="81" t="s">
        <v>283</v>
      </c>
      <c r="I143" s="82"/>
      <c r="J143" s="83"/>
      <c r="K143" s="96"/>
      <c r="L143" s="82">
        <v>46203</v>
      </c>
      <c r="M143" s="82"/>
      <c r="S143" s="84"/>
      <c r="T143" s="84"/>
      <c r="U143" s="78"/>
      <c r="V143" s="85"/>
      <c r="W143" s="78"/>
      <c r="X143" s="78"/>
      <c r="Y143" s="76"/>
      <c r="Z143" s="76"/>
      <c r="AA143" s="86"/>
    </row>
    <row r="144" spans="2:27" s="64" customFormat="1" ht="15" customHeight="1">
      <c r="B144" s="76" t="s">
        <v>468</v>
      </c>
      <c r="C144" s="77" t="s">
        <v>1530</v>
      </c>
      <c r="D144" s="78" t="s">
        <v>297</v>
      </c>
      <c r="E144" s="79"/>
      <c r="F144" s="80">
        <v>10</v>
      </c>
      <c r="G144" s="80">
        <f t="shared" si="1"/>
        <v>10</v>
      </c>
      <c r="H144" s="81" t="s">
        <v>373</v>
      </c>
      <c r="I144" s="82"/>
      <c r="J144" s="83"/>
      <c r="K144" s="82"/>
      <c r="L144" s="82">
        <v>46203</v>
      </c>
      <c r="M144" s="82"/>
      <c r="S144" s="84"/>
      <c r="T144" s="84"/>
      <c r="U144" s="78"/>
      <c r="V144" s="85"/>
      <c r="W144" s="78"/>
      <c r="X144" s="78"/>
      <c r="Y144" s="76"/>
      <c r="Z144" s="76"/>
      <c r="AA144" s="86"/>
    </row>
    <row r="145" spans="2:27" s="64" customFormat="1" ht="15" customHeight="1">
      <c r="B145" s="76" t="s">
        <v>469</v>
      </c>
      <c r="C145" s="77" t="s">
        <v>1531</v>
      </c>
      <c r="D145" s="78"/>
      <c r="E145" s="79"/>
      <c r="F145" s="80">
        <v>1</v>
      </c>
      <c r="G145" s="80">
        <f t="shared" si="1"/>
        <v>1</v>
      </c>
      <c r="H145" s="81" t="s">
        <v>373</v>
      </c>
      <c r="I145" s="82"/>
      <c r="J145" s="83"/>
      <c r="K145" s="82"/>
      <c r="L145" s="82">
        <v>46203</v>
      </c>
      <c r="M145" s="82"/>
      <c r="S145" s="84"/>
      <c r="T145" s="84"/>
      <c r="U145" s="78"/>
      <c r="V145" s="85"/>
      <c r="W145" s="78"/>
      <c r="X145" s="78"/>
      <c r="Y145" s="76"/>
      <c r="Z145" s="76"/>
      <c r="AA145" s="86"/>
    </row>
    <row r="146" spans="2:27" s="64" customFormat="1" ht="15" customHeight="1">
      <c r="B146" s="76" t="s">
        <v>470</v>
      </c>
      <c r="C146" s="77" t="s">
        <v>1532</v>
      </c>
      <c r="D146" s="78"/>
      <c r="E146" s="79"/>
      <c r="F146" s="80">
        <v>3</v>
      </c>
      <c r="G146" s="80">
        <f t="shared" ref="G146:G211" si="4">F146-E146</f>
        <v>3</v>
      </c>
      <c r="H146" s="81" t="s">
        <v>373</v>
      </c>
      <c r="I146" s="82"/>
      <c r="J146" s="83"/>
      <c r="K146" s="82"/>
      <c r="L146" s="82">
        <v>46203</v>
      </c>
      <c r="M146" s="82"/>
      <c r="S146" s="84"/>
      <c r="T146" s="84"/>
      <c r="U146" s="78"/>
      <c r="V146" s="85"/>
      <c r="W146" s="78"/>
      <c r="X146" s="78"/>
      <c r="Y146" s="76"/>
      <c r="Z146" s="76"/>
      <c r="AA146" s="86"/>
    </row>
    <row r="147" spans="2:27" s="64" customFormat="1" ht="15" customHeight="1">
      <c r="B147" s="76" t="s">
        <v>471</v>
      </c>
      <c r="C147" s="77" t="s">
        <v>1533</v>
      </c>
      <c r="D147" s="78"/>
      <c r="E147" s="79"/>
      <c r="F147" s="80">
        <v>3</v>
      </c>
      <c r="G147" s="80">
        <f t="shared" si="4"/>
        <v>3</v>
      </c>
      <c r="H147" s="81" t="s">
        <v>289</v>
      </c>
      <c r="I147" s="82"/>
      <c r="J147" s="83"/>
      <c r="K147" s="82"/>
      <c r="L147" s="82">
        <v>46203</v>
      </c>
      <c r="M147" s="82"/>
      <c r="S147" s="84"/>
      <c r="T147" s="84"/>
      <c r="U147" s="78"/>
      <c r="V147" s="85"/>
      <c r="W147" s="78"/>
      <c r="X147" s="78"/>
      <c r="Y147" s="76"/>
      <c r="Z147" s="76"/>
      <c r="AA147" s="86"/>
    </row>
    <row r="148" spans="2:27" s="64" customFormat="1" ht="15" customHeight="1">
      <c r="B148" s="76" t="s">
        <v>472</v>
      </c>
      <c r="C148" s="77" t="s">
        <v>1534</v>
      </c>
      <c r="D148" s="78"/>
      <c r="E148" s="79"/>
      <c r="F148" s="80">
        <v>33</v>
      </c>
      <c r="G148" s="80">
        <f t="shared" si="4"/>
        <v>33</v>
      </c>
      <c r="H148" s="81" t="s">
        <v>293</v>
      </c>
      <c r="I148" s="82"/>
      <c r="J148" s="83"/>
      <c r="K148" s="82"/>
      <c r="L148" s="82">
        <v>46203</v>
      </c>
      <c r="M148" s="82"/>
      <c r="S148" s="84"/>
      <c r="T148" s="84"/>
      <c r="U148" s="78"/>
      <c r="V148" s="85"/>
      <c r="W148" s="78"/>
      <c r="X148" s="78"/>
      <c r="Y148" s="76"/>
      <c r="Z148" s="76"/>
      <c r="AA148" s="86"/>
    </row>
    <row r="149" spans="2:27" s="64" customFormat="1" ht="15" customHeight="1">
      <c r="B149" s="76" t="s">
        <v>473</v>
      </c>
      <c r="C149" s="77" t="s">
        <v>1535</v>
      </c>
      <c r="D149" s="78" t="s">
        <v>474</v>
      </c>
      <c r="E149" s="79"/>
      <c r="F149" s="80">
        <v>1</v>
      </c>
      <c r="G149" s="80">
        <f t="shared" si="4"/>
        <v>1</v>
      </c>
      <c r="H149" s="81" t="s">
        <v>289</v>
      </c>
      <c r="I149" s="82"/>
      <c r="J149" s="83"/>
      <c r="K149" s="82"/>
      <c r="L149" s="82">
        <v>46203</v>
      </c>
      <c r="M149" s="82"/>
      <c r="S149" s="84"/>
      <c r="T149" s="84"/>
      <c r="U149" s="78"/>
      <c r="V149" s="85"/>
      <c r="W149" s="78"/>
      <c r="X149" s="78"/>
      <c r="Y149" s="76"/>
      <c r="Z149" s="76"/>
      <c r="AA149" s="86"/>
    </row>
    <row r="150" spans="2:27" s="64" customFormat="1" ht="15" customHeight="1">
      <c r="B150" s="76" t="s">
        <v>475</v>
      </c>
      <c r="C150" s="77" t="s">
        <v>1536</v>
      </c>
      <c r="D150" s="78" t="s">
        <v>474</v>
      </c>
      <c r="E150" s="79"/>
      <c r="F150" s="80">
        <v>10</v>
      </c>
      <c r="G150" s="80">
        <f t="shared" si="4"/>
        <v>10</v>
      </c>
      <c r="H150" s="81" t="s">
        <v>289</v>
      </c>
      <c r="I150" s="82"/>
      <c r="J150" s="83"/>
      <c r="K150" s="82"/>
      <c r="L150" s="82">
        <v>46203</v>
      </c>
      <c r="M150" s="82"/>
      <c r="S150" s="84"/>
      <c r="T150" s="84"/>
      <c r="U150" s="78"/>
      <c r="V150" s="85"/>
      <c r="W150" s="78"/>
      <c r="X150" s="78"/>
      <c r="Y150" s="76"/>
      <c r="Z150" s="76"/>
      <c r="AA150" s="86"/>
    </row>
    <row r="151" spans="2:27" s="64" customFormat="1" ht="15" customHeight="1">
      <c r="B151" s="76" t="s">
        <v>476</v>
      </c>
      <c r="C151" s="77" t="s">
        <v>1537</v>
      </c>
      <c r="D151" s="78" t="s">
        <v>297</v>
      </c>
      <c r="E151" s="79"/>
      <c r="F151" s="80">
        <v>2</v>
      </c>
      <c r="G151" s="80">
        <f t="shared" si="4"/>
        <v>2</v>
      </c>
      <c r="H151" s="81" t="s">
        <v>300</v>
      </c>
      <c r="I151" s="82"/>
      <c r="J151" s="83"/>
      <c r="K151" s="82"/>
      <c r="L151" s="82">
        <v>46203</v>
      </c>
      <c r="M151" s="82"/>
      <c r="S151" s="84"/>
      <c r="T151" s="84"/>
      <c r="U151" s="78"/>
      <c r="V151" s="85"/>
      <c r="W151" s="78"/>
      <c r="X151" s="78"/>
      <c r="Y151" s="76"/>
      <c r="Z151" s="76"/>
      <c r="AA151" s="86"/>
    </row>
    <row r="152" spans="2:27" s="64" customFormat="1" ht="15" customHeight="1">
      <c r="B152" s="76" t="s">
        <v>477</v>
      </c>
      <c r="C152" s="77" t="s">
        <v>1538</v>
      </c>
      <c r="D152" s="78" t="s">
        <v>297</v>
      </c>
      <c r="E152" s="79"/>
      <c r="F152" s="80">
        <v>2</v>
      </c>
      <c r="G152" s="80">
        <f t="shared" si="4"/>
        <v>2</v>
      </c>
      <c r="H152" s="81" t="s">
        <v>300</v>
      </c>
      <c r="I152" s="82"/>
      <c r="J152" s="83"/>
      <c r="K152" s="82"/>
      <c r="L152" s="82">
        <v>46203</v>
      </c>
      <c r="M152" s="82"/>
      <c r="S152" s="84"/>
      <c r="T152" s="84"/>
      <c r="U152" s="78"/>
      <c r="V152" s="85"/>
      <c r="W152" s="78"/>
      <c r="X152" s="78"/>
      <c r="Y152" s="76"/>
      <c r="Z152" s="76"/>
      <c r="AA152" s="86"/>
    </row>
    <row r="153" spans="2:27" s="64" customFormat="1" ht="15" customHeight="1">
      <c r="B153" s="97" t="s">
        <v>478</v>
      </c>
      <c r="C153" s="77" t="s">
        <v>1539</v>
      </c>
      <c r="D153" s="78" t="s">
        <v>479</v>
      </c>
      <c r="E153" s="79"/>
      <c r="F153" s="80">
        <v>1</v>
      </c>
      <c r="G153" s="80">
        <f t="shared" si="4"/>
        <v>1</v>
      </c>
      <c r="H153" s="81" t="s">
        <v>319</v>
      </c>
      <c r="I153" s="82"/>
      <c r="J153" s="83"/>
      <c r="K153" s="82"/>
      <c r="L153" s="82">
        <v>46203</v>
      </c>
      <c r="M153" s="82"/>
      <c r="S153" s="84"/>
      <c r="T153" s="84"/>
      <c r="U153" s="78"/>
      <c r="V153" s="85"/>
      <c r="W153" s="78"/>
      <c r="X153" s="78"/>
      <c r="Y153" s="76"/>
      <c r="Z153" s="76"/>
      <c r="AA153" s="86"/>
    </row>
    <row r="154" spans="2:27" s="64" customFormat="1" ht="15" customHeight="1">
      <c r="B154" s="76" t="s">
        <v>480</v>
      </c>
      <c r="C154" s="77" t="s">
        <v>1540</v>
      </c>
      <c r="D154" s="78" t="s">
        <v>1541</v>
      </c>
      <c r="E154" s="79"/>
      <c r="F154" s="80">
        <v>3</v>
      </c>
      <c r="G154" s="80">
        <f t="shared" si="4"/>
        <v>3</v>
      </c>
      <c r="H154" s="81" t="s">
        <v>302</v>
      </c>
      <c r="I154" s="82"/>
      <c r="J154" s="83"/>
      <c r="K154" s="82"/>
      <c r="L154" s="82">
        <v>46234</v>
      </c>
      <c r="M154" s="82"/>
      <c r="S154" s="84"/>
      <c r="T154" s="84"/>
      <c r="U154" s="78"/>
      <c r="V154" s="85"/>
      <c r="W154" s="78"/>
      <c r="X154" s="78"/>
      <c r="Y154" s="76"/>
      <c r="Z154" s="76"/>
      <c r="AA154" s="86"/>
    </row>
    <row r="155" spans="2:27" s="64" customFormat="1" ht="15" customHeight="1">
      <c r="B155" s="76" t="s">
        <v>481</v>
      </c>
      <c r="C155" s="77" t="s">
        <v>1542</v>
      </c>
      <c r="D155" s="78" t="s">
        <v>282</v>
      </c>
      <c r="E155" s="79"/>
      <c r="F155" s="80">
        <v>4</v>
      </c>
      <c r="G155" s="80">
        <f t="shared" si="4"/>
        <v>4</v>
      </c>
      <c r="H155" s="81" t="s">
        <v>295</v>
      </c>
      <c r="I155" s="82"/>
      <c r="J155" s="83"/>
      <c r="K155" s="82"/>
      <c r="L155" s="82">
        <v>46203</v>
      </c>
      <c r="M155" s="82"/>
      <c r="S155" s="84"/>
      <c r="T155" s="84"/>
      <c r="U155" s="78"/>
      <c r="V155" s="85"/>
      <c r="W155" s="78"/>
      <c r="X155" s="78"/>
      <c r="Y155" s="76"/>
      <c r="Z155" s="76"/>
      <c r="AA155" s="86"/>
    </row>
    <row r="156" spans="2:27" s="64" customFormat="1" ht="15" customHeight="1">
      <c r="B156" s="76" t="s">
        <v>482</v>
      </c>
      <c r="C156" s="77" t="s">
        <v>1543</v>
      </c>
      <c r="D156" s="78"/>
      <c r="E156" s="79"/>
      <c r="F156" s="80">
        <v>1</v>
      </c>
      <c r="G156" s="80">
        <f t="shared" si="4"/>
        <v>1</v>
      </c>
      <c r="H156" s="81" t="s">
        <v>295</v>
      </c>
      <c r="I156" s="82"/>
      <c r="J156" s="83"/>
      <c r="K156" s="82"/>
      <c r="L156" s="82">
        <v>46203</v>
      </c>
      <c r="M156" s="82"/>
      <c r="S156" s="84"/>
      <c r="T156" s="84"/>
      <c r="U156" s="78"/>
      <c r="V156" s="85"/>
      <c r="W156" s="78"/>
      <c r="X156" s="78"/>
      <c r="Y156" s="76"/>
      <c r="Z156" s="76"/>
      <c r="AA156" s="86"/>
    </row>
    <row r="157" spans="2:27" s="64" customFormat="1" ht="15" customHeight="1">
      <c r="B157" s="76" t="s">
        <v>483</v>
      </c>
      <c r="C157" s="77" t="s">
        <v>1544</v>
      </c>
      <c r="D157" s="78"/>
      <c r="E157" s="79"/>
      <c r="F157" s="80">
        <v>2</v>
      </c>
      <c r="G157" s="80">
        <f t="shared" si="4"/>
        <v>2</v>
      </c>
      <c r="H157" s="81" t="s">
        <v>295</v>
      </c>
      <c r="I157" s="82"/>
      <c r="J157" s="83"/>
      <c r="K157" s="82"/>
      <c r="L157" s="82">
        <v>46203</v>
      </c>
      <c r="M157" s="82"/>
      <c r="S157" s="84"/>
      <c r="T157" s="84"/>
      <c r="U157" s="78"/>
      <c r="V157" s="85"/>
      <c r="W157" s="78"/>
      <c r="X157" s="78"/>
      <c r="Y157" s="76"/>
      <c r="Z157" s="76"/>
      <c r="AA157" s="86"/>
    </row>
    <row r="158" spans="2:27" s="64" customFormat="1" ht="15" customHeight="1">
      <c r="B158" s="76" t="s">
        <v>484</v>
      </c>
      <c r="C158" s="77" t="s">
        <v>1545</v>
      </c>
      <c r="D158" s="78" t="s">
        <v>282</v>
      </c>
      <c r="E158" s="79"/>
      <c r="F158" s="80">
        <v>1</v>
      </c>
      <c r="G158" s="80">
        <f t="shared" si="4"/>
        <v>1</v>
      </c>
      <c r="H158" s="81" t="s">
        <v>58</v>
      </c>
      <c r="I158" s="82"/>
      <c r="J158" s="83"/>
      <c r="K158" s="82"/>
      <c r="L158" s="82">
        <v>46203</v>
      </c>
      <c r="M158" s="82"/>
      <c r="S158" s="84"/>
      <c r="T158" s="84"/>
      <c r="U158" s="78"/>
      <c r="V158" s="85"/>
      <c r="W158" s="78"/>
      <c r="X158" s="78"/>
      <c r="Y158" s="76"/>
      <c r="Z158" s="76"/>
      <c r="AA158" s="86"/>
    </row>
    <row r="159" spans="2:27" s="64" customFormat="1" ht="15" customHeight="1">
      <c r="B159" s="76" t="s">
        <v>485</v>
      </c>
      <c r="C159" s="77" t="s">
        <v>1546</v>
      </c>
      <c r="D159" s="78" t="s">
        <v>282</v>
      </c>
      <c r="E159" s="79"/>
      <c r="F159" s="80">
        <v>2</v>
      </c>
      <c r="G159" s="80">
        <f t="shared" si="4"/>
        <v>2</v>
      </c>
      <c r="H159" s="81" t="s">
        <v>486</v>
      </c>
      <c r="I159" s="82"/>
      <c r="J159" s="83"/>
      <c r="K159" s="82"/>
      <c r="L159" s="82">
        <v>46203</v>
      </c>
      <c r="M159" s="82"/>
      <c r="S159" s="84"/>
      <c r="T159" s="84"/>
      <c r="U159" s="78"/>
      <c r="V159" s="85"/>
      <c r="W159" s="78"/>
      <c r="X159" s="78"/>
      <c r="Y159" s="76"/>
      <c r="Z159" s="76"/>
      <c r="AA159" s="86"/>
    </row>
    <row r="160" spans="2:27" s="64" customFormat="1" ht="15" customHeight="1">
      <c r="B160" s="76" t="s">
        <v>487</v>
      </c>
      <c r="C160" s="77" t="s">
        <v>1547</v>
      </c>
      <c r="D160" s="78" t="s">
        <v>282</v>
      </c>
      <c r="E160" s="79"/>
      <c r="F160" s="80">
        <v>1</v>
      </c>
      <c r="G160" s="80">
        <f t="shared" si="4"/>
        <v>1</v>
      </c>
      <c r="H160" s="81" t="s">
        <v>488</v>
      </c>
      <c r="I160" s="82"/>
      <c r="J160" s="83"/>
      <c r="K160" s="82"/>
      <c r="L160" s="82">
        <v>46203</v>
      </c>
      <c r="M160" s="82"/>
      <c r="S160" s="84"/>
      <c r="T160" s="84"/>
      <c r="U160" s="78"/>
      <c r="V160" s="85"/>
      <c r="W160" s="78"/>
      <c r="X160" s="78"/>
      <c r="Y160" s="76"/>
      <c r="Z160" s="76"/>
      <c r="AA160" s="86"/>
    </row>
    <row r="161" spans="2:27" s="64" customFormat="1" ht="15" customHeight="1">
      <c r="B161" s="76" t="s">
        <v>489</v>
      </c>
      <c r="C161" s="77" t="s">
        <v>1548</v>
      </c>
      <c r="D161" s="78" t="s">
        <v>490</v>
      </c>
      <c r="E161" s="79"/>
      <c r="F161" s="80">
        <v>2</v>
      </c>
      <c r="G161" s="80">
        <f t="shared" si="4"/>
        <v>2</v>
      </c>
      <c r="H161" s="81" t="s">
        <v>58</v>
      </c>
      <c r="I161" s="82"/>
      <c r="J161" s="83"/>
      <c r="K161" s="82"/>
      <c r="L161" s="82">
        <v>46203</v>
      </c>
      <c r="M161" s="82"/>
      <c r="S161" s="84"/>
      <c r="T161" s="84"/>
      <c r="U161" s="78"/>
      <c r="V161" s="85"/>
      <c r="W161" s="78"/>
      <c r="X161" s="78"/>
      <c r="Y161" s="76"/>
      <c r="Z161" s="76"/>
      <c r="AA161" s="86"/>
    </row>
    <row r="162" spans="2:27" s="64" customFormat="1" ht="15" customHeight="1">
      <c r="B162" s="76" t="s">
        <v>491</v>
      </c>
      <c r="C162" s="77" t="s">
        <v>1549</v>
      </c>
      <c r="D162" s="78" t="s">
        <v>282</v>
      </c>
      <c r="E162" s="79"/>
      <c r="F162" s="80">
        <v>1</v>
      </c>
      <c r="G162" s="80">
        <f t="shared" si="4"/>
        <v>1</v>
      </c>
      <c r="H162" s="81" t="s">
        <v>486</v>
      </c>
      <c r="I162" s="82"/>
      <c r="J162" s="83"/>
      <c r="K162" s="82"/>
      <c r="L162" s="82">
        <v>46203</v>
      </c>
      <c r="M162" s="82"/>
      <c r="S162" s="84"/>
      <c r="T162" s="84"/>
      <c r="U162" s="78"/>
      <c r="V162" s="85"/>
      <c r="W162" s="78"/>
      <c r="X162" s="78"/>
      <c r="Y162" s="76"/>
      <c r="Z162" s="76"/>
      <c r="AA162" s="86"/>
    </row>
    <row r="163" spans="2:27" s="64" customFormat="1" ht="15" customHeight="1">
      <c r="B163" s="76" t="s">
        <v>492</v>
      </c>
      <c r="C163" s="77" t="s">
        <v>1550</v>
      </c>
      <c r="D163" s="78" t="s">
        <v>282</v>
      </c>
      <c r="E163" s="79"/>
      <c r="F163" s="80">
        <v>1</v>
      </c>
      <c r="G163" s="80">
        <f t="shared" si="4"/>
        <v>1</v>
      </c>
      <c r="H163" s="81" t="s">
        <v>486</v>
      </c>
      <c r="I163" s="82"/>
      <c r="J163" s="83"/>
      <c r="K163" s="82"/>
      <c r="L163" s="82">
        <v>46203</v>
      </c>
      <c r="M163" s="82"/>
      <c r="S163" s="84"/>
      <c r="T163" s="84"/>
      <c r="U163" s="78"/>
      <c r="V163" s="85"/>
      <c r="W163" s="78"/>
      <c r="X163" s="78"/>
      <c r="Y163" s="76"/>
      <c r="Z163" s="76"/>
      <c r="AA163" s="86"/>
    </row>
    <row r="164" spans="2:27" s="64" customFormat="1" ht="15" customHeight="1">
      <c r="B164" s="76" t="s">
        <v>493</v>
      </c>
      <c r="C164" s="77" t="s">
        <v>1551</v>
      </c>
      <c r="D164" s="78" t="s">
        <v>282</v>
      </c>
      <c r="E164" s="79"/>
      <c r="F164" s="80">
        <v>2</v>
      </c>
      <c r="G164" s="80">
        <f t="shared" si="4"/>
        <v>2</v>
      </c>
      <c r="H164" s="81" t="s">
        <v>494</v>
      </c>
      <c r="I164" s="82"/>
      <c r="J164" s="83"/>
      <c r="K164" s="82"/>
      <c r="L164" s="82">
        <v>46203</v>
      </c>
      <c r="M164" s="82"/>
      <c r="S164" s="84"/>
      <c r="T164" s="84"/>
      <c r="U164" s="78"/>
      <c r="V164" s="85"/>
      <c r="W164" s="78"/>
      <c r="X164" s="78"/>
      <c r="Y164" s="76"/>
      <c r="Z164" s="76"/>
      <c r="AA164" s="86"/>
    </row>
    <row r="165" spans="2:27" s="64" customFormat="1" ht="15" customHeight="1">
      <c r="B165" s="76" t="s">
        <v>495</v>
      </c>
      <c r="C165" s="77" t="s">
        <v>1552</v>
      </c>
      <c r="D165" s="78" t="s">
        <v>282</v>
      </c>
      <c r="E165" s="79"/>
      <c r="F165" s="80">
        <v>2</v>
      </c>
      <c r="G165" s="80">
        <f t="shared" si="4"/>
        <v>2</v>
      </c>
      <c r="H165" s="81" t="s">
        <v>486</v>
      </c>
      <c r="I165" s="82"/>
      <c r="J165" s="83"/>
      <c r="K165" s="82"/>
      <c r="L165" s="82">
        <v>46203</v>
      </c>
      <c r="M165" s="82"/>
      <c r="S165" s="84"/>
      <c r="T165" s="84"/>
      <c r="U165" s="78"/>
      <c r="V165" s="85"/>
      <c r="W165" s="78"/>
      <c r="X165" s="78"/>
      <c r="Y165" s="76"/>
      <c r="Z165" s="76"/>
      <c r="AA165" s="86"/>
    </row>
    <row r="166" spans="2:27" s="64" customFormat="1" ht="15" customHeight="1">
      <c r="B166" s="98" t="s">
        <v>496</v>
      </c>
      <c r="C166" s="77" t="s">
        <v>1553</v>
      </c>
      <c r="D166" s="78" t="s">
        <v>282</v>
      </c>
      <c r="E166" s="79"/>
      <c r="F166" s="80">
        <v>1</v>
      </c>
      <c r="G166" s="80">
        <f t="shared" si="4"/>
        <v>1</v>
      </c>
      <c r="H166" s="81" t="s">
        <v>497</v>
      </c>
      <c r="I166" s="82"/>
      <c r="J166" s="83"/>
      <c r="K166" s="82"/>
      <c r="L166" s="82">
        <v>46203</v>
      </c>
      <c r="M166" s="82"/>
      <c r="S166" s="84"/>
      <c r="T166" s="84"/>
      <c r="U166" s="78"/>
      <c r="V166" s="85"/>
      <c r="W166" s="78"/>
      <c r="X166" s="78"/>
      <c r="Y166" s="76"/>
      <c r="Z166" s="76"/>
      <c r="AA166" s="86"/>
    </row>
    <row r="167" spans="2:27" s="64" customFormat="1" ht="15" customHeight="1">
      <c r="B167" s="76" t="s">
        <v>498</v>
      </c>
      <c r="C167" s="77" t="s">
        <v>1554</v>
      </c>
      <c r="D167" s="78" t="s">
        <v>282</v>
      </c>
      <c r="E167" s="79"/>
      <c r="F167" s="80">
        <v>2</v>
      </c>
      <c r="G167" s="80">
        <f t="shared" si="4"/>
        <v>2</v>
      </c>
      <c r="H167" s="81" t="s">
        <v>497</v>
      </c>
      <c r="I167" s="82"/>
      <c r="J167" s="83"/>
      <c r="K167" s="82"/>
      <c r="L167" s="82">
        <v>46203</v>
      </c>
      <c r="M167" s="82"/>
      <c r="S167" s="84"/>
      <c r="T167" s="84"/>
      <c r="U167" s="78"/>
      <c r="V167" s="85"/>
      <c r="W167" s="78"/>
      <c r="X167" s="78"/>
      <c r="Y167" s="76"/>
      <c r="Z167" s="76"/>
      <c r="AA167" s="86"/>
    </row>
    <row r="168" spans="2:27" s="64" customFormat="1" ht="15" customHeight="1">
      <c r="B168" s="76" t="s">
        <v>499</v>
      </c>
      <c r="C168" s="77" t="s">
        <v>1555</v>
      </c>
      <c r="D168" s="78" t="s">
        <v>282</v>
      </c>
      <c r="E168" s="79"/>
      <c r="F168" s="80">
        <v>1</v>
      </c>
      <c r="G168" s="80">
        <f t="shared" si="4"/>
        <v>1</v>
      </c>
      <c r="H168" s="81" t="s">
        <v>494</v>
      </c>
      <c r="I168" s="82"/>
      <c r="J168" s="83"/>
      <c r="K168" s="82"/>
      <c r="L168" s="82">
        <v>46203</v>
      </c>
      <c r="M168" s="82"/>
      <c r="S168" s="84"/>
      <c r="T168" s="84"/>
      <c r="U168" s="78"/>
      <c r="V168" s="85"/>
      <c r="W168" s="78"/>
      <c r="X168" s="78"/>
      <c r="Y168" s="76"/>
      <c r="Z168" s="76"/>
      <c r="AA168" s="86"/>
    </row>
    <row r="169" spans="2:27" s="64" customFormat="1" ht="15" customHeight="1">
      <c r="B169" s="76" t="s">
        <v>500</v>
      </c>
      <c r="C169" s="77" t="s">
        <v>1556</v>
      </c>
      <c r="D169" s="78" t="s">
        <v>282</v>
      </c>
      <c r="E169" s="79"/>
      <c r="F169" s="80">
        <v>2</v>
      </c>
      <c r="G169" s="80">
        <f t="shared" si="4"/>
        <v>2</v>
      </c>
      <c r="H169" s="93"/>
      <c r="I169" s="82"/>
      <c r="J169" s="83"/>
      <c r="K169" s="82"/>
      <c r="L169" s="82">
        <v>46203</v>
      </c>
      <c r="M169" s="82"/>
      <c r="S169" s="84"/>
      <c r="T169" s="84"/>
      <c r="U169" s="78"/>
      <c r="V169" s="85"/>
      <c r="W169" s="78"/>
      <c r="X169" s="78"/>
      <c r="Y169" s="76"/>
      <c r="Z169" s="76"/>
      <c r="AA169" s="86"/>
    </row>
    <row r="170" spans="2:27" s="64" customFormat="1" ht="15" customHeight="1">
      <c r="B170" s="76" t="s">
        <v>501</v>
      </c>
      <c r="C170" s="77" t="s">
        <v>1557</v>
      </c>
      <c r="D170" s="78" t="s">
        <v>1558</v>
      </c>
      <c r="E170" s="79"/>
      <c r="F170" s="80">
        <v>1</v>
      </c>
      <c r="G170" s="80">
        <f t="shared" si="4"/>
        <v>1</v>
      </c>
      <c r="H170" s="81" t="s">
        <v>502</v>
      </c>
      <c r="I170" s="82"/>
      <c r="J170" s="83"/>
      <c r="K170" s="82"/>
      <c r="L170" s="82">
        <v>46203</v>
      </c>
      <c r="M170" s="82"/>
      <c r="S170" s="84"/>
      <c r="T170" s="84"/>
      <c r="U170" s="78"/>
      <c r="V170" s="85"/>
      <c r="W170" s="78"/>
      <c r="X170" s="78"/>
      <c r="Y170" s="76"/>
      <c r="Z170" s="76"/>
      <c r="AA170" s="86"/>
    </row>
    <row r="171" spans="2:27" s="64" customFormat="1" ht="15" customHeight="1">
      <c r="B171" s="76" t="s">
        <v>503</v>
      </c>
      <c r="C171" s="77" t="s">
        <v>1559</v>
      </c>
      <c r="D171" s="78" t="s">
        <v>282</v>
      </c>
      <c r="E171" s="79"/>
      <c r="F171" s="80">
        <v>1</v>
      </c>
      <c r="G171" s="80">
        <f t="shared" si="4"/>
        <v>1</v>
      </c>
      <c r="H171" s="81" t="s">
        <v>494</v>
      </c>
      <c r="I171" s="82"/>
      <c r="J171" s="83"/>
      <c r="K171" s="82"/>
      <c r="L171" s="82">
        <v>46203</v>
      </c>
      <c r="M171" s="82"/>
      <c r="S171" s="84"/>
      <c r="T171" s="84"/>
      <c r="U171" s="78"/>
      <c r="V171" s="85"/>
      <c r="W171" s="78"/>
      <c r="X171" s="78"/>
      <c r="Y171" s="76"/>
      <c r="Z171" s="76"/>
      <c r="AA171" s="86"/>
    </row>
    <row r="172" spans="2:27" s="64" customFormat="1" ht="15" customHeight="1">
      <c r="B172" s="76" t="s">
        <v>504</v>
      </c>
      <c r="C172" s="77" t="s">
        <v>1560</v>
      </c>
      <c r="D172" s="78" t="s">
        <v>282</v>
      </c>
      <c r="E172" s="79"/>
      <c r="F172" s="80">
        <v>4</v>
      </c>
      <c r="G172" s="80">
        <f t="shared" si="4"/>
        <v>4</v>
      </c>
      <c r="H172" s="81" t="s">
        <v>505</v>
      </c>
      <c r="I172" s="82"/>
      <c r="J172" s="83"/>
      <c r="K172" s="82"/>
      <c r="L172" s="82">
        <v>46203</v>
      </c>
      <c r="M172" s="82"/>
      <c r="S172" s="84"/>
      <c r="T172" s="84"/>
      <c r="U172" s="78"/>
      <c r="V172" s="85"/>
      <c r="W172" s="78"/>
      <c r="X172" s="78"/>
      <c r="Y172" s="76"/>
      <c r="Z172" s="76"/>
      <c r="AA172" s="86"/>
    </row>
    <row r="173" spans="2:27" s="64" customFormat="1" ht="15" customHeight="1">
      <c r="B173" s="76" t="s">
        <v>506</v>
      </c>
      <c r="C173" s="77" t="s">
        <v>1561</v>
      </c>
      <c r="D173" s="78" t="s">
        <v>282</v>
      </c>
      <c r="E173" s="79"/>
      <c r="F173" s="80">
        <v>1</v>
      </c>
      <c r="G173" s="80">
        <f t="shared" si="4"/>
        <v>1</v>
      </c>
      <c r="H173" s="81" t="s">
        <v>494</v>
      </c>
      <c r="I173" s="82"/>
      <c r="J173" s="83"/>
      <c r="K173" s="82"/>
      <c r="L173" s="82">
        <v>46203</v>
      </c>
      <c r="M173" s="82"/>
      <c r="S173" s="84"/>
      <c r="T173" s="84"/>
      <c r="U173" s="78"/>
      <c r="V173" s="85"/>
      <c r="W173" s="78"/>
      <c r="X173" s="78"/>
      <c r="Y173" s="76"/>
      <c r="Z173" s="76"/>
      <c r="AA173" s="86"/>
    </row>
    <row r="174" spans="2:27" s="64" customFormat="1" ht="15" customHeight="1">
      <c r="B174" s="76" t="s">
        <v>507</v>
      </c>
      <c r="C174" s="77" t="s">
        <v>1562</v>
      </c>
      <c r="D174" s="78" t="s">
        <v>282</v>
      </c>
      <c r="E174" s="79"/>
      <c r="F174" s="80">
        <v>1</v>
      </c>
      <c r="G174" s="80">
        <f t="shared" si="4"/>
        <v>1</v>
      </c>
      <c r="H174" s="81" t="s">
        <v>494</v>
      </c>
      <c r="I174" s="82"/>
      <c r="J174" s="83"/>
      <c r="K174" s="82"/>
      <c r="L174" s="82">
        <v>46203</v>
      </c>
      <c r="M174" s="82"/>
      <c r="S174" s="84"/>
      <c r="T174" s="84"/>
      <c r="U174" s="78"/>
      <c r="V174" s="85"/>
      <c r="W174" s="78"/>
      <c r="X174" s="78"/>
      <c r="Y174" s="76"/>
      <c r="Z174" s="76"/>
      <c r="AA174" s="86"/>
    </row>
    <row r="175" spans="2:27" s="64" customFormat="1" ht="15" customHeight="1">
      <c r="B175" s="76" t="s">
        <v>508</v>
      </c>
      <c r="C175" s="77" t="s">
        <v>1563</v>
      </c>
      <c r="D175" s="78" t="s">
        <v>509</v>
      </c>
      <c r="E175" s="79"/>
      <c r="F175" s="80">
        <v>1</v>
      </c>
      <c r="G175" s="80">
        <f t="shared" si="4"/>
        <v>1</v>
      </c>
      <c r="H175" s="81" t="s">
        <v>494</v>
      </c>
      <c r="I175" s="82"/>
      <c r="J175" s="83"/>
      <c r="K175" s="82"/>
      <c r="L175" s="82">
        <v>46203</v>
      </c>
      <c r="M175" s="82"/>
      <c r="S175" s="84"/>
      <c r="T175" s="84"/>
      <c r="U175" s="78"/>
      <c r="V175" s="85"/>
      <c r="W175" s="78"/>
      <c r="X175" s="78"/>
      <c r="Y175" s="76"/>
      <c r="Z175" s="76"/>
      <c r="AA175" s="86"/>
    </row>
    <row r="176" spans="2:27" s="64" customFormat="1" ht="15" customHeight="1">
      <c r="B176" s="76" t="s">
        <v>510</v>
      </c>
      <c r="C176" s="77" t="s">
        <v>1564</v>
      </c>
      <c r="D176" s="78" t="s">
        <v>396</v>
      </c>
      <c r="E176" s="79"/>
      <c r="F176" s="80">
        <v>1</v>
      </c>
      <c r="G176" s="80">
        <f t="shared" si="4"/>
        <v>1</v>
      </c>
      <c r="H176" s="81" t="s">
        <v>494</v>
      </c>
      <c r="I176" s="82"/>
      <c r="J176" s="83"/>
      <c r="K176" s="82"/>
      <c r="L176" s="82">
        <v>46203</v>
      </c>
      <c r="M176" s="82"/>
      <c r="S176" s="84"/>
      <c r="T176" s="84"/>
      <c r="U176" s="78"/>
      <c r="V176" s="85"/>
      <c r="W176" s="78"/>
      <c r="X176" s="78"/>
      <c r="Y176" s="76"/>
      <c r="Z176" s="76"/>
      <c r="AA176" s="86"/>
    </row>
    <row r="177" spans="2:27" s="64" customFormat="1" ht="15" customHeight="1">
      <c r="B177" s="76" t="s">
        <v>511</v>
      </c>
      <c r="C177" s="77" t="s">
        <v>1565</v>
      </c>
      <c r="D177" s="78" t="s">
        <v>512</v>
      </c>
      <c r="E177" s="79"/>
      <c r="F177" s="80">
        <v>1</v>
      </c>
      <c r="G177" s="80">
        <f t="shared" si="4"/>
        <v>1</v>
      </c>
      <c r="H177" s="81" t="s">
        <v>502</v>
      </c>
      <c r="I177" s="82"/>
      <c r="J177" s="83"/>
      <c r="K177" s="82"/>
      <c r="L177" s="82">
        <v>46203</v>
      </c>
      <c r="M177" s="82"/>
      <c r="S177" s="84"/>
      <c r="T177" s="84"/>
      <c r="U177" s="78"/>
      <c r="V177" s="85"/>
      <c r="W177" s="78"/>
      <c r="X177" s="78"/>
      <c r="Y177" s="76"/>
      <c r="Z177" s="76"/>
      <c r="AA177" s="86"/>
    </row>
    <row r="178" spans="2:27" s="64" customFormat="1" ht="15" customHeight="1">
      <c r="B178" s="76" t="s">
        <v>513</v>
      </c>
      <c r="C178" s="77" t="s">
        <v>1566</v>
      </c>
      <c r="D178" s="78" t="s">
        <v>282</v>
      </c>
      <c r="E178" s="79"/>
      <c r="F178" s="80">
        <v>1</v>
      </c>
      <c r="G178" s="80">
        <f t="shared" si="4"/>
        <v>1</v>
      </c>
      <c r="H178" s="81" t="s">
        <v>58</v>
      </c>
      <c r="I178" s="82"/>
      <c r="J178" s="83"/>
      <c r="K178" s="82"/>
      <c r="L178" s="82">
        <v>46203</v>
      </c>
      <c r="M178" s="82"/>
      <c r="S178" s="84"/>
      <c r="T178" s="84"/>
      <c r="U178" s="78"/>
      <c r="V178" s="85"/>
      <c r="W178" s="78"/>
      <c r="X178" s="78"/>
      <c r="Y178" s="76"/>
      <c r="Z178" s="76"/>
      <c r="AA178" s="86"/>
    </row>
    <row r="179" spans="2:27" s="64" customFormat="1" ht="15" customHeight="1">
      <c r="B179" s="76" t="s">
        <v>514</v>
      </c>
      <c r="C179" s="77" t="s">
        <v>1567</v>
      </c>
      <c r="D179" s="78" t="s">
        <v>282</v>
      </c>
      <c r="E179" s="79"/>
      <c r="F179" s="80">
        <v>1</v>
      </c>
      <c r="G179" s="80">
        <f t="shared" si="4"/>
        <v>1</v>
      </c>
      <c r="H179" s="81" t="s">
        <v>58</v>
      </c>
      <c r="I179" s="82"/>
      <c r="J179" s="83"/>
      <c r="K179" s="82"/>
      <c r="L179" s="82">
        <v>46203</v>
      </c>
      <c r="M179" s="82"/>
      <c r="S179" s="84"/>
      <c r="T179" s="84"/>
      <c r="U179" s="78"/>
      <c r="V179" s="85"/>
      <c r="W179" s="78"/>
      <c r="X179" s="78"/>
      <c r="Y179" s="76"/>
      <c r="Z179" s="76"/>
      <c r="AA179" s="86"/>
    </row>
    <row r="180" spans="2:27" s="64" customFormat="1" ht="15" customHeight="1">
      <c r="B180" s="76" t="s">
        <v>515</v>
      </c>
      <c r="C180" s="77" t="s">
        <v>1568</v>
      </c>
      <c r="D180" s="78" t="s">
        <v>282</v>
      </c>
      <c r="E180" s="79"/>
      <c r="F180" s="80">
        <v>1</v>
      </c>
      <c r="G180" s="80">
        <f t="shared" si="4"/>
        <v>1</v>
      </c>
      <c r="H180" s="81" t="s">
        <v>58</v>
      </c>
      <c r="I180" s="82"/>
      <c r="J180" s="83"/>
      <c r="K180" s="82"/>
      <c r="L180" s="82">
        <v>46203</v>
      </c>
      <c r="M180" s="82"/>
      <c r="S180" s="84"/>
      <c r="T180" s="84"/>
      <c r="U180" s="78"/>
      <c r="V180" s="85"/>
      <c r="W180" s="78"/>
      <c r="X180" s="78"/>
      <c r="Y180" s="76"/>
      <c r="Z180" s="76"/>
      <c r="AA180" s="86"/>
    </row>
    <row r="181" spans="2:27" s="64" customFormat="1" ht="15" customHeight="1">
      <c r="B181" s="76" t="s">
        <v>516</v>
      </c>
      <c r="C181" s="77" t="s">
        <v>1569</v>
      </c>
      <c r="D181" s="78" t="s">
        <v>517</v>
      </c>
      <c r="E181" s="79"/>
      <c r="F181" s="80">
        <v>1</v>
      </c>
      <c r="G181" s="80">
        <f t="shared" si="4"/>
        <v>1</v>
      </c>
      <c r="H181" s="81" t="s">
        <v>502</v>
      </c>
      <c r="I181" s="82"/>
      <c r="J181" s="83"/>
      <c r="K181" s="82"/>
      <c r="L181" s="82">
        <v>46203</v>
      </c>
      <c r="M181" s="82"/>
      <c r="S181" s="84"/>
      <c r="T181" s="84"/>
      <c r="U181" s="78"/>
      <c r="V181" s="85"/>
      <c r="W181" s="78"/>
      <c r="X181" s="78"/>
      <c r="Y181" s="76"/>
      <c r="Z181" s="76"/>
      <c r="AA181" s="86"/>
    </row>
    <row r="182" spans="2:27" s="64" customFormat="1" ht="15" customHeight="1">
      <c r="B182" s="76" t="s">
        <v>518</v>
      </c>
      <c r="C182" s="77" t="s">
        <v>1570</v>
      </c>
      <c r="D182" s="78" t="s">
        <v>519</v>
      </c>
      <c r="E182" s="79"/>
      <c r="F182" s="80">
        <v>1</v>
      </c>
      <c r="G182" s="80">
        <f t="shared" si="4"/>
        <v>1</v>
      </c>
      <c r="H182" s="81" t="s">
        <v>502</v>
      </c>
      <c r="I182" s="82"/>
      <c r="J182" s="83"/>
      <c r="K182" s="82"/>
      <c r="L182" s="82">
        <v>46203</v>
      </c>
      <c r="M182" s="82"/>
      <c r="S182" s="84"/>
      <c r="T182" s="84"/>
      <c r="U182" s="78"/>
      <c r="V182" s="85"/>
      <c r="W182" s="78"/>
      <c r="X182" s="78"/>
      <c r="Y182" s="76"/>
      <c r="Z182" s="76"/>
      <c r="AA182" s="86"/>
    </row>
    <row r="183" spans="2:27" s="64" customFormat="1" ht="15" customHeight="1">
      <c r="B183" s="76" t="s">
        <v>520</v>
      </c>
      <c r="C183" s="77" t="s">
        <v>1571</v>
      </c>
      <c r="D183" s="78" t="s">
        <v>521</v>
      </c>
      <c r="E183" s="79"/>
      <c r="F183" s="80">
        <v>1</v>
      </c>
      <c r="G183" s="80">
        <f t="shared" si="4"/>
        <v>1</v>
      </c>
      <c r="H183" s="81" t="s">
        <v>373</v>
      </c>
      <c r="I183" s="82"/>
      <c r="J183" s="83"/>
      <c r="K183" s="82"/>
      <c r="L183" s="82">
        <v>46203</v>
      </c>
      <c r="M183" s="82"/>
      <c r="S183" s="84"/>
      <c r="T183" s="84"/>
      <c r="U183" s="78"/>
      <c r="V183" s="85"/>
      <c r="W183" s="78"/>
      <c r="X183" s="78"/>
      <c r="Y183" s="76"/>
      <c r="Z183" s="76"/>
      <c r="AA183" s="86"/>
    </row>
    <row r="184" spans="2:27" s="64" customFormat="1" ht="15" customHeight="1">
      <c r="B184" s="76" t="s">
        <v>522</v>
      </c>
      <c r="C184" s="77" t="s">
        <v>1572</v>
      </c>
      <c r="D184" s="78" t="s">
        <v>523</v>
      </c>
      <c r="E184" s="79"/>
      <c r="F184" s="80">
        <v>2</v>
      </c>
      <c r="G184" s="80">
        <f t="shared" si="4"/>
        <v>2</v>
      </c>
      <c r="H184" s="81" t="s">
        <v>373</v>
      </c>
      <c r="I184" s="82"/>
      <c r="J184" s="83"/>
      <c r="K184" s="82"/>
      <c r="L184" s="82">
        <v>46203</v>
      </c>
      <c r="M184" s="82"/>
      <c r="S184" s="84"/>
      <c r="T184" s="84"/>
      <c r="U184" s="78"/>
      <c r="V184" s="85"/>
      <c r="W184" s="78"/>
      <c r="X184" s="78"/>
      <c r="Y184" s="76"/>
      <c r="Z184" s="76"/>
      <c r="AA184" s="86"/>
    </row>
    <row r="185" spans="2:27" s="64" customFormat="1" ht="15" customHeight="1">
      <c r="B185" s="76" t="s">
        <v>1848</v>
      </c>
      <c r="C185" s="105" t="s">
        <v>1850</v>
      </c>
      <c r="D185" s="78"/>
      <c r="E185" s="79">
        <v>1</v>
      </c>
      <c r="F185" s="80">
        <v>1</v>
      </c>
      <c r="G185" s="80">
        <f t="shared" si="4"/>
        <v>0</v>
      </c>
      <c r="H185" s="81"/>
      <c r="I185" s="125" t="s">
        <v>1849</v>
      </c>
      <c r="J185" s="83">
        <v>1</v>
      </c>
      <c r="K185" s="82" t="s">
        <v>1851</v>
      </c>
      <c r="L185" s="82">
        <v>46203</v>
      </c>
      <c r="M185" s="82"/>
      <c r="S185" s="84"/>
      <c r="T185" s="84"/>
      <c r="U185" s="78"/>
      <c r="V185" s="85"/>
      <c r="W185" s="78"/>
      <c r="X185" s="78"/>
      <c r="Y185" s="76"/>
      <c r="Z185" s="76"/>
      <c r="AA185" s="86"/>
    </row>
    <row r="186" spans="2:27" s="64" customFormat="1" ht="15" customHeight="1">
      <c r="B186" s="76" t="s">
        <v>524</v>
      </c>
      <c r="C186" s="77" t="s">
        <v>1573</v>
      </c>
      <c r="D186" s="78" t="s">
        <v>525</v>
      </c>
      <c r="E186" s="79"/>
      <c r="F186" s="80">
        <v>1</v>
      </c>
      <c r="G186" s="80">
        <f t="shared" si="4"/>
        <v>1</v>
      </c>
      <c r="H186" s="81" t="s">
        <v>364</v>
      </c>
      <c r="I186" s="82"/>
      <c r="J186" s="83"/>
      <c r="K186" s="82"/>
      <c r="L186" s="82">
        <v>46203</v>
      </c>
      <c r="M186" s="82"/>
      <c r="S186" s="84"/>
      <c r="T186" s="84"/>
      <c r="U186" s="78"/>
      <c r="V186" s="85"/>
      <c r="W186" s="78"/>
      <c r="X186" s="78"/>
      <c r="Y186" s="76"/>
      <c r="Z186" s="76"/>
      <c r="AA186" s="86"/>
    </row>
    <row r="187" spans="2:27" s="64" customFormat="1" ht="15" customHeight="1">
      <c r="B187" s="76" t="s">
        <v>526</v>
      </c>
      <c r="C187" s="77" t="s">
        <v>1574</v>
      </c>
      <c r="D187" s="78" t="s">
        <v>1575</v>
      </c>
      <c r="E187" s="79"/>
      <c r="F187" s="80">
        <v>1</v>
      </c>
      <c r="G187" s="80">
        <f t="shared" si="4"/>
        <v>1</v>
      </c>
      <c r="H187" s="81" t="s">
        <v>364</v>
      </c>
      <c r="I187" s="82"/>
      <c r="J187" s="83"/>
      <c r="K187" s="82"/>
      <c r="L187" s="82">
        <v>46203</v>
      </c>
      <c r="M187" s="82"/>
      <c r="S187" s="84"/>
      <c r="T187" s="84"/>
      <c r="U187" s="78"/>
      <c r="V187" s="85"/>
      <c r="W187" s="78"/>
      <c r="X187" s="78"/>
      <c r="Y187" s="76"/>
      <c r="Z187" s="76"/>
      <c r="AA187" s="86"/>
    </row>
    <row r="188" spans="2:27" s="64" customFormat="1" ht="15" customHeight="1">
      <c r="B188" s="76" t="s">
        <v>527</v>
      </c>
      <c r="C188" s="77" t="s">
        <v>1576</v>
      </c>
      <c r="D188" s="78" t="s">
        <v>528</v>
      </c>
      <c r="E188" s="79"/>
      <c r="F188" s="80">
        <v>1</v>
      </c>
      <c r="G188" s="80">
        <f t="shared" si="4"/>
        <v>1</v>
      </c>
      <c r="H188" s="81" t="s">
        <v>364</v>
      </c>
      <c r="I188" s="82"/>
      <c r="J188" s="83"/>
      <c r="K188" s="82"/>
      <c r="L188" s="82">
        <v>46203</v>
      </c>
      <c r="M188" s="82"/>
      <c r="S188" s="84"/>
      <c r="T188" s="84"/>
      <c r="U188" s="78"/>
      <c r="V188" s="85"/>
      <c r="W188" s="78"/>
      <c r="X188" s="78"/>
      <c r="Y188" s="76"/>
      <c r="Z188" s="76"/>
      <c r="AA188" s="86"/>
    </row>
    <row r="189" spans="2:27" s="64" customFormat="1" ht="15" customHeight="1">
      <c r="B189" s="76" t="s">
        <v>529</v>
      </c>
      <c r="C189" s="77" t="s">
        <v>1577</v>
      </c>
      <c r="D189" s="78" t="s">
        <v>528</v>
      </c>
      <c r="E189" s="79"/>
      <c r="F189" s="80">
        <v>0</v>
      </c>
      <c r="G189" s="80">
        <f t="shared" si="4"/>
        <v>0</v>
      </c>
      <c r="H189" s="81"/>
      <c r="I189" s="82"/>
      <c r="J189" s="83"/>
      <c r="K189" s="82"/>
      <c r="L189" s="82">
        <v>46203</v>
      </c>
      <c r="M189" s="82"/>
      <c r="S189" s="84"/>
      <c r="T189" s="84"/>
      <c r="U189" s="78"/>
      <c r="V189" s="85"/>
      <c r="W189" s="78"/>
      <c r="X189" s="78"/>
      <c r="Y189" s="76"/>
      <c r="Z189" s="76"/>
      <c r="AA189" s="86"/>
    </row>
    <row r="190" spans="2:27" s="64" customFormat="1" ht="15" customHeight="1">
      <c r="B190" s="76" t="s">
        <v>530</v>
      </c>
      <c r="C190" s="77" t="s">
        <v>1578</v>
      </c>
      <c r="D190" s="78" t="s">
        <v>528</v>
      </c>
      <c r="E190" s="79"/>
      <c r="F190" s="80">
        <v>1</v>
      </c>
      <c r="G190" s="80">
        <f t="shared" si="4"/>
        <v>1</v>
      </c>
      <c r="H190" s="81" t="s">
        <v>364</v>
      </c>
      <c r="I190" s="82"/>
      <c r="J190" s="83"/>
      <c r="K190" s="82"/>
      <c r="L190" s="82">
        <v>46203</v>
      </c>
      <c r="M190" s="82"/>
      <c r="S190" s="84"/>
      <c r="T190" s="84"/>
      <c r="U190" s="78"/>
      <c r="V190" s="85"/>
      <c r="W190" s="78"/>
      <c r="X190" s="78"/>
      <c r="Y190" s="76"/>
      <c r="Z190" s="76"/>
      <c r="AA190" s="86"/>
    </row>
    <row r="191" spans="2:27" s="64" customFormat="1" ht="15" customHeight="1">
      <c r="B191" s="76" t="s">
        <v>531</v>
      </c>
      <c r="C191" s="77" t="s">
        <v>1579</v>
      </c>
      <c r="D191" s="78" t="s">
        <v>528</v>
      </c>
      <c r="E191" s="79"/>
      <c r="F191" s="80">
        <v>1</v>
      </c>
      <c r="G191" s="80">
        <f t="shared" si="4"/>
        <v>1</v>
      </c>
      <c r="H191" s="81" t="s">
        <v>364</v>
      </c>
      <c r="I191" s="82"/>
      <c r="J191" s="83"/>
      <c r="K191" s="82"/>
      <c r="L191" s="82">
        <v>46203</v>
      </c>
      <c r="M191" s="82"/>
      <c r="S191" s="84"/>
      <c r="T191" s="84"/>
      <c r="U191" s="78"/>
      <c r="V191" s="85"/>
      <c r="W191" s="78"/>
      <c r="X191" s="78"/>
      <c r="Y191" s="76"/>
      <c r="Z191" s="76"/>
      <c r="AA191" s="86"/>
    </row>
    <row r="192" spans="2:27" s="64" customFormat="1" ht="15" customHeight="1">
      <c r="B192" s="76" t="s">
        <v>532</v>
      </c>
      <c r="C192" s="77" t="s">
        <v>1580</v>
      </c>
      <c r="D192" s="78" t="s">
        <v>528</v>
      </c>
      <c r="E192" s="79"/>
      <c r="F192" s="80">
        <v>2</v>
      </c>
      <c r="G192" s="80">
        <f t="shared" si="4"/>
        <v>2</v>
      </c>
      <c r="H192" s="81" t="s">
        <v>364</v>
      </c>
      <c r="I192" s="82"/>
      <c r="J192" s="83"/>
      <c r="K192" s="82"/>
      <c r="L192" s="82">
        <v>46203</v>
      </c>
      <c r="M192" s="82"/>
      <c r="S192" s="84"/>
      <c r="T192" s="84"/>
      <c r="U192" s="78"/>
      <c r="V192" s="85"/>
      <c r="W192" s="78"/>
      <c r="X192" s="78"/>
      <c r="Y192" s="76"/>
      <c r="Z192" s="76"/>
      <c r="AA192" s="86"/>
    </row>
    <row r="193" spans="2:27" s="64" customFormat="1" ht="15" customHeight="1">
      <c r="B193" s="76" t="s">
        <v>533</v>
      </c>
      <c r="C193" s="77" t="s">
        <v>1581</v>
      </c>
      <c r="D193" s="78"/>
      <c r="E193" s="79"/>
      <c r="F193" s="80">
        <v>1</v>
      </c>
      <c r="G193" s="80">
        <f t="shared" si="4"/>
        <v>1</v>
      </c>
      <c r="H193" s="81" t="s">
        <v>364</v>
      </c>
      <c r="I193" s="82"/>
      <c r="J193" s="83"/>
      <c r="K193" s="82"/>
      <c r="L193" s="82">
        <v>46203</v>
      </c>
      <c r="M193" s="82"/>
      <c r="S193" s="84"/>
      <c r="T193" s="84"/>
      <c r="U193" s="78"/>
      <c r="V193" s="85"/>
      <c r="W193" s="78"/>
      <c r="X193" s="78"/>
      <c r="Y193" s="76"/>
      <c r="Z193" s="76"/>
      <c r="AA193" s="86"/>
    </row>
    <row r="194" spans="2:27" s="64" customFormat="1" ht="15" customHeight="1">
      <c r="B194" s="76" t="s">
        <v>534</v>
      </c>
      <c r="C194" s="77" t="s">
        <v>1582</v>
      </c>
      <c r="D194" s="78" t="s">
        <v>310</v>
      </c>
      <c r="E194" s="79"/>
      <c r="F194" s="80">
        <v>2</v>
      </c>
      <c r="G194" s="80">
        <f t="shared" si="4"/>
        <v>2</v>
      </c>
      <c r="H194" s="81" t="s">
        <v>494</v>
      </c>
      <c r="I194" s="82"/>
      <c r="J194" s="83"/>
      <c r="K194" s="82"/>
      <c r="L194" s="82">
        <v>46203</v>
      </c>
      <c r="M194" s="82"/>
      <c r="S194" s="84"/>
      <c r="T194" s="84"/>
      <c r="U194" s="78"/>
      <c r="V194" s="85"/>
      <c r="W194" s="78"/>
      <c r="X194" s="78"/>
      <c r="Y194" s="76"/>
      <c r="Z194" s="76"/>
      <c r="AA194" s="86"/>
    </row>
    <row r="195" spans="2:27" s="64" customFormat="1" ht="15" customHeight="1">
      <c r="B195" s="76" t="s">
        <v>535</v>
      </c>
      <c r="C195" s="77" t="s">
        <v>1583</v>
      </c>
      <c r="D195" s="78" t="s">
        <v>310</v>
      </c>
      <c r="E195" s="79"/>
      <c r="F195" s="80">
        <v>2</v>
      </c>
      <c r="G195" s="80">
        <f t="shared" si="4"/>
        <v>2</v>
      </c>
      <c r="H195" s="81" t="s">
        <v>273</v>
      </c>
      <c r="I195" s="82"/>
      <c r="J195" s="83"/>
      <c r="K195" s="82"/>
      <c r="L195" s="82">
        <v>46203</v>
      </c>
      <c r="M195" s="82"/>
      <c r="S195" s="84"/>
      <c r="T195" s="84"/>
      <c r="U195" s="78"/>
      <c r="V195" s="85"/>
      <c r="W195" s="78"/>
      <c r="X195" s="78"/>
      <c r="Y195" s="76"/>
      <c r="Z195" s="76"/>
      <c r="AA195" s="86"/>
    </row>
    <row r="196" spans="2:27" s="64" customFormat="1" ht="15" customHeight="1">
      <c r="B196" s="76" t="s">
        <v>536</v>
      </c>
      <c r="C196" s="77" t="s">
        <v>1584</v>
      </c>
      <c r="D196" s="78" t="s">
        <v>537</v>
      </c>
      <c r="E196" s="79"/>
      <c r="F196" s="80">
        <v>2</v>
      </c>
      <c r="G196" s="80">
        <f t="shared" si="4"/>
        <v>2</v>
      </c>
      <c r="H196" s="81" t="s">
        <v>486</v>
      </c>
      <c r="I196" s="82"/>
      <c r="J196" s="83"/>
      <c r="K196" s="82"/>
      <c r="L196" s="82">
        <v>46203</v>
      </c>
      <c r="M196" s="82"/>
      <c r="S196" s="84"/>
      <c r="T196" s="84"/>
      <c r="U196" s="78"/>
      <c r="V196" s="85"/>
      <c r="W196" s="78"/>
      <c r="X196" s="78"/>
      <c r="Y196" s="76"/>
      <c r="Z196" s="76"/>
      <c r="AA196" s="86"/>
    </row>
    <row r="197" spans="2:27" s="64" customFormat="1" ht="15" customHeight="1">
      <c r="B197" s="76" t="s">
        <v>538</v>
      </c>
      <c r="C197" s="77" t="s">
        <v>1585</v>
      </c>
      <c r="D197" s="78" t="s">
        <v>539</v>
      </c>
      <c r="E197" s="79"/>
      <c r="F197" s="80">
        <v>2</v>
      </c>
      <c r="G197" s="80">
        <f t="shared" si="4"/>
        <v>2</v>
      </c>
      <c r="H197" s="81" t="s">
        <v>486</v>
      </c>
      <c r="I197" s="82"/>
      <c r="J197" s="83"/>
      <c r="K197" s="82"/>
      <c r="L197" s="82">
        <v>46203</v>
      </c>
      <c r="M197" s="82"/>
      <c r="S197" s="84"/>
      <c r="T197" s="84"/>
      <c r="U197" s="78"/>
      <c r="V197" s="85"/>
      <c r="W197" s="78"/>
      <c r="X197" s="78"/>
      <c r="Y197" s="76"/>
      <c r="Z197" s="76"/>
      <c r="AA197" s="86"/>
    </row>
    <row r="198" spans="2:27" s="64" customFormat="1" ht="15" customHeight="1">
      <c r="B198" s="76" t="s">
        <v>540</v>
      </c>
      <c r="C198" s="77" t="s">
        <v>1586</v>
      </c>
      <c r="D198" s="78" t="s">
        <v>282</v>
      </c>
      <c r="E198" s="79"/>
      <c r="F198" s="80">
        <v>1</v>
      </c>
      <c r="G198" s="80">
        <f t="shared" si="4"/>
        <v>1</v>
      </c>
      <c r="H198" s="81" t="s">
        <v>502</v>
      </c>
      <c r="I198" s="82"/>
      <c r="J198" s="83"/>
      <c r="K198" s="82"/>
      <c r="L198" s="82">
        <v>46203</v>
      </c>
      <c r="M198" s="82"/>
      <c r="S198" s="84"/>
      <c r="T198" s="84"/>
      <c r="U198" s="78"/>
      <c r="V198" s="85"/>
      <c r="W198" s="78"/>
      <c r="X198" s="78"/>
      <c r="Y198" s="76"/>
      <c r="Z198" s="76"/>
      <c r="AA198" s="86"/>
    </row>
    <row r="199" spans="2:27" s="64" customFormat="1" ht="15" customHeight="1">
      <c r="B199" s="76" t="s">
        <v>1965</v>
      </c>
      <c r="C199" s="133" t="s">
        <v>1968</v>
      </c>
      <c r="D199" s="78" t="s">
        <v>541</v>
      </c>
      <c r="E199" s="79"/>
      <c r="F199" s="80">
        <v>8</v>
      </c>
      <c r="G199" s="80">
        <f t="shared" si="4"/>
        <v>8</v>
      </c>
      <c r="H199" s="81" t="s">
        <v>542</v>
      </c>
      <c r="I199" s="82"/>
      <c r="J199" s="83"/>
      <c r="K199" s="82"/>
      <c r="L199" s="82">
        <v>46203</v>
      </c>
      <c r="M199" s="82"/>
      <c r="S199" s="84"/>
      <c r="T199" s="84"/>
      <c r="U199" s="78"/>
      <c r="V199" s="85"/>
      <c r="W199" s="78"/>
      <c r="X199" s="78"/>
      <c r="Y199" s="76"/>
      <c r="Z199" s="76"/>
      <c r="AA199" s="86"/>
    </row>
    <row r="200" spans="2:27" s="64" customFormat="1" ht="15" customHeight="1">
      <c r="B200" s="76" t="s">
        <v>543</v>
      </c>
      <c r="C200" s="77" t="s">
        <v>1587</v>
      </c>
      <c r="D200" s="78"/>
      <c r="E200" s="79"/>
      <c r="F200" s="80">
        <v>1</v>
      </c>
      <c r="G200" s="80">
        <f t="shared" si="4"/>
        <v>1</v>
      </c>
      <c r="H200" s="81" t="s">
        <v>544</v>
      </c>
      <c r="I200" s="82"/>
      <c r="J200" s="83"/>
      <c r="K200" s="82"/>
      <c r="L200" s="82">
        <v>46203</v>
      </c>
      <c r="M200" s="82"/>
      <c r="S200" s="84"/>
      <c r="T200" s="84"/>
      <c r="U200" s="78"/>
      <c r="V200" s="85"/>
      <c r="W200" s="78"/>
      <c r="X200" s="78"/>
      <c r="Y200" s="76"/>
      <c r="Z200" s="76"/>
      <c r="AA200" s="86"/>
    </row>
    <row r="201" spans="2:27" s="64" customFormat="1" ht="15" customHeight="1">
      <c r="B201" s="76" t="s">
        <v>545</v>
      </c>
      <c r="C201" s="77" t="s">
        <v>1588</v>
      </c>
      <c r="D201" s="78"/>
      <c r="E201" s="79"/>
      <c r="F201" s="80">
        <v>1</v>
      </c>
      <c r="G201" s="80">
        <f t="shared" si="4"/>
        <v>1</v>
      </c>
      <c r="H201" s="81" t="s">
        <v>38</v>
      </c>
      <c r="I201" s="82"/>
      <c r="J201" s="83"/>
      <c r="K201" s="82"/>
      <c r="L201" s="82">
        <v>46203</v>
      </c>
      <c r="M201" s="82"/>
      <c r="S201" s="84"/>
      <c r="T201" s="84"/>
      <c r="U201" s="78"/>
      <c r="V201" s="85"/>
      <c r="W201" s="78"/>
      <c r="X201" s="78"/>
      <c r="Y201" s="76"/>
      <c r="Z201" s="76"/>
      <c r="AA201" s="86"/>
    </row>
    <row r="202" spans="2:27" s="64" customFormat="1" ht="15" customHeight="1">
      <c r="B202" s="76" t="s">
        <v>1860</v>
      </c>
      <c r="C202" s="77" t="s">
        <v>1589</v>
      </c>
      <c r="D202" s="78" t="s">
        <v>546</v>
      </c>
      <c r="E202" s="79"/>
      <c r="F202" s="80">
        <v>2</v>
      </c>
      <c r="G202" s="80">
        <f t="shared" si="4"/>
        <v>2</v>
      </c>
      <c r="H202" s="81" t="s">
        <v>38</v>
      </c>
      <c r="I202" s="82"/>
      <c r="J202" s="83"/>
      <c r="K202" s="82"/>
      <c r="L202" s="82">
        <v>46203</v>
      </c>
      <c r="M202" s="82"/>
      <c r="S202" s="84"/>
      <c r="T202" s="84"/>
      <c r="U202" s="78"/>
      <c r="V202" s="85"/>
      <c r="W202" s="78"/>
      <c r="X202" s="78"/>
      <c r="Y202" s="76"/>
      <c r="Z202" s="76"/>
      <c r="AA202" s="86"/>
    </row>
    <row r="203" spans="2:27" s="64" customFormat="1" ht="15" customHeight="1">
      <c r="B203" s="76" t="s">
        <v>547</v>
      </c>
      <c r="C203" s="77" t="s">
        <v>1590</v>
      </c>
      <c r="D203" s="78" t="s">
        <v>548</v>
      </c>
      <c r="E203" s="79"/>
      <c r="F203" s="80">
        <v>1</v>
      </c>
      <c r="G203" s="80">
        <f t="shared" si="4"/>
        <v>1</v>
      </c>
      <c r="H203" s="81" t="s">
        <v>38</v>
      </c>
      <c r="I203" s="82"/>
      <c r="J203" s="83"/>
      <c r="K203" s="82"/>
      <c r="L203" s="82">
        <v>46203</v>
      </c>
      <c r="M203" s="82"/>
      <c r="S203" s="84"/>
      <c r="T203" s="84"/>
      <c r="U203" s="78"/>
      <c r="V203" s="85"/>
      <c r="W203" s="78"/>
      <c r="X203" s="78"/>
      <c r="Y203" s="76"/>
      <c r="Z203" s="76"/>
      <c r="AA203" s="86"/>
    </row>
    <row r="204" spans="2:27" s="64" customFormat="1" ht="15" customHeight="1">
      <c r="B204" s="76" t="s">
        <v>549</v>
      </c>
      <c r="C204" s="77" t="s">
        <v>1591</v>
      </c>
      <c r="D204" s="78" t="s">
        <v>282</v>
      </c>
      <c r="E204" s="79"/>
      <c r="F204" s="80">
        <v>1</v>
      </c>
      <c r="G204" s="80">
        <f t="shared" si="4"/>
        <v>1</v>
      </c>
      <c r="H204" s="81" t="s">
        <v>38</v>
      </c>
      <c r="I204" s="82"/>
      <c r="J204" s="83"/>
      <c r="K204" s="82"/>
      <c r="L204" s="82">
        <v>46203</v>
      </c>
      <c r="M204" s="82"/>
      <c r="S204" s="84"/>
      <c r="T204" s="84"/>
      <c r="U204" s="78"/>
      <c r="V204" s="85"/>
      <c r="W204" s="78"/>
      <c r="X204" s="78"/>
      <c r="Y204" s="76"/>
      <c r="Z204" s="76"/>
      <c r="AA204" s="86"/>
    </row>
    <row r="205" spans="2:27" s="64" customFormat="1" ht="15" customHeight="1">
      <c r="B205" s="76" t="s">
        <v>550</v>
      </c>
      <c r="C205" s="77" t="s">
        <v>1591</v>
      </c>
      <c r="D205" s="78" t="s">
        <v>282</v>
      </c>
      <c r="E205" s="79"/>
      <c r="F205" s="80">
        <v>1</v>
      </c>
      <c r="G205" s="80">
        <f t="shared" si="4"/>
        <v>1</v>
      </c>
      <c r="H205" s="81" t="s">
        <v>38</v>
      </c>
      <c r="I205" s="82"/>
      <c r="J205" s="83"/>
      <c r="K205" s="82"/>
      <c r="L205" s="82">
        <v>46203</v>
      </c>
      <c r="M205" s="82"/>
      <c r="S205" s="84"/>
      <c r="T205" s="84"/>
      <c r="U205" s="78"/>
      <c r="V205" s="85"/>
      <c r="W205" s="78"/>
      <c r="X205" s="78"/>
      <c r="Y205" s="76"/>
      <c r="Z205" s="76"/>
      <c r="AA205" s="86"/>
    </row>
    <row r="206" spans="2:27" s="64" customFormat="1" ht="15" customHeight="1">
      <c r="B206" s="76" t="s">
        <v>1766</v>
      </c>
      <c r="C206" s="77" t="s">
        <v>1852</v>
      </c>
      <c r="D206" s="78" t="s">
        <v>1853</v>
      </c>
      <c r="E206" s="79"/>
      <c r="F206" s="80">
        <v>4</v>
      </c>
      <c r="G206" s="80">
        <f t="shared" si="4"/>
        <v>4</v>
      </c>
      <c r="H206" s="81" t="s">
        <v>1767</v>
      </c>
      <c r="I206" s="82"/>
      <c r="J206" s="83"/>
      <c r="K206" s="82"/>
      <c r="L206" s="82">
        <v>46295</v>
      </c>
      <c r="M206" s="82"/>
      <c r="S206" s="84"/>
      <c r="T206" s="84"/>
      <c r="U206" s="78"/>
      <c r="V206" s="85"/>
      <c r="W206" s="78"/>
      <c r="X206" s="78"/>
      <c r="Y206" s="76"/>
      <c r="Z206" s="76"/>
      <c r="AA206" s="86"/>
    </row>
    <row r="207" spans="2:27" s="64" customFormat="1" ht="15" customHeight="1">
      <c r="B207" s="76" t="s">
        <v>551</v>
      </c>
      <c r="C207" s="77" t="s">
        <v>1592</v>
      </c>
      <c r="D207" s="78" t="s">
        <v>552</v>
      </c>
      <c r="E207" s="79"/>
      <c r="F207" s="80">
        <v>6</v>
      </c>
      <c r="G207" s="80">
        <f t="shared" si="4"/>
        <v>6</v>
      </c>
      <c r="H207" s="81" t="s">
        <v>502</v>
      </c>
      <c r="I207" s="82"/>
      <c r="J207" s="83"/>
      <c r="K207" s="82"/>
      <c r="L207" s="82">
        <v>46203</v>
      </c>
      <c r="M207" s="82"/>
      <c r="S207" s="84"/>
      <c r="T207" s="84"/>
      <c r="U207" s="78"/>
      <c r="V207" s="85"/>
      <c r="W207" s="78"/>
      <c r="X207" s="78"/>
      <c r="Y207" s="76"/>
      <c r="Z207" s="76"/>
      <c r="AA207" s="86"/>
    </row>
    <row r="208" spans="2:27" s="64" customFormat="1" ht="15" customHeight="1">
      <c r="B208" s="76" t="s">
        <v>553</v>
      </c>
      <c r="C208" s="77" t="s">
        <v>1593</v>
      </c>
      <c r="D208" s="78"/>
      <c r="E208" s="79"/>
      <c r="F208" s="80">
        <v>1</v>
      </c>
      <c r="G208" s="80">
        <f t="shared" si="4"/>
        <v>1</v>
      </c>
      <c r="H208" s="81" t="s">
        <v>502</v>
      </c>
      <c r="I208" s="82"/>
      <c r="J208" s="83"/>
      <c r="K208" s="82"/>
      <c r="L208" s="82">
        <v>46203</v>
      </c>
      <c r="M208" s="82"/>
      <c r="S208" s="84"/>
      <c r="T208" s="84"/>
      <c r="U208" s="78"/>
      <c r="V208" s="85"/>
      <c r="W208" s="78"/>
      <c r="X208" s="78"/>
      <c r="Y208" s="76"/>
      <c r="Z208" s="76"/>
      <c r="AA208" s="86"/>
    </row>
    <row r="209" spans="2:27" s="64" customFormat="1" ht="15" customHeight="1">
      <c r="B209" s="76" t="s">
        <v>554</v>
      </c>
      <c r="C209" s="77" t="s">
        <v>1594</v>
      </c>
      <c r="D209" s="78" t="s">
        <v>555</v>
      </c>
      <c r="E209" s="79"/>
      <c r="F209" s="80">
        <v>1</v>
      </c>
      <c r="G209" s="80">
        <f t="shared" si="4"/>
        <v>1</v>
      </c>
      <c r="H209" s="81" t="s">
        <v>502</v>
      </c>
      <c r="I209" s="82"/>
      <c r="J209" s="83"/>
      <c r="K209" s="82"/>
      <c r="L209" s="82">
        <v>46203</v>
      </c>
      <c r="M209" s="82"/>
      <c r="S209" s="84"/>
      <c r="T209" s="84"/>
      <c r="U209" s="78"/>
      <c r="V209" s="85"/>
      <c r="W209" s="78"/>
      <c r="X209" s="78"/>
      <c r="Y209" s="76"/>
      <c r="Z209" s="76"/>
      <c r="AA209" s="86"/>
    </row>
    <row r="210" spans="2:27" s="64" customFormat="1" ht="15" customHeight="1">
      <c r="B210" s="76" t="s">
        <v>556</v>
      </c>
      <c r="C210" s="77" t="s">
        <v>1595</v>
      </c>
      <c r="D210" s="78" t="s">
        <v>555</v>
      </c>
      <c r="E210" s="79"/>
      <c r="F210" s="80">
        <v>1</v>
      </c>
      <c r="G210" s="80">
        <f t="shared" si="4"/>
        <v>1</v>
      </c>
      <c r="H210" s="81" t="s">
        <v>502</v>
      </c>
      <c r="I210" s="82"/>
      <c r="J210" s="83"/>
      <c r="K210" s="82"/>
      <c r="L210" s="82">
        <v>46203</v>
      </c>
      <c r="M210" s="82"/>
      <c r="S210" s="84"/>
      <c r="T210" s="84"/>
      <c r="U210" s="78"/>
      <c r="V210" s="85"/>
      <c r="W210" s="78"/>
      <c r="X210" s="78"/>
      <c r="Y210" s="76"/>
      <c r="Z210" s="76"/>
      <c r="AA210" s="86"/>
    </row>
    <row r="211" spans="2:27" s="64" customFormat="1" ht="15" customHeight="1">
      <c r="B211" s="76" t="s">
        <v>557</v>
      </c>
      <c r="C211" s="77" t="s">
        <v>1596</v>
      </c>
      <c r="D211" s="78" t="s">
        <v>555</v>
      </c>
      <c r="E211" s="79"/>
      <c r="F211" s="80">
        <v>1</v>
      </c>
      <c r="G211" s="80">
        <f t="shared" si="4"/>
        <v>1</v>
      </c>
      <c r="H211" s="81" t="s">
        <v>502</v>
      </c>
      <c r="I211" s="82"/>
      <c r="J211" s="83"/>
      <c r="K211" s="82"/>
      <c r="L211" s="82">
        <v>46203</v>
      </c>
      <c r="M211" s="82"/>
      <c r="S211" s="84"/>
      <c r="T211" s="84"/>
      <c r="U211" s="78"/>
      <c r="V211" s="85"/>
      <c r="W211" s="78"/>
      <c r="X211" s="78"/>
      <c r="Y211" s="76"/>
      <c r="Z211" s="76"/>
      <c r="AA211" s="86"/>
    </row>
    <row r="212" spans="2:27" s="64" customFormat="1" ht="15" customHeight="1">
      <c r="B212" s="76" t="s">
        <v>558</v>
      </c>
      <c r="C212" s="77" t="s">
        <v>1597</v>
      </c>
      <c r="D212" s="78" t="s">
        <v>1598</v>
      </c>
      <c r="E212" s="79"/>
      <c r="F212" s="80">
        <v>2</v>
      </c>
      <c r="G212" s="80">
        <f t="shared" ref="G212:G276" si="5">F212-E212</f>
        <v>2</v>
      </c>
      <c r="H212" s="81" t="s">
        <v>502</v>
      </c>
      <c r="I212" s="82"/>
      <c r="J212" s="83"/>
      <c r="K212" s="82"/>
      <c r="L212" s="82">
        <v>46203</v>
      </c>
      <c r="M212" s="82"/>
      <c r="S212" s="84"/>
      <c r="T212" s="84"/>
      <c r="U212" s="78"/>
      <c r="V212" s="85"/>
      <c r="W212" s="78"/>
      <c r="X212" s="78"/>
      <c r="Y212" s="76"/>
      <c r="Z212" s="76"/>
      <c r="AA212" s="86"/>
    </row>
    <row r="213" spans="2:27" s="64" customFormat="1" ht="15" customHeight="1">
      <c r="B213" s="76" t="s">
        <v>559</v>
      </c>
      <c r="C213" s="77" t="s">
        <v>1599</v>
      </c>
      <c r="D213" s="78" t="s">
        <v>560</v>
      </c>
      <c r="E213" s="79"/>
      <c r="F213" s="80">
        <v>3</v>
      </c>
      <c r="G213" s="80">
        <f t="shared" si="5"/>
        <v>3</v>
      </c>
      <c r="H213" s="81" t="s">
        <v>505</v>
      </c>
      <c r="I213" s="82"/>
      <c r="J213" s="83"/>
      <c r="K213" s="82"/>
      <c r="L213" s="82">
        <v>46203</v>
      </c>
      <c r="M213" s="82"/>
      <c r="S213" s="84"/>
      <c r="T213" s="84"/>
      <c r="U213" s="78"/>
      <c r="V213" s="85"/>
      <c r="W213" s="78"/>
      <c r="X213" s="78"/>
      <c r="Y213" s="76"/>
      <c r="Z213" s="76"/>
      <c r="AA213" s="86"/>
    </row>
    <row r="214" spans="2:27" s="64" customFormat="1" ht="15" customHeight="1">
      <c r="B214" s="76" t="s">
        <v>561</v>
      </c>
      <c r="C214" s="77" t="s">
        <v>1600</v>
      </c>
      <c r="D214" s="78" t="s">
        <v>562</v>
      </c>
      <c r="E214" s="79"/>
      <c r="F214" s="80">
        <v>1</v>
      </c>
      <c r="G214" s="80">
        <f t="shared" si="5"/>
        <v>1</v>
      </c>
      <c r="H214" s="81" t="s">
        <v>345</v>
      </c>
      <c r="I214" s="82"/>
      <c r="J214" s="83"/>
      <c r="K214" s="82"/>
      <c r="L214" s="82">
        <v>46203</v>
      </c>
      <c r="M214" s="82"/>
      <c r="S214" s="84"/>
      <c r="T214" s="84"/>
      <c r="U214" s="78"/>
      <c r="V214" s="85"/>
      <c r="W214" s="78"/>
      <c r="X214" s="78"/>
      <c r="Y214" s="76"/>
      <c r="Z214" s="76"/>
      <c r="AA214" s="86"/>
    </row>
    <row r="215" spans="2:27" s="64" customFormat="1" ht="15" customHeight="1">
      <c r="B215" s="76" t="s">
        <v>563</v>
      </c>
      <c r="C215" s="77" t="s">
        <v>1601</v>
      </c>
      <c r="D215" s="78" t="s">
        <v>562</v>
      </c>
      <c r="E215" s="79"/>
      <c r="F215" s="80">
        <v>1</v>
      </c>
      <c r="G215" s="80">
        <f t="shared" si="5"/>
        <v>1</v>
      </c>
      <c r="H215" s="81" t="s">
        <v>345</v>
      </c>
      <c r="I215" s="82"/>
      <c r="J215" s="83"/>
      <c r="K215" s="82"/>
      <c r="L215" s="82">
        <v>46203</v>
      </c>
      <c r="M215" s="82"/>
      <c r="S215" s="84"/>
      <c r="T215" s="84"/>
      <c r="U215" s="78"/>
      <c r="V215" s="85"/>
      <c r="W215" s="78"/>
      <c r="X215" s="78"/>
      <c r="Y215" s="76"/>
      <c r="Z215" s="76"/>
      <c r="AA215" s="86"/>
    </row>
    <row r="216" spans="2:27" s="64" customFormat="1" ht="15" customHeight="1">
      <c r="B216" s="76" t="s">
        <v>564</v>
      </c>
      <c r="C216" s="77" t="s">
        <v>1602</v>
      </c>
      <c r="D216" s="78" t="s">
        <v>562</v>
      </c>
      <c r="E216" s="79"/>
      <c r="F216" s="80">
        <v>1</v>
      </c>
      <c r="G216" s="80">
        <f t="shared" si="5"/>
        <v>1</v>
      </c>
      <c r="H216" s="81" t="s">
        <v>345</v>
      </c>
      <c r="I216" s="82"/>
      <c r="J216" s="83"/>
      <c r="K216" s="82"/>
      <c r="L216" s="82">
        <v>46203</v>
      </c>
      <c r="M216" s="82"/>
      <c r="S216" s="84"/>
      <c r="T216" s="84"/>
      <c r="U216" s="78"/>
      <c r="V216" s="85"/>
      <c r="W216" s="78"/>
      <c r="X216" s="78"/>
      <c r="Y216" s="76"/>
      <c r="Z216" s="76"/>
      <c r="AA216" s="86"/>
    </row>
    <row r="217" spans="2:27" s="64" customFormat="1" ht="15" customHeight="1">
      <c r="B217" s="76" t="s">
        <v>565</v>
      </c>
      <c r="C217" s="77" t="s">
        <v>1603</v>
      </c>
      <c r="D217" s="78" t="s">
        <v>282</v>
      </c>
      <c r="E217" s="79"/>
      <c r="F217" s="80">
        <v>1</v>
      </c>
      <c r="G217" s="80">
        <f t="shared" si="5"/>
        <v>1</v>
      </c>
      <c r="H217" s="81" t="s">
        <v>345</v>
      </c>
      <c r="I217" s="82"/>
      <c r="J217" s="83"/>
      <c r="K217" s="82"/>
      <c r="L217" s="82">
        <v>46203</v>
      </c>
      <c r="M217" s="82"/>
      <c r="S217" s="84"/>
      <c r="T217" s="84"/>
      <c r="U217" s="78"/>
      <c r="V217" s="85"/>
      <c r="W217" s="78"/>
      <c r="X217" s="78"/>
      <c r="Y217" s="76"/>
      <c r="Z217" s="76"/>
      <c r="AA217" s="86"/>
    </row>
    <row r="218" spans="2:27" s="64" customFormat="1" ht="15" customHeight="1">
      <c r="B218" s="76" t="s">
        <v>566</v>
      </c>
      <c r="C218" s="77" t="s">
        <v>1604</v>
      </c>
      <c r="D218" s="78" t="s">
        <v>282</v>
      </c>
      <c r="E218" s="79"/>
      <c r="F218" s="80">
        <v>1</v>
      </c>
      <c r="G218" s="80">
        <f t="shared" si="5"/>
        <v>1</v>
      </c>
      <c r="H218" s="81" t="s">
        <v>542</v>
      </c>
      <c r="I218" s="82"/>
      <c r="J218" s="83"/>
      <c r="K218" s="82"/>
      <c r="L218" s="82">
        <v>46203</v>
      </c>
      <c r="M218" s="82"/>
      <c r="S218" s="84"/>
      <c r="T218" s="84"/>
      <c r="U218" s="78"/>
      <c r="V218" s="85"/>
      <c r="W218" s="78"/>
      <c r="X218" s="78"/>
      <c r="Y218" s="76"/>
      <c r="Z218" s="76"/>
      <c r="AA218" s="86"/>
    </row>
    <row r="219" spans="2:27" s="64" customFormat="1" ht="15" customHeight="1">
      <c r="B219" s="76" t="s">
        <v>567</v>
      </c>
      <c r="C219" s="77" t="s">
        <v>1605</v>
      </c>
      <c r="D219" s="78" t="s">
        <v>427</v>
      </c>
      <c r="E219" s="79"/>
      <c r="F219" s="80">
        <v>2</v>
      </c>
      <c r="G219" s="80">
        <f t="shared" si="5"/>
        <v>2</v>
      </c>
      <c r="H219" s="81" t="s">
        <v>345</v>
      </c>
      <c r="I219" s="82"/>
      <c r="J219" s="83"/>
      <c r="K219" s="82"/>
      <c r="L219" s="82">
        <v>46203</v>
      </c>
      <c r="M219" s="82"/>
      <c r="S219" s="84"/>
      <c r="T219" s="84"/>
      <c r="U219" s="78"/>
      <c r="V219" s="85"/>
      <c r="W219" s="78"/>
      <c r="X219" s="78"/>
      <c r="Y219" s="76"/>
      <c r="Z219" s="76"/>
      <c r="AA219" s="86"/>
    </row>
    <row r="220" spans="2:27" s="64" customFormat="1" ht="15" customHeight="1">
      <c r="B220" s="76" t="s">
        <v>274</v>
      </c>
      <c r="C220" s="77" t="s">
        <v>1606</v>
      </c>
      <c r="D220" s="78" t="s">
        <v>1607</v>
      </c>
      <c r="E220" s="79"/>
      <c r="F220" s="80">
        <v>1</v>
      </c>
      <c r="G220" s="80">
        <f t="shared" si="5"/>
        <v>1</v>
      </c>
      <c r="H220" s="182" t="s">
        <v>2250</v>
      </c>
      <c r="I220" s="82"/>
      <c r="J220" s="83"/>
      <c r="K220" s="82"/>
      <c r="L220" s="82">
        <v>46203</v>
      </c>
      <c r="M220" s="82"/>
      <c r="S220" s="84"/>
      <c r="T220" s="84"/>
      <c r="U220" s="78"/>
      <c r="V220" s="85"/>
      <c r="W220" s="78"/>
      <c r="X220" s="78"/>
      <c r="Y220" s="76"/>
      <c r="Z220" s="76"/>
      <c r="AA220" s="86"/>
    </row>
    <row r="221" spans="2:27" s="64" customFormat="1" ht="15" customHeight="1">
      <c r="B221" s="76" t="s">
        <v>568</v>
      </c>
      <c r="C221" s="77" t="s">
        <v>1609</v>
      </c>
      <c r="D221" s="78" t="s">
        <v>427</v>
      </c>
      <c r="E221" s="79"/>
      <c r="F221" s="80">
        <v>1</v>
      </c>
      <c r="G221" s="80">
        <f t="shared" si="5"/>
        <v>1</v>
      </c>
      <c r="H221" s="81" t="s">
        <v>273</v>
      </c>
      <c r="I221" s="82"/>
      <c r="J221" s="83"/>
      <c r="K221" s="82"/>
      <c r="L221" s="82">
        <v>46203</v>
      </c>
      <c r="M221" s="82"/>
      <c r="S221" s="84"/>
      <c r="T221" s="84"/>
      <c r="U221" s="78"/>
      <c r="V221" s="85"/>
      <c r="W221" s="78"/>
      <c r="X221" s="78"/>
      <c r="Y221" s="76"/>
      <c r="Z221" s="76"/>
      <c r="AA221" s="86"/>
    </row>
    <row r="222" spans="2:27" s="64" customFormat="1">
      <c r="B222" s="76" t="s">
        <v>569</v>
      </c>
      <c r="C222" s="77" t="s">
        <v>1610</v>
      </c>
      <c r="D222" s="78" t="s">
        <v>570</v>
      </c>
      <c r="E222" s="79"/>
      <c r="F222" s="80">
        <v>1</v>
      </c>
      <c r="G222" s="80">
        <f t="shared" si="5"/>
        <v>1</v>
      </c>
      <c r="H222" s="81" t="s">
        <v>345</v>
      </c>
      <c r="I222" s="82"/>
      <c r="J222" s="83"/>
      <c r="K222" s="82"/>
      <c r="L222" s="82">
        <v>46203</v>
      </c>
      <c r="M222" s="82"/>
      <c r="S222" s="84"/>
      <c r="T222" s="84"/>
      <c r="U222" s="78"/>
      <c r="V222" s="85"/>
      <c r="W222" s="78"/>
      <c r="X222" s="78"/>
      <c r="Y222" s="76"/>
      <c r="Z222" s="76"/>
      <c r="AA222" s="86"/>
    </row>
    <row r="223" spans="2:27" s="64" customFormat="1" ht="15" customHeight="1">
      <c r="B223" s="76" t="s">
        <v>571</v>
      </c>
      <c r="C223" s="77" t="s">
        <v>1611</v>
      </c>
      <c r="D223" s="78" t="s">
        <v>572</v>
      </c>
      <c r="E223" s="79"/>
      <c r="F223" s="80">
        <v>1</v>
      </c>
      <c r="G223" s="80">
        <f t="shared" si="5"/>
        <v>1</v>
      </c>
      <c r="H223" s="81" t="s">
        <v>345</v>
      </c>
      <c r="I223" s="82"/>
      <c r="J223" s="83"/>
      <c r="K223" s="82"/>
      <c r="L223" s="82">
        <v>46203</v>
      </c>
      <c r="M223" s="82"/>
      <c r="S223" s="84"/>
      <c r="T223" s="84"/>
      <c r="U223" s="78"/>
      <c r="V223" s="85"/>
      <c r="W223" s="78"/>
      <c r="X223" s="78"/>
      <c r="Y223" s="76"/>
      <c r="Z223" s="76"/>
      <c r="AA223" s="86"/>
    </row>
    <row r="224" spans="2:27" s="64" customFormat="1" ht="15" customHeight="1">
      <c r="B224" s="76" t="s">
        <v>573</v>
      </c>
      <c r="C224" s="77" t="s">
        <v>1612</v>
      </c>
      <c r="D224" s="78" t="s">
        <v>572</v>
      </c>
      <c r="E224" s="79"/>
      <c r="F224" s="80">
        <v>1</v>
      </c>
      <c r="G224" s="80">
        <f t="shared" si="5"/>
        <v>1</v>
      </c>
      <c r="H224" s="81" t="s">
        <v>345</v>
      </c>
      <c r="I224" s="82"/>
      <c r="J224" s="83"/>
      <c r="K224" s="82"/>
      <c r="L224" s="82">
        <v>46203</v>
      </c>
      <c r="M224" s="82"/>
      <c r="S224" s="84"/>
      <c r="T224" s="84"/>
      <c r="U224" s="78"/>
      <c r="V224" s="85"/>
      <c r="W224" s="78"/>
      <c r="X224" s="78"/>
      <c r="Y224" s="76"/>
      <c r="Z224" s="76"/>
      <c r="AA224" s="86"/>
    </row>
    <row r="225" spans="2:27" s="64" customFormat="1" ht="15" customHeight="1">
      <c r="B225" s="76" t="s">
        <v>574</v>
      </c>
      <c r="C225" s="77" t="s">
        <v>1613</v>
      </c>
      <c r="D225" s="78" t="s">
        <v>575</v>
      </c>
      <c r="E225" s="79"/>
      <c r="F225" s="80">
        <v>1</v>
      </c>
      <c r="G225" s="80">
        <f t="shared" si="5"/>
        <v>1</v>
      </c>
      <c r="H225" s="81" t="s">
        <v>345</v>
      </c>
      <c r="I225" s="82"/>
      <c r="J225" s="83"/>
      <c r="K225" s="82"/>
      <c r="L225" s="82">
        <v>46203</v>
      </c>
      <c r="M225" s="82"/>
      <c r="S225" s="84"/>
      <c r="T225" s="84"/>
      <c r="U225" s="78"/>
      <c r="V225" s="85"/>
      <c r="W225" s="78"/>
      <c r="X225" s="78"/>
      <c r="Y225" s="76"/>
      <c r="Z225" s="76"/>
      <c r="AA225" s="86"/>
    </row>
    <row r="226" spans="2:27" s="64" customFormat="1" ht="15" customHeight="1">
      <c r="B226" s="76" t="s">
        <v>576</v>
      </c>
      <c r="C226" s="77" t="s">
        <v>1614</v>
      </c>
      <c r="D226" s="78" t="s">
        <v>419</v>
      </c>
      <c r="E226" s="79"/>
      <c r="F226" s="80">
        <v>1</v>
      </c>
      <c r="G226" s="80">
        <f t="shared" si="5"/>
        <v>1</v>
      </c>
      <c r="H226" s="81" t="s">
        <v>494</v>
      </c>
      <c r="I226" s="82"/>
      <c r="J226" s="83"/>
      <c r="K226" s="82"/>
      <c r="L226" s="82">
        <v>46203</v>
      </c>
      <c r="M226" s="82"/>
      <c r="S226" s="84"/>
      <c r="T226" s="84"/>
      <c r="U226" s="78"/>
      <c r="V226" s="85"/>
      <c r="W226" s="78"/>
      <c r="X226" s="78"/>
      <c r="Y226" s="76"/>
      <c r="Z226" s="76"/>
      <c r="AA226" s="86"/>
    </row>
    <row r="227" spans="2:27" s="64" customFormat="1" ht="15" customHeight="1">
      <c r="B227" s="76" t="s">
        <v>577</v>
      </c>
      <c r="C227" s="77" t="s">
        <v>1615</v>
      </c>
      <c r="D227" s="78" t="s">
        <v>578</v>
      </c>
      <c r="E227" s="79"/>
      <c r="F227" s="80">
        <v>1</v>
      </c>
      <c r="G227" s="80">
        <f t="shared" si="5"/>
        <v>1</v>
      </c>
      <c r="H227" s="81" t="s">
        <v>38</v>
      </c>
      <c r="I227" s="82"/>
      <c r="J227" s="83"/>
      <c r="K227" s="82"/>
      <c r="L227" s="82">
        <v>46203</v>
      </c>
      <c r="M227" s="82"/>
      <c r="S227" s="84"/>
      <c r="T227" s="84"/>
      <c r="U227" s="78"/>
      <c r="V227" s="85"/>
      <c r="W227" s="78"/>
      <c r="X227" s="78"/>
      <c r="Y227" s="76"/>
      <c r="Z227" s="76"/>
      <c r="AA227" s="86"/>
    </row>
    <row r="228" spans="2:27" s="64" customFormat="1" ht="15" customHeight="1">
      <c r="B228" s="76" t="s">
        <v>579</v>
      </c>
      <c r="C228" s="77" t="s">
        <v>1616</v>
      </c>
      <c r="D228" s="78" t="s">
        <v>578</v>
      </c>
      <c r="E228" s="79"/>
      <c r="F228" s="80">
        <v>1</v>
      </c>
      <c r="G228" s="80">
        <f t="shared" si="5"/>
        <v>1</v>
      </c>
      <c r="H228" s="81" t="s">
        <v>38</v>
      </c>
      <c r="I228" s="82"/>
      <c r="J228" s="83"/>
      <c r="K228" s="82"/>
      <c r="L228" s="82">
        <v>46203</v>
      </c>
      <c r="M228" s="82"/>
      <c r="S228" s="84"/>
      <c r="T228" s="84"/>
      <c r="U228" s="78"/>
      <c r="V228" s="85"/>
      <c r="W228" s="78"/>
      <c r="X228" s="78"/>
      <c r="Y228" s="76"/>
      <c r="Z228" s="76"/>
      <c r="AA228" s="86"/>
    </row>
    <row r="229" spans="2:27" s="64" customFormat="1" ht="15" customHeight="1">
      <c r="B229" s="76" t="s">
        <v>580</v>
      </c>
      <c r="C229" s="77" t="s">
        <v>1617</v>
      </c>
      <c r="D229" s="78" t="s">
        <v>282</v>
      </c>
      <c r="E229" s="79"/>
      <c r="F229" s="80">
        <v>1</v>
      </c>
      <c r="G229" s="80">
        <f t="shared" si="5"/>
        <v>1</v>
      </c>
      <c r="H229" s="81" t="s">
        <v>502</v>
      </c>
      <c r="I229" s="82"/>
      <c r="J229" s="83"/>
      <c r="K229" s="82"/>
      <c r="L229" s="82">
        <v>46203</v>
      </c>
      <c r="M229" s="82"/>
      <c r="S229" s="84"/>
      <c r="T229" s="84"/>
      <c r="U229" s="78"/>
      <c r="V229" s="85"/>
      <c r="W229" s="78"/>
      <c r="X229" s="78"/>
      <c r="Y229" s="76"/>
      <c r="Z229" s="76"/>
      <c r="AA229" s="86"/>
    </row>
    <row r="230" spans="2:27" s="64" customFormat="1" ht="15" customHeight="1">
      <c r="B230" s="76" t="s">
        <v>581</v>
      </c>
      <c r="C230" s="77" t="s">
        <v>1618</v>
      </c>
      <c r="D230" s="78" t="s">
        <v>282</v>
      </c>
      <c r="E230" s="79"/>
      <c r="F230" s="80">
        <v>1</v>
      </c>
      <c r="G230" s="80">
        <f t="shared" si="5"/>
        <v>1</v>
      </c>
      <c r="H230" s="81" t="s">
        <v>502</v>
      </c>
      <c r="I230" s="82"/>
      <c r="J230" s="83"/>
      <c r="K230" s="82"/>
      <c r="L230" s="82">
        <v>46203</v>
      </c>
      <c r="M230" s="82"/>
      <c r="S230" s="84"/>
      <c r="T230" s="84"/>
      <c r="U230" s="78"/>
      <c r="V230" s="85"/>
      <c r="W230" s="78"/>
      <c r="X230" s="78"/>
      <c r="Y230" s="76"/>
      <c r="Z230" s="76"/>
      <c r="AA230" s="86"/>
    </row>
    <row r="231" spans="2:27" s="64" customFormat="1" ht="15" customHeight="1">
      <c r="B231" s="76" t="s">
        <v>582</v>
      </c>
      <c r="C231" s="77" t="s">
        <v>1619</v>
      </c>
      <c r="D231" s="78" t="s">
        <v>282</v>
      </c>
      <c r="E231" s="79"/>
      <c r="F231" s="80">
        <v>1</v>
      </c>
      <c r="G231" s="80">
        <f t="shared" si="5"/>
        <v>1</v>
      </c>
      <c r="H231" s="81" t="s">
        <v>502</v>
      </c>
      <c r="I231" s="82"/>
      <c r="J231" s="83"/>
      <c r="K231" s="82"/>
      <c r="L231" s="82">
        <v>46203</v>
      </c>
      <c r="M231" s="82"/>
      <c r="S231" s="84"/>
      <c r="T231" s="84"/>
      <c r="U231" s="78"/>
      <c r="V231" s="85"/>
      <c r="W231" s="78"/>
      <c r="X231" s="78"/>
      <c r="Y231" s="76"/>
      <c r="Z231" s="76"/>
      <c r="AA231" s="86"/>
    </row>
    <row r="232" spans="2:27" s="64" customFormat="1" ht="15" customHeight="1">
      <c r="B232" s="76" t="s">
        <v>583</v>
      </c>
      <c r="C232" s="77" t="s">
        <v>1620</v>
      </c>
      <c r="D232" s="78"/>
      <c r="E232" s="79"/>
      <c r="F232" s="80">
        <v>9</v>
      </c>
      <c r="G232" s="80">
        <f t="shared" si="5"/>
        <v>9</v>
      </c>
      <c r="H232" s="81" t="s">
        <v>584</v>
      </c>
      <c r="I232" s="82"/>
      <c r="J232" s="83"/>
      <c r="K232" s="82"/>
      <c r="L232" s="82">
        <v>46203</v>
      </c>
      <c r="M232" s="82"/>
      <c r="S232" s="84"/>
      <c r="T232" s="84"/>
      <c r="U232" s="78"/>
      <c r="V232" s="85"/>
      <c r="W232" s="78"/>
      <c r="X232" s="78"/>
      <c r="Y232" s="76"/>
      <c r="Z232" s="76"/>
      <c r="AA232" s="86"/>
    </row>
    <row r="233" spans="2:27" s="64" customFormat="1" ht="15" customHeight="1">
      <c r="B233" s="76" t="s">
        <v>585</v>
      </c>
      <c r="C233" s="77" t="s">
        <v>1621</v>
      </c>
      <c r="D233" s="78"/>
      <c r="E233" s="79"/>
      <c r="F233" s="80">
        <v>1</v>
      </c>
      <c r="G233" s="80">
        <f t="shared" si="5"/>
        <v>1</v>
      </c>
      <c r="H233" s="81" t="s">
        <v>488</v>
      </c>
      <c r="I233" s="82"/>
      <c r="J233" s="83"/>
      <c r="K233" s="82"/>
      <c r="L233" s="82">
        <v>46203</v>
      </c>
      <c r="M233" s="82"/>
      <c r="S233" s="84"/>
      <c r="T233" s="84"/>
      <c r="U233" s="78"/>
      <c r="V233" s="85"/>
      <c r="W233" s="78"/>
      <c r="X233" s="78"/>
      <c r="Y233" s="76"/>
      <c r="Z233" s="76"/>
      <c r="AA233" s="86"/>
    </row>
    <row r="234" spans="2:27" s="64" customFormat="1" ht="15" customHeight="1">
      <c r="B234" s="76" t="s">
        <v>586</v>
      </c>
      <c r="C234" s="77" t="s">
        <v>1622</v>
      </c>
      <c r="D234" s="78" t="s">
        <v>587</v>
      </c>
      <c r="E234" s="79"/>
      <c r="F234" s="80">
        <v>5</v>
      </c>
      <c r="G234" s="80">
        <f t="shared" si="5"/>
        <v>5</v>
      </c>
      <c r="H234" s="81" t="s">
        <v>316</v>
      </c>
      <c r="I234" s="82"/>
      <c r="J234" s="83"/>
      <c r="K234" s="82"/>
      <c r="L234" s="82">
        <v>46203</v>
      </c>
      <c r="M234" s="82"/>
      <c r="S234" s="84"/>
      <c r="T234" s="84"/>
      <c r="U234" s="78"/>
      <c r="V234" s="85"/>
      <c r="W234" s="78"/>
      <c r="X234" s="78"/>
      <c r="Y234" s="76"/>
      <c r="Z234" s="76"/>
      <c r="AA234" s="86"/>
    </row>
    <row r="235" spans="2:27" s="64" customFormat="1" ht="15" customHeight="1">
      <c r="B235" s="76" t="s">
        <v>588</v>
      </c>
      <c r="C235" s="77" t="s">
        <v>1623</v>
      </c>
      <c r="D235" s="78" t="s">
        <v>1624</v>
      </c>
      <c r="E235" s="79"/>
      <c r="F235" s="80">
        <v>1</v>
      </c>
      <c r="G235" s="80">
        <f t="shared" si="5"/>
        <v>1</v>
      </c>
      <c r="H235" s="81" t="s">
        <v>316</v>
      </c>
      <c r="I235" s="82"/>
      <c r="J235" s="83"/>
      <c r="K235" s="82"/>
      <c r="L235" s="82">
        <v>46203</v>
      </c>
      <c r="M235" s="82"/>
      <c r="S235" s="84"/>
      <c r="T235" s="84"/>
      <c r="U235" s="78"/>
      <c r="V235" s="85"/>
      <c r="W235" s="78"/>
      <c r="X235" s="78"/>
      <c r="Y235" s="76"/>
      <c r="Z235" s="76"/>
      <c r="AA235" s="86"/>
    </row>
    <row r="236" spans="2:27" s="64" customFormat="1" ht="15" customHeight="1">
      <c r="B236" s="76" t="s">
        <v>589</v>
      </c>
      <c r="C236" s="76" t="s">
        <v>1625</v>
      </c>
      <c r="D236" s="78"/>
      <c r="E236" s="79"/>
      <c r="F236" s="80">
        <v>9</v>
      </c>
      <c r="G236" s="80">
        <f t="shared" si="5"/>
        <v>9</v>
      </c>
      <c r="H236" s="81" t="s">
        <v>300</v>
      </c>
      <c r="I236" s="82"/>
      <c r="J236" s="83"/>
      <c r="K236" s="82"/>
      <c r="L236" s="82">
        <v>46203</v>
      </c>
      <c r="M236" s="82"/>
      <c r="S236" s="84"/>
      <c r="T236" s="84"/>
      <c r="U236" s="78"/>
      <c r="V236" s="85"/>
      <c r="W236" s="78"/>
      <c r="X236" s="78"/>
      <c r="Y236" s="76"/>
      <c r="Z236" s="76"/>
      <c r="AA236" s="86"/>
    </row>
    <row r="237" spans="2:27" s="64" customFormat="1" ht="15" customHeight="1">
      <c r="B237" s="76" t="s">
        <v>590</v>
      </c>
      <c r="C237" s="77" t="s">
        <v>1626</v>
      </c>
      <c r="D237" s="78" t="s">
        <v>1627</v>
      </c>
      <c r="E237" s="79"/>
      <c r="F237" s="80">
        <v>5</v>
      </c>
      <c r="G237" s="80">
        <f t="shared" si="5"/>
        <v>5</v>
      </c>
      <c r="H237" s="81" t="s">
        <v>316</v>
      </c>
      <c r="I237" s="82"/>
      <c r="J237" s="83"/>
      <c r="K237" s="82"/>
      <c r="L237" s="82">
        <v>46203</v>
      </c>
      <c r="M237" s="82"/>
      <c r="S237" s="84"/>
      <c r="T237" s="84"/>
      <c r="U237" s="78"/>
      <c r="V237" s="85"/>
      <c r="W237" s="78"/>
      <c r="X237" s="78"/>
      <c r="Y237" s="76"/>
      <c r="Z237" s="76"/>
      <c r="AA237" s="86"/>
    </row>
    <row r="238" spans="2:27" s="64" customFormat="1" ht="15" customHeight="1">
      <c r="B238" s="76" t="s">
        <v>591</v>
      </c>
      <c r="C238" s="77" t="s">
        <v>1628</v>
      </c>
      <c r="D238" s="78"/>
      <c r="E238" s="79"/>
      <c r="F238" s="80">
        <v>2</v>
      </c>
      <c r="G238" s="80">
        <f t="shared" si="5"/>
        <v>2</v>
      </c>
      <c r="H238" s="81" t="s">
        <v>316</v>
      </c>
      <c r="I238" s="82"/>
      <c r="J238" s="83"/>
      <c r="K238" s="82"/>
      <c r="L238" s="82">
        <v>46203</v>
      </c>
      <c r="M238" s="82"/>
      <c r="S238" s="84"/>
      <c r="T238" s="84"/>
      <c r="U238" s="78"/>
      <c r="V238" s="85"/>
      <c r="W238" s="78"/>
      <c r="X238" s="78"/>
      <c r="Y238" s="76"/>
      <c r="Z238" s="76"/>
      <c r="AA238" s="86"/>
    </row>
    <row r="239" spans="2:27" s="64" customFormat="1" ht="15" customHeight="1">
      <c r="B239" s="76" t="s">
        <v>592</v>
      </c>
      <c r="C239" s="77" t="s">
        <v>1629</v>
      </c>
      <c r="D239" s="78"/>
      <c r="E239" s="79"/>
      <c r="F239" s="80">
        <v>2</v>
      </c>
      <c r="G239" s="80">
        <f t="shared" si="5"/>
        <v>2</v>
      </c>
      <c r="H239" s="81" t="s">
        <v>316</v>
      </c>
      <c r="I239" s="82"/>
      <c r="J239" s="83"/>
      <c r="K239" s="82"/>
      <c r="L239" s="82">
        <v>46203</v>
      </c>
      <c r="M239" s="82"/>
      <c r="S239" s="84"/>
      <c r="T239" s="84"/>
      <c r="U239" s="78"/>
      <c r="V239" s="85"/>
      <c r="W239" s="78"/>
      <c r="X239" s="78"/>
      <c r="Y239" s="76"/>
      <c r="Z239" s="76"/>
      <c r="AA239" s="86"/>
    </row>
    <row r="240" spans="2:27" s="64" customFormat="1" ht="15" customHeight="1">
      <c r="B240" s="76" t="s">
        <v>593</v>
      </c>
      <c r="C240" s="77" t="s">
        <v>1630</v>
      </c>
      <c r="D240" s="78" t="s">
        <v>1631</v>
      </c>
      <c r="E240" s="79"/>
      <c r="F240" s="80">
        <v>1</v>
      </c>
      <c r="G240" s="80">
        <f t="shared" si="5"/>
        <v>1</v>
      </c>
      <c r="H240" s="81" t="s">
        <v>316</v>
      </c>
      <c r="I240" s="82"/>
      <c r="J240" s="83"/>
      <c r="K240" s="82"/>
      <c r="L240" s="82">
        <v>46203</v>
      </c>
      <c r="M240" s="82"/>
      <c r="S240" s="84"/>
      <c r="T240" s="84"/>
      <c r="U240" s="78"/>
      <c r="V240" s="85"/>
      <c r="W240" s="78"/>
      <c r="X240" s="78"/>
      <c r="Y240" s="76"/>
      <c r="Z240" s="76"/>
      <c r="AA240" s="86"/>
    </row>
    <row r="241" spans="2:27" s="64" customFormat="1" ht="15" customHeight="1">
      <c r="B241" s="76" t="s">
        <v>594</v>
      </c>
      <c r="C241" s="77" t="s">
        <v>1632</v>
      </c>
      <c r="D241" s="78" t="s">
        <v>1633</v>
      </c>
      <c r="E241" s="79"/>
      <c r="F241" s="80">
        <v>5</v>
      </c>
      <c r="G241" s="80">
        <f t="shared" si="5"/>
        <v>5</v>
      </c>
      <c r="H241" s="81" t="s">
        <v>316</v>
      </c>
      <c r="I241" s="82"/>
      <c r="J241" s="83"/>
      <c r="K241" s="82"/>
      <c r="L241" s="82">
        <v>46203</v>
      </c>
      <c r="M241" s="82"/>
      <c r="S241" s="84"/>
      <c r="T241" s="84"/>
      <c r="U241" s="78"/>
      <c r="V241" s="85"/>
      <c r="W241" s="78"/>
      <c r="X241" s="78"/>
      <c r="Y241" s="76"/>
      <c r="Z241" s="76"/>
      <c r="AA241" s="86"/>
    </row>
    <row r="242" spans="2:27" s="64" customFormat="1" ht="15" customHeight="1">
      <c r="B242" s="76" t="s">
        <v>595</v>
      </c>
      <c r="C242" s="77" t="s">
        <v>1634</v>
      </c>
      <c r="D242" s="78"/>
      <c r="E242" s="79"/>
      <c r="F242" s="80">
        <v>10</v>
      </c>
      <c r="G242" s="80">
        <f t="shared" si="5"/>
        <v>10</v>
      </c>
      <c r="H242" s="81" t="s">
        <v>300</v>
      </c>
      <c r="I242" s="82"/>
      <c r="J242" s="83"/>
      <c r="K242" s="82"/>
      <c r="L242" s="82">
        <v>46203</v>
      </c>
      <c r="M242" s="82"/>
      <c r="S242" s="84"/>
      <c r="T242" s="84"/>
      <c r="U242" s="78"/>
      <c r="V242" s="85"/>
      <c r="W242" s="78"/>
      <c r="X242" s="78"/>
      <c r="Y242" s="76"/>
      <c r="Z242" s="76"/>
      <c r="AA242" s="86"/>
    </row>
    <row r="243" spans="2:27" s="64" customFormat="1" ht="15" customHeight="1">
      <c r="B243" s="76" t="s">
        <v>596</v>
      </c>
      <c r="C243" s="77" t="s">
        <v>1635</v>
      </c>
      <c r="D243" s="78"/>
      <c r="E243" s="79"/>
      <c r="F243" s="80">
        <v>3</v>
      </c>
      <c r="G243" s="80">
        <f t="shared" si="5"/>
        <v>3</v>
      </c>
      <c r="H243" s="81" t="s">
        <v>488</v>
      </c>
      <c r="I243" s="82"/>
      <c r="J243" s="83"/>
      <c r="K243" s="82"/>
      <c r="L243" s="82">
        <v>46203</v>
      </c>
      <c r="M243" s="82"/>
      <c r="S243" s="84"/>
      <c r="T243" s="84"/>
      <c r="U243" s="78"/>
      <c r="V243" s="85"/>
      <c r="W243" s="78"/>
      <c r="X243" s="78"/>
      <c r="Y243" s="76"/>
      <c r="Z243" s="76"/>
      <c r="AA243" s="86"/>
    </row>
    <row r="244" spans="2:27" s="64" customFormat="1" ht="15" customHeight="1">
      <c r="B244" s="76" t="s">
        <v>597</v>
      </c>
      <c r="C244" s="77" t="s">
        <v>1636</v>
      </c>
      <c r="D244" s="78" t="s">
        <v>598</v>
      </c>
      <c r="E244" s="79"/>
      <c r="F244" s="80">
        <v>1</v>
      </c>
      <c r="G244" s="80">
        <f t="shared" si="5"/>
        <v>1</v>
      </c>
      <c r="H244" s="81" t="s">
        <v>316</v>
      </c>
      <c r="I244" s="82"/>
      <c r="J244" s="83"/>
      <c r="K244" s="82"/>
      <c r="L244" s="82">
        <v>46203</v>
      </c>
      <c r="M244" s="82"/>
      <c r="S244" s="84"/>
      <c r="T244" s="84"/>
      <c r="U244" s="78"/>
      <c r="V244" s="85"/>
      <c r="W244" s="78"/>
      <c r="X244" s="78"/>
      <c r="Y244" s="76"/>
      <c r="Z244" s="76"/>
      <c r="AA244" s="86"/>
    </row>
    <row r="245" spans="2:27" s="64" customFormat="1" ht="15" customHeight="1">
      <c r="B245" s="76" t="s">
        <v>599</v>
      </c>
      <c r="C245" s="77" t="s">
        <v>1637</v>
      </c>
      <c r="D245" s="78"/>
      <c r="E245" s="79"/>
      <c r="F245" s="80">
        <v>8</v>
      </c>
      <c r="G245" s="80">
        <f t="shared" si="5"/>
        <v>8</v>
      </c>
      <c r="H245" s="81" t="s">
        <v>488</v>
      </c>
      <c r="I245" s="82"/>
      <c r="J245" s="83"/>
      <c r="K245" s="82"/>
      <c r="L245" s="82">
        <v>46203</v>
      </c>
      <c r="M245" s="82"/>
      <c r="S245" s="84"/>
      <c r="T245" s="84"/>
      <c r="U245" s="78"/>
      <c r="V245" s="85"/>
      <c r="W245" s="78"/>
      <c r="X245" s="78"/>
      <c r="Y245" s="76"/>
      <c r="Z245" s="76"/>
      <c r="AA245" s="86"/>
    </row>
    <row r="246" spans="2:27" s="64" customFormat="1" ht="15" customHeight="1">
      <c r="B246" s="76" t="s">
        <v>600</v>
      </c>
      <c r="C246" s="77" t="s">
        <v>1638</v>
      </c>
      <c r="D246" s="78" t="s">
        <v>601</v>
      </c>
      <c r="E246" s="79"/>
      <c r="F246" s="80">
        <v>1</v>
      </c>
      <c r="G246" s="80">
        <f t="shared" si="5"/>
        <v>1</v>
      </c>
      <c r="H246" s="81" t="s">
        <v>542</v>
      </c>
      <c r="I246" s="82"/>
      <c r="J246" s="83"/>
      <c r="K246" s="82"/>
      <c r="L246" s="82">
        <v>46203</v>
      </c>
      <c r="M246" s="82"/>
      <c r="S246" s="84"/>
      <c r="T246" s="84"/>
      <c r="U246" s="78"/>
      <c r="V246" s="85"/>
      <c r="W246" s="78"/>
      <c r="X246" s="78"/>
      <c r="Y246" s="76"/>
      <c r="Z246" s="76"/>
      <c r="AA246" s="86"/>
    </row>
    <row r="247" spans="2:27" s="64" customFormat="1" ht="15" customHeight="1">
      <c r="B247" s="76" t="s">
        <v>602</v>
      </c>
      <c r="C247" s="77" t="s">
        <v>1639</v>
      </c>
      <c r="D247" s="78"/>
      <c r="E247" s="79"/>
      <c r="F247" s="80">
        <v>1</v>
      </c>
      <c r="G247" s="80">
        <f t="shared" si="5"/>
        <v>1</v>
      </c>
      <c r="H247" s="81" t="s">
        <v>316</v>
      </c>
      <c r="I247" s="82"/>
      <c r="J247" s="83"/>
      <c r="K247" s="82"/>
      <c r="L247" s="82">
        <v>46203</v>
      </c>
      <c r="M247" s="82"/>
      <c r="S247" s="84"/>
      <c r="T247" s="84"/>
      <c r="U247" s="78"/>
      <c r="V247" s="85"/>
      <c r="W247" s="78"/>
      <c r="X247" s="78"/>
      <c r="Y247" s="76"/>
      <c r="Z247" s="76"/>
      <c r="AA247" s="86"/>
    </row>
    <row r="248" spans="2:27" s="64" customFormat="1" ht="15" customHeight="1">
      <c r="B248" s="76" t="s">
        <v>603</v>
      </c>
      <c r="C248" s="77" t="s">
        <v>1640</v>
      </c>
      <c r="D248" s="78" t="s">
        <v>1541</v>
      </c>
      <c r="E248" s="79"/>
      <c r="F248" s="80">
        <v>3</v>
      </c>
      <c r="G248" s="80">
        <f t="shared" si="5"/>
        <v>3</v>
      </c>
      <c r="H248" s="81" t="s">
        <v>316</v>
      </c>
      <c r="I248" s="82"/>
      <c r="J248" s="83"/>
      <c r="K248" s="82"/>
      <c r="L248" s="82">
        <v>46203</v>
      </c>
      <c r="M248" s="82"/>
      <c r="S248" s="84"/>
      <c r="T248" s="84"/>
      <c r="U248" s="78"/>
      <c r="V248" s="85"/>
      <c r="W248" s="78"/>
      <c r="X248" s="78"/>
      <c r="Y248" s="76"/>
      <c r="Z248" s="76"/>
      <c r="AA248" s="86"/>
    </row>
    <row r="249" spans="2:27" s="64" customFormat="1" ht="15" customHeight="1">
      <c r="B249" s="76" t="s">
        <v>604</v>
      </c>
      <c r="C249" s="77" t="s">
        <v>1641</v>
      </c>
      <c r="D249" s="78" t="s">
        <v>1642</v>
      </c>
      <c r="E249" s="79"/>
      <c r="F249" s="80">
        <v>4</v>
      </c>
      <c r="G249" s="80">
        <f t="shared" si="5"/>
        <v>4</v>
      </c>
      <c r="H249" s="81" t="s">
        <v>316</v>
      </c>
      <c r="I249" s="82"/>
      <c r="J249" s="83"/>
      <c r="K249" s="82"/>
      <c r="L249" s="82">
        <v>46203</v>
      </c>
      <c r="M249" s="82"/>
      <c r="S249" s="84"/>
      <c r="T249" s="84"/>
      <c r="U249" s="78"/>
      <c r="V249" s="85"/>
      <c r="W249" s="78"/>
      <c r="X249" s="78"/>
      <c r="Y249" s="76"/>
      <c r="Z249" s="76"/>
      <c r="AA249" s="86"/>
    </row>
    <row r="250" spans="2:27" s="64" customFormat="1" ht="15" customHeight="1">
      <c r="B250" s="76" t="s">
        <v>1378</v>
      </c>
      <c r="C250" s="77" t="s">
        <v>1643</v>
      </c>
      <c r="D250" s="99" t="s">
        <v>1644</v>
      </c>
      <c r="E250" s="79"/>
      <c r="F250" s="80">
        <v>10</v>
      </c>
      <c r="G250" s="80">
        <f>F250-E250</f>
        <v>10</v>
      </c>
      <c r="H250" s="81" t="s">
        <v>1377</v>
      </c>
      <c r="I250" s="82"/>
      <c r="J250" s="83"/>
      <c r="K250" s="82"/>
      <c r="L250" s="82">
        <v>46234</v>
      </c>
      <c r="M250" s="82"/>
      <c r="S250" s="84"/>
      <c r="T250" s="84"/>
      <c r="U250" s="78"/>
      <c r="V250" s="85"/>
      <c r="W250" s="78"/>
      <c r="X250" s="78"/>
      <c r="Y250" s="76"/>
      <c r="Z250" s="76"/>
      <c r="AA250" s="86"/>
    </row>
    <row r="251" spans="2:27" s="64" customFormat="1" ht="15" customHeight="1">
      <c r="B251" s="76" t="s">
        <v>607</v>
      </c>
      <c r="C251" s="77" t="s">
        <v>1645</v>
      </c>
      <c r="D251" s="78" t="s">
        <v>1541</v>
      </c>
      <c r="E251" s="79"/>
      <c r="F251" s="80">
        <v>2</v>
      </c>
      <c r="G251" s="80">
        <f t="shared" si="5"/>
        <v>2</v>
      </c>
      <c r="H251" s="81" t="s">
        <v>316</v>
      </c>
      <c r="I251" s="82"/>
      <c r="J251" s="83"/>
      <c r="K251" s="82"/>
      <c r="L251" s="82">
        <v>46234</v>
      </c>
      <c r="M251" s="82"/>
      <c r="S251" s="84"/>
      <c r="T251" s="84"/>
      <c r="U251" s="78"/>
      <c r="V251" s="85"/>
      <c r="W251" s="78"/>
      <c r="X251" s="78"/>
      <c r="Y251" s="76"/>
      <c r="Z251" s="76"/>
      <c r="AA251" s="86"/>
    </row>
    <row r="252" spans="2:27" s="64" customFormat="1" ht="15" customHeight="1">
      <c r="B252" s="76" t="s">
        <v>605</v>
      </c>
      <c r="C252" s="77" t="s">
        <v>1646</v>
      </c>
      <c r="D252" s="78" t="s">
        <v>606</v>
      </c>
      <c r="E252" s="79"/>
      <c r="F252" s="80">
        <v>11</v>
      </c>
      <c r="G252" s="80">
        <f t="shared" si="5"/>
        <v>11</v>
      </c>
      <c r="H252" s="81" t="s">
        <v>316</v>
      </c>
      <c r="I252" s="82"/>
      <c r="J252" s="83"/>
      <c r="K252" s="82"/>
      <c r="L252" s="82">
        <v>46203</v>
      </c>
      <c r="M252" s="82"/>
      <c r="S252" s="84"/>
      <c r="T252" s="84"/>
      <c r="U252" s="78"/>
      <c r="V252" s="85"/>
      <c r="W252" s="78"/>
      <c r="X252" s="78"/>
      <c r="Y252" s="76"/>
      <c r="Z252" s="76"/>
      <c r="AA252" s="86"/>
    </row>
    <row r="253" spans="2:27" s="64" customFormat="1" ht="15" customHeight="1">
      <c r="B253" s="76" t="s">
        <v>608</v>
      </c>
      <c r="C253" s="77" t="s">
        <v>1647</v>
      </c>
      <c r="D253" s="78" t="s">
        <v>609</v>
      </c>
      <c r="E253" s="79"/>
      <c r="F253" s="80">
        <v>2</v>
      </c>
      <c r="G253" s="80">
        <f t="shared" si="5"/>
        <v>2</v>
      </c>
      <c r="H253" s="81" t="s">
        <v>316</v>
      </c>
      <c r="I253" s="82"/>
      <c r="J253" s="83"/>
      <c r="K253" s="82"/>
      <c r="L253" s="82">
        <v>46203</v>
      </c>
      <c r="M253" s="82"/>
      <c r="S253" s="84"/>
      <c r="T253" s="84"/>
      <c r="U253" s="78"/>
      <c r="V253" s="85"/>
      <c r="W253" s="78"/>
      <c r="X253" s="78"/>
      <c r="Y253" s="76"/>
      <c r="Z253" s="76"/>
      <c r="AA253" s="86"/>
    </row>
    <row r="254" spans="2:27" s="64" customFormat="1" ht="15" customHeight="1">
      <c r="B254" s="76" t="s">
        <v>610</v>
      </c>
      <c r="C254" s="77" t="s">
        <v>1648</v>
      </c>
      <c r="D254" s="78" t="s">
        <v>609</v>
      </c>
      <c r="E254" s="79"/>
      <c r="F254" s="80">
        <v>3</v>
      </c>
      <c r="G254" s="80">
        <f t="shared" si="5"/>
        <v>3</v>
      </c>
      <c r="H254" s="81" t="s">
        <v>316</v>
      </c>
      <c r="I254" s="82"/>
      <c r="J254" s="83"/>
      <c r="K254" s="82"/>
      <c r="L254" s="82">
        <v>46203</v>
      </c>
      <c r="M254" s="82"/>
      <c r="S254" s="84"/>
      <c r="T254" s="84"/>
      <c r="U254" s="78"/>
      <c r="V254" s="85"/>
      <c r="W254" s="78"/>
      <c r="X254" s="78"/>
      <c r="Y254" s="76"/>
      <c r="Z254" s="76"/>
      <c r="AA254" s="86"/>
    </row>
    <row r="255" spans="2:27" s="64" customFormat="1" ht="15" customHeight="1">
      <c r="B255" s="76" t="s">
        <v>611</v>
      </c>
      <c r="C255" s="77" t="s">
        <v>1649</v>
      </c>
      <c r="D255" s="78" t="s">
        <v>609</v>
      </c>
      <c r="E255" s="79"/>
      <c r="F255" s="80">
        <v>3</v>
      </c>
      <c r="G255" s="80">
        <f t="shared" si="5"/>
        <v>3</v>
      </c>
      <c r="H255" s="81" t="s">
        <v>316</v>
      </c>
      <c r="I255" s="82"/>
      <c r="J255" s="83"/>
      <c r="K255" s="82"/>
      <c r="L255" s="82">
        <v>46203</v>
      </c>
      <c r="M255" s="82"/>
      <c r="S255" s="84"/>
      <c r="T255" s="84"/>
      <c r="U255" s="78"/>
      <c r="V255" s="85"/>
      <c r="W255" s="78"/>
      <c r="X255" s="78"/>
      <c r="Y255" s="76"/>
      <c r="Z255" s="76"/>
      <c r="AA255" s="86"/>
    </row>
    <row r="256" spans="2:27" s="64" customFormat="1" ht="15" customHeight="1">
      <c r="B256" s="76" t="s">
        <v>612</v>
      </c>
      <c r="C256" s="76" t="s">
        <v>1650</v>
      </c>
      <c r="D256" s="78" t="s">
        <v>304</v>
      </c>
      <c r="E256" s="79"/>
      <c r="F256" s="80">
        <v>1</v>
      </c>
      <c r="G256" s="80">
        <f t="shared" si="5"/>
        <v>1</v>
      </c>
      <c r="H256" s="81" t="s">
        <v>316</v>
      </c>
      <c r="I256" s="82"/>
      <c r="J256" s="83"/>
      <c r="K256" s="82"/>
      <c r="L256" s="82">
        <v>46203</v>
      </c>
      <c r="M256" s="82"/>
      <c r="S256" s="84"/>
      <c r="T256" s="84"/>
      <c r="U256" s="78"/>
      <c r="V256" s="85"/>
      <c r="W256" s="78"/>
      <c r="X256" s="78"/>
      <c r="Y256" s="76"/>
      <c r="Z256" s="76"/>
      <c r="AA256" s="86"/>
    </row>
    <row r="257" spans="2:27" s="64" customFormat="1" ht="15" customHeight="1">
      <c r="B257" s="100" t="s">
        <v>613</v>
      </c>
      <c r="C257" s="77" t="s">
        <v>1651</v>
      </c>
      <c r="D257" s="78" t="s">
        <v>304</v>
      </c>
      <c r="E257" s="79"/>
      <c r="F257" s="80">
        <v>1</v>
      </c>
      <c r="G257" s="80">
        <f t="shared" si="5"/>
        <v>1</v>
      </c>
      <c r="H257" s="81" t="s">
        <v>316</v>
      </c>
      <c r="I257" s="82"/>
      <c r="J257" s="83"/>
      <c r="K257" s="82"/>
      <c r="L257" s="82">
        <v>46203</v>
      </c>
      <c r="M257" s="82"/>
      <c r="S257" s="84"/>
      <c r="T257" s="84"/>
      <c r="U257" s="78"/>
      <c r="V257" s="85"/>
      <c r="W257" s="78"/>
      <c r="X257" s="78"/>
      <c r="Y257" s="76"/>
      <c r="Z257" s="76"/>
      <c r="AA257" s="86"/>
    </row>
    <row r="258" spans="2:27" s="64" customFormat="1" ht="15" customHeight="1">
      <c r="B258" s="76" t="s">
        <v>614</v>
      </c>
      <c r="C258" s="77" t="s">
        <v>1652</v>
      </c>
      <c r="D258" s="78"/>
      <c r="E258" s="79"/>
      <c r="F258" s="80">
        <v>2</v>
      </c>
      <c r="G258" s="80">
        <f t="shared" si="5"/>
        <v>2</v>
      </c>
      <c r="H258" s="81" t="s">
        <v>316</v>
      </c>
      <c r="I258" s="82"/>
      <c r="J258" s="83"/>
      <c r="K258" s="82"/>
      <c r="L258" s="82">
        <v>46203</v>
      </c>
      <c r="M258" s="82"/>
      <c r="S258" s="84"/>
      <c r="T258" s="84"/>
      <c r="U258" s="78"/>
      <c r="V258" s="85"/>
      <c r="W258" s="78"/>
      <c r="X258" s="78"/>
      <c r="Y258" s="76"/>
      <c r="Z258" s="76"/>
      <c r="AA258" s="86"/>
    </row>
    <row r="259" spans="2:27" s="64" customFormat="1" ht="15" customHeight="1">
      <c r="B259" s="76" t="s">
        <v>615</v>
      </c>
      <c r="C259" s="77" t="s">
        <v>1653</v>
      </c>
      <c r="D259" s="78" t="s">
        <v>616</v>
      </c>
      <c r="E259" s="79"/>
      <c r="F259" s="80">
        <v>10</v>
      </c>
      <c r="G259" s="80">
        <f t="shared" si="5"/>
        <v>10</v>
      </c>
      <c r="H259" s="81" t="s">
        <v>316</v>
      </c>
      <c r="I259" s="82"/>
      <c r="J259" s="83"/>
      <c r="K259" s="82"/>
      <c r="L259" s="82">
        <v>46203</v>
      </c>
      <c r="M259" s="82"/>
      <c r="S259" s="84"/>
      <c r="T259" s="84"/>
      <c r="U259" s="78"/>
      <c r="V259" s="85"/>
      <c r="W259" s="78"/>
      <c r="X259" s="78"/>
      <c r="Y259" s="76"/>
      <c r="Z259" s="76"/>
      <c r="AA259" s="86"/>
    </row>
    <row r="260" spans="2:27" s="64" customFormat="1" ht="15" customHeight="1">
      <c r="B260" s="76" t="s">
        <v>617</v>
      </c>
      <c r="C260" s="77" t="s">
        <v>1654</v>
      </c>
      <c r="D260" s="78" t="s">
        <v>618</v>
      </c>
      <c r="E260" s="79"/>
      <c r="F260" s="80">
        <v>14</v>
      </c>
      <c r="G260" s="80">
        <f t="shared" si="5"/>
        <v>14</v>
      </c>
      <c r="H260" s="81" t="s">
        <v>316</v>
      </c>
      <c r="I260" s="82"/>
      <c r="J260" s="83"/>
      <c r="K260" s="82"/>
      <c r="L260" s="82">
        <v>46203</v>
      </c>
      <c r="M260" s="82"/>
      <c r="S260" s="84"/>
      <c r="T260" s="84"/>
      <c r="U260" s="78"/>
      <c r="V260" s="85"/>
      <c r="W260" s="78"/>
      <c r="X260" s="78"/>
      <c r="Y260" s="76"/>
      <c r="Z260" s="76"/>
      <c r="AA260" s="86"/>
    </row>
    <row r="261" spans="2:27" s="64" customFormat="1" ht="15" customHeight="1">
      <c r="B261" s="76" t="s">
        <v>619</v>
      </c>
      <c r="C261" s="77" t="s">
        <v>1655</v>
      </c>
      <c r="D261" s="78" t="s">
        <v>618</v>
      </c>
      <c r="E261" s="79"/>
      <c r="F261" s="80">
        <v>2</v>
      </c>
      <c r="G261" s="80">
        <f t="shared" si="5"/>
        <v>2</v>
      </c>
      <c r="H261" s="81" t="s">
        <v>316</v>
      </c>
      <c r="I261" s="82"/>
      <c r="J261" s="83"/>
      <c r="K261" s="82"/>
      <c r="L261" s="82">
        <v>46203</v>
      </c>
      <c r="M261" s="82"/>
      <c r="S261" s="84"/>
      <c r="T261" s="84"/>
      <c r="U261" s="78"/>
      <c r="V261" s="85"/>
      <c r="W261" s="78"/>
      <c r="X261" s="78"/>
      <c r="Y261" s="76"/>
      <c r="Z261" s="76"/>
      <c r="AA261" s="86"/>
    </row>
    <row r="262" spans="2:27" s="64" customFormat="1" ht="15" customHeight="1">
      <c r="B262" s="76" t="s">
        <v>620</v>
      </c>
      <c r="C262" s="77" t="s">
        <v>1655</v>
      </c>
      <c r="D262" s="78" t="s">
        <v>621</v>
      </c>
      <c r="E262" s="79"/>
      <c r="F262" s="80">
        <v>1</v>
      </c>
      <c r="G262" s="80">
        <f t="shared" si="5"/>
        <v>1</v>
      </c>
      <c r="H262" s="81" t="s">
        <v>316</v>
      </c>
      <c r="I262" s="82"/>
      <c r="J262" s="83"/>
      <c r="K262" s="82"/>
      <c r="L262" s="82">
        <v>46203</v>
      </c>
      <c r="M262" s="82"/>
      <c r="S262" s="84"/>
      <c r="T262" s="84"/>
      <c r="U262" s="78"/>
      <c r="V262" s="85"/>
      <c r="W262" s="78"/>
      <c r="X262" s="78"/>
      <c r="Y262" s="76"/>
      <c r="Z262" s="76"/>
      <c r="AA262" s="86"/>
    </row>
    <row r="263" spans="2:27" s="64" customFormat="1" ht="15" customHeight="1">
      <c r="B263" s="76" t="s">
        <v>622</v>
      </c>
      <c r="C263" s="77" t="s">
        <v>1656</v>
      </c>
      <c r="D263" s="78" t="s">
        <v>1657</v>
      </c>
      <c r="E263" s="79"/>
      <c r="F263" s="80">
        <v>3</v>
      </c>
      <c r="G263" s="80">
        <f t="shared" si="5"/>
        <v>3</v>
      </c>
      <c r="H263" s="81" t="s">
        <v>316</v>
      </c>
      <c r="I263" s="82"/>
      <c r="J263" s="83"/>
      <c r="K263" s="82"/>
      <c r="L263" s="82">
        <v>46203</v>
      </c>
      <c r="M263" s="82"/>
      <c r="S263" s="84"/>
      <c r="T263" s="84"/>
      <c r="U263" s="78"/>
      <c r="V263" s="85"/>
      <c r="W263" s="78"/>
      <c r="X263" s="78"/>
      <c r="Y263" s="76"/>
      <c r="Z263" s="76"/>
      <c r="AA263" s="86"/>
    </row>
    <row r="264" spans="2:27" s="64" customFormat="1" ht="15" customHeight="1">
      <c r="B264" s="76" t="s">
        <v>623</v>
      </c>
      <c r="C264" s="77" t="s">
        <v>1658</v>
      </c>
      <c r="D264" s="78" t="s">
        <v>616</v>
      </c>
      <c r="E264" s="79"/>
      <c r="F264" s="80">
        <v>1</v>
      </c>
      <c r="G264" s="80">
        <f t="shared" si="5"/>
        <v>1</v>
      </c>
      <c r="H264" s="81" t="s">
        <v>316</v>
      </c>
      <c r="I264" s="82"/>
      <c r="J264" s="83"/>
      <c r="K264" s="82"/>
      <c r="L264" s="82">
        <v>46203</v>
      </c>
      <c r="M264" s="82"/>
      <c r="S264" s="84"/>
      <c r="T264" s="84"/>
      <c r="U264" s="78"/>
      <c r="V264" s="85"/>
      <c r="W264" s="78"/>
      <c r="X264" s="78"/>
      <c r="Y264" s="76"/>
      <c r="Z264" s="76"/>
      <c r="AA264" s="86"/>
    </row>
    <row r="265" spans="2:27" s="64" customFormat="1" ht="15" customHeight="1">
      <c r="B265" s="76" t="s">
        <v>624</v>
      </c>
      <c r="C265" s="77" t="s">
        <v>1659</v>
      </c>
      <c r="D265" s="78" t="s">
        <v>304</v>
      </c>
      <c r="E265" s="79"/>
      <c r="F265" s="80">
        <v>2</v>
      </c>
      <c r="G265" s="80">
        <f t="shared" si="5"/>
        <v>2</v>
      </c>
      <c r="H265" s="81" t="s">
        <v>316</v>
      </c>
      <c r="I265" s="82"/>
      <c r="J265" s="83"/>
      <c r="K265" s="82"/>
      <c r="L265" s="82">
        <v>46203</v>
      </c>
      <c r="M265" s="82"/>
      <c r="S265" s="84"/>
      <c r="T265" s="84"/>
      <c r="U265" s="78"/>
      <c r="V265" s="85"/>
      <c r="W265" s="78"/>
      <c r="X265" s="78"/>
      <c r="Y265" s="76"/>
      <c r="Z265" s="76"/>
      <c r="AA265" s="86"/>
    </row>
    <row r="266" spans="2:27" s="64" customFormat="1" ht="15" customHeight="1">
      <c r="B266" s="76" t="s">
        <v>625</v>
      </c>
      <c r="C266" s="77" t="s">
        <v>1660</v>
      </c>
      <c r="D266" s="78" t="s">
        <v>304</v>
      </c>
      <c r="E266" s="79"/>
      <c r="F266" s="80">
        <v>1</v>
      </c>
      <c r="G266" s="80">
        <f t="shared" si="5"/>
        <v>1</v>
      </c>
      <c r="H266" s="81" t="s">
        <v>316</v>
      </c>
      <c r="I266" s="82"/>
      <c r="J266" s="83"/>
      <c r="K266" s="82"/>
      <c r="L266" s="82">
        <v>46203</v>
      </c>
      <c r="M266" s="82"/>
      <c r="S266" s="84"/>
      <c r="T266" s="84"/>
      <c r="U266" s="78"/>
      <c r="V266" s="85"/>
      <c r="W266" s="78"/>
      <c r="X266" s="78"/>
      <c r="Y266" s="76"/>
      <c r="Z266" s="76"/>
      <c r="AA266" s="86"/>
    </row>
    <row r="267" spans="2:27" s="64" customFormat="1" ht="15" customHeight="1">
      <c r="B267" s="76" t="s">
        <v>626</v>
      </c>
      <c r="C267" s="77" t="s">
        <v>1661</v>
      </c>
      <c r="D267" s="78" t="s">
        <v>304</v>
      </c>
      <c r="E267" s="79"/>
      <c r="F267" s="80">
        <v>12</v>
      </c>
      <c r="G267" s="80">
        <f t="shared" si="5"/>
        <v>12</v>
      </c>
      <c r="H267" s="81" t="s">
        <v>316</v>
      </c>
      <c r="I267" s="82"/>
      <c r="J267" s="83"/>
      <c r="K267" s="82"/>
      <c r="L267" s="82">
        <v>46203</v>
      </c>
      <c r="M267" s="82"/>
      <c r="S267" s="84"/>
      <c r="T267" s="84"/>
      <c r="U267" s="78"/>
      <c r="V267" s="85"/>
      <c r="W267" s="78"/>
      <c r="X267" s="78"/>
      <c r="Y267" s="76"/>
      <c r="Z267" s="76"/>
      <c r="AA267" s="86"/>
    </row>
    <row r="268" spans="2:27" s="64" customFormat="1" ht="15" customHeight="1">
      <c r="B268" s="76" t="s">
        <v>627</v>
      </c>
      <c r="C268" s="77" t="s">
        <v>1662</v>
      </c>
      <c r="D268" s="78"/>
      <c r="E268" s="79"/>
      <c r="F268" s="80">
        <v>1</v>
      </c>
      <c r="G268" s="80">
        <f t="shared" si="5"/>
        <v>1</v>
      </c>
      <c r="H268" s="81" t="s">
        <v>494</v>
      </c>
      <c r="I268" s="82"/>
      <c r="J268" s="83"/>
      <c r="K268" s="82"/>
      <c r="L268" s="82">
        <v>46203</v>
      </c>
      <c r="M268" s="82"/>
      <c r="S268" s="84"/>
      <c r="T268" s="84"/>
      <c r="U268" s="78"/>
      <c r="V268" s="85"/>
      <c r="W268" s="78"/>
      <c r="X268" s="78"/>
      <c r="Y268" s="76"/>
      <c r="Z268" s="76"/>
      <c r="AA268" s="86"/>
    </row>
    <row r="269" spans="2:27" s="64" customFormat="1" ht="15" customHeight="1">
      <c r="B269" s="76" t="s">
        <v>628</v>
      </c>
      <c r="C269" s="77" t="s">
        <v>1663</v>
      </c>
      <c r="D269" s="78" t="s">
        <v>304</v>
      </c>
      <c r="E269" s="79"/>
      <c r="F269" s="80">
        <v>1</v>
      </c>
      <c r="G269" s="80">
        <f t="shared" si="5"/>
        <v>1</v>
      </c>
      <c r="H269" s="81" t="s">
        <v>172</v>
      </c>
      <c r="I269" s="82"/>
      <c r="J269" s="83"/>
      <c r="K269" s="82"/>
      <c r="L269" s="82">
        <v>46203</v>
      </c>
      <c r="M269" s="82"/>
      <c r="S269" s="84"/>
      <c r="T269" s="84"/>
      <c r="U269" s="78"/>
      <c r="V269" s="85"/>
      <c r="W269" s="78"/>
      <c r="X269" s="78"/>
      <c r="Y269" s="76"/>
      <c r="Z269" s="76"/>
      <c r="AA269" s="86"/>
    </row>
    <row r="270" spans="2:27" s="64" customFormat="1" ht="15" customHeight="1">
      <c r="B270" s="76" t="s">
        <v>629</v>
      </c>
      <c r="C270" s="77" t="s">
        <v>1664</v>
      </c>
      <c r="D270" s="78" t="s">
        <v>282</v>
      </c>
      <c r="E270" s="79"/>
      <c r="F270" s="80">
        <v>1</v>
      </c>
      <c r="G270" s="80">
        <f t="shared" si="5"/>
        <v>1</v>
      </c>
      <c r="H270" s="81" t="s">
        <v>283</v>
      </c>
      <c r="I270" s="82"/>
      <c r="J270" s="83"/>
      <c r="K270" s="82"/>
      <c r="L270" s="82">
        <v>46203</v>
      </c>
      <c r="M270" s="82"/>
      <c r="S270" s="84"/>
      <c r="T270" s="84"/>
      <c r="U270" s="78"/>
      <c r="V270" s="85"/>
      <c r="W270" s="78"/>
      <c r="X270" s="78"/>
      <c r="Y270" s="76"/>
      <c r="Z270" s="76"/>
      <c r="AA270" s="86"/>
    </row>
    <row r="271" spans="2:27" s="64" customFormat="1" ht="15" customHeight="1">
      <c r="B271" s="76" t="s">
        <v>630</v>
      </c>
      <c r="C271" s="77" t="s">
        <v>1665</v>
      </c>
      <c r="D271" s="78" t="s">
        <v>282</v>
      </c>
      <c r="E271" s="79"/>
      <c r="F271" s="80">
        <v>13</v>
      </c>
      <c r="G271" s="80">
        <f t="shared" si="5"/>
        <v>13</v>
      </c>
      <c r="H271" s="81" t="s">
        <v>631</v>
      </c>
      <c r="I271" s="82"/>
      <c r="J271" s="83"/>
      <c r="K271" s="82"/>
      <c r="L271" s="82">
        <v>46203</v>
      </c>
      <c r="M271" s="82"/>
      <c r="S271" s="84"/>
      <c r="T271" s="84"/>
      <c r="U271" s="78"/>
      <c r="V271" s="85"/>
      <c r="W271" s="78"/>
      <c r="X271" s="78"/>
      <c r="Y271" s="76"/>
      <c r="Z271" s="76"/>
      <c r="AA271" s="86"/>
    </row>
    <row r="272" spans="2:27" s="64" customFormat="1" ht="15" customHeight="1">
      <c r="B272" s="76" t="s">
        <v>632</v>
      </c>
      <c r="C272" s="77" t="s">
        <v>1666</v>
      </c>
      <c r="D272" s="78" t="s">
        <v>282</v>
      </c>
      <c r="E272" s="79"/>
      <c r="F272" s="80">
        <v>6</v>
      </c>
      <c r="G272" s="80">
        <f t="shared" si="5"/>
        <v>6</v>
      </c>
      <c r="H272" s="81" t="s">
        <v>283</v>
      </c>
      <c r="I272" s="82"/>
      <c r="J272" s="83"/>
      <c r="K272" s="82"/>
      <c r="L272" s="82">
        <v>46203</v>
      </c>
      <c r="M272" s="82"/>
      <c r="S272" s="84"/>
      <c r="T272" s="84"/>
      <c r="U272" s="78"/>
      <c r="V272" s="85"/>
      <c r="W272" s="78"/>
      <c r="X272" s="78"/>
      <c r="Y272" s="76"/>
      <c r="Z272" s="76"/>
      <c r="AA272" s="86"/>
    </row>
    <row r="273" spans="2:27" s="64" customFormat="1" ht="15" customHeight="1">
      <c r="B273" s="76" t="s">
        <v>633</v>
      </c>
      <c r="C273" s="77" t="s">
        <v>1667</v>
      </c>
      <c r="D273" s="78" t="s">
        <v>282</v>
      </c>
      <c r="E273" s="79"/>
      <c r="F273" s="80">
        <v>1</v>
      </c>
      <c r="G273" s="80">
        <f t="shared" si="5"/>
        <v>1</v>
      </c>
      <c r="H273" s="81" t="s">
        <v>283</v>
      </c>
      <c r="I273" s="82"/>
      <c r="J273" s="83"/>
      <c r="K273" s="82"/>
      <c r="L273" s="82">
        <v>46203</v>
      </c>
      <c r="M273" s="82"/>
      <c r="S273" s="84"/>
      <c r="T273" s="84"/>
      <c r="U273" s="78"/>
      <c r="V273" s="85"/>
      <c r="W273" s="78"/>
      <c r="X273" s="78"/>
      <c r="Y273" s="76"/>
      <c r="Z273" s="76"/>
      <c r="AA273" s="86"/>
    </row>
    <row r="274" spans="2:27" s="64" customFormat="1" ht="15" customHeight="1">
      <c r="B274" s="76" t="s">
        <v>634</v>
      </c>
      <c r="C274" s="77" t="s">
        <v>1668</v>
      </c>
      <c r="D274" s="78" t="s">
        <v>635</v>
      </c>
      <c r="E274" s="79"/>
      <c r="F274" s="80">
        <v>2</v>
      </c>
      <c r="G274" s="80">
        <f t="shared" si="5"/>
        <v>2</v>
      </c>
      <c r="H274" s="81" t="s">
        <v>502</v>
      </c>
      <c r="I274" s="82"/>
      <c r="J274" s="83"/>
      <c r="K274" s="82"/>
      <c r="L274" s="82">
        <v>46203</v>
      </c>
      <c r="M274" s="82"/>
      <c r="S274" s="84"/>
      <c r="T274" s="84"/>
      <c r="U274" s="78"/>
      <c r="V274" s="85"/>
      <c r="W274" s="78"/>
      <c r="X274" s="78"/>
      <c r="Y274" s="76"/>
      <c r="Z274" s="76"/>
      <c r="AA274" s="86"/>
    </row>
    <row r="275" spans="2:27" s="64" customFormat="1" ht="15" customHeight="1">
      <c r="B275" s="76" t="s">
        <v>636</v>
      </c>
      <c r="C275" s="77" t="s">
        <v>1669</v>
      </c>
      <c r="D275" s="78" t="s">
        <v>637</v>
      </c>
      <c r="E275" s="79"/>
      <c r="F275" s="80">
        <v>1</v>
      </c>
      <c r="G275" s="80">
        <f t="shared" si="5"/>
        <v>1</v>
      </c>
      <c r="H275" s="81" t="s">
        <v>494</v>
      </c>
      <c r="I275" s="82"/>
      <c r="J275" s="83"/>
      <c r="K275" s="82"/>
      <c r="L275" s="82">
        <v>46203</v>
      </c>
      <c r="M275" s="82"/>
      <c r="S275" s="84"/>
      <c r="T275" s="84"/>
      <c r="U275" s="78"/>
      <c r="V275" s="85"/>
      <c r="W275" s="78"/>
      <c r="X275" s="78"/>
      <c r="Y275" s="76"/>
      <c r="Z275" s="76"/>
      <c r="AA275" s="86"/>
    </row>
    <row r="276" spans="2:27" s="64" customFormat="1" ht="15" customHeight="1">
      <c r="B276" s="76" t="s">
        <v>638</v>
      </c>
      <c r="C276" s="77" t="s">
        <v>1670</v>
      </c>
      <c r="D276" s="78" t="s">
        <v>639</v>
      </c>
      <c r="E276" s="79"/>
      <c r="F276" s="80">
        <v>2</v>
      </c>
      <c r="G276" s="80">
        <f t="shared" si="5"/>
        <v>2</v>
      </c>
      <c r="H276" s="81" t="s">
        <v>494</v>
      </c>
      <c r="I276" s="82"/>
      <c r="J276" s="83"/>
      <c r="K276" s="82"/>
      <c r="L276" s="82">
        <v>46203</v>
      </c>
      <c r="M276" s="82"/>
      <c r="S276" s="84"/>
      <c r="T276" s="84"/>
      <c r="U276" s="78"/>
      <c r="V276" s="85"/>
      <c r="W276" s="78"/>
      <c r="X276" s="78"/>
      <c r="Y276" s="76"/>
      <c r="Z276" s="76"/>
      <c r="AA276" s="86"/>
    </row>
    <row r="277" spans="2:27" s="64" customFormat="1" ht="15" customHeight="1">
      <c r="B277" s="76" t="s">
        <v>640</v>
      </c>
      <c r="C277" s="77" t="s">
        <v>1671</v>
      </c>
      <c r="D277" s="78" t="s">
        <v>282</v>
      </c>
      <c r="E277" s="79"/>
      <c r="F277" s="80">
        <v>1</v>
      </c>
      <c r="G277" s="80">
        <f t="shared" ref="G277:G341" si="6">F277-E277</f>
        <v>1</v>
      </c>
      <c r="H277" s="81" t="s">
        <v>283</v>
      </c>
      <c r="I277" s="82"/>
      <c r="J277" s="83"/>
      <c r="K277" s="82"/>
      <c r="L277" s="82">
        <v>46203</v>
      </c>
      <c r="M277" s="82"/>
      <c r="S277" s="84"/>
      <c r="T277" s="84"/>
      <c r="U277" s="78"/>
      <c r="V277" s="85"/>
      <c r="W277" s="78"/>
      <c r="X277" s="78"/>
      <c r="Y277" s="76"/>
      <c r="Z277" s="76"/>
      <c r="AA277" s="86"/>
    </row>
    <row r="278" spans="2:27" s="64" customFormat="1" ht="15" customHeight="1">
      <c r="B278" s="76" t="s">
        <v>641</v>
      </c>
      <c r="C278" s="77" t="s">
        <v>1671</v>
      </c>
      <c r="D278" s="78" t="s">
        <v>282</v>
      </c>
      <c r="E278" s="79"/>
      <c r="F278" s="80">
        <v>3</v>
      </c>
      <c r="G278" s="80">
        <f t="shared" si="6"/>
        <v>3</v>
      </c>
      <c r="H278" s="81" t="s">
        <v>283</v>
      </c>
      <c r="I278" s="82"/>
      <c r="J278" s="83"/>
      <c r="K278" s="82"/>
      <c r="L278" s="82">
        <v>46203</v>
      </c>
      <c r="M278" s="82"/>
      <c r="S278" s="84"/>
      <c r="T278" s="84"/>
      <c r="U278" s="78"/>
      <c r="V278" s="85"/>
      <c r="W278" s="78"/>
      <c r="X278" s="78"/>
      <c r="Y278" s="76"/>
      <c r="Z278" s="76"/>
      <c r="AA278" s="86"/>
    </row>
    <row r="279" spans="2:27" s="64" customFormat="1" ht="15" customHeight="1">
      <c r="B279" s="76" t="s">
        <v>642</v>
      </c>
      <c r="C279" s="77" t="s">
        <v>1672</v>
      </c>
      <c r="D279" s="78" t="s">
        <v>282</v>
      </c>
      <c r="E279" s="79"/>
      <c r="F279" s="80">
        <v>1</v>
      </c>
      <c r="G279" s="80">
        <f t="shared" si="6"/>
        <v>1</v>
      </c>
      <c r="H279" s="81" t="s">
        <v>283</v>
      </c>
      <c r="I279" s="82"/>
      <c r="J279" s="83"/>
      <c r="K279" s="82"/>
      <c r="L279" s="82">
        <v>46203</v>
      </c>
      <c r="M279" s="82"/>
      <c r="S279" s="84"/>
      <c r="T279" s="84"/>
      <c r="U279" s="78"/>
      <c r="V279" s="85"/>
      <c r="W279" s="78"/>
      <c r="X279" s="78"/>
      <c r="Y279" s="76"/>
      <c r="Z279" s="76"/>
      <c r="AA279" s="86"/>
    </row>
    <row r="280" spans="2:27" s="64" customFormat="1" ht="15" customHeight="1">
      <c r="B280" s="76" t="s">
        <v>643</v>
      </c>
      <c r="C280" s="77" t="s">
        <v>1673</v>
      </c>
      <c r="D280" s="78" t="s">
        <v>282</v>
      </c>
      <c r="E280" s="79"/>
      <c r="F280" s="80">
        <v>6</v>
      </c>
      <c r="G280" s="80">
        <f t="shared" si="6"/>
        <v>6</v>
      </c>
      <c r="H280" s="81" t="s">
        <v>283</v>
      </c>
      <c r="I280" s="82"/>
      <c r="J280" s="83"/>
      <c r="K280" s="82"/>
      <c r="L280" s="82">
        <v>46203</v>
      </c>
      <c r="M280" s="82"/>
      <c r="S280" s="84"/>
      <c r="T280" s="84"/>
      <c r="U280" s="78"/>
      <c r="V280" s="85"/>
      <c r="W280" s="78"/>
      <c r="X280" s="78"/>
      <c r="Y280" s="76"/>
      <c r="Z280" s="76"/>
      <c r="AA280" s="86"/>
    </row>
    <row r="281" spans="2:27" s="64" customFormat="1" ht="15" customHeight="1">
      <c r="B281" s="76" t="s">
        <v>644</v>
      </c>
      <c r="C281" s="77" t="s">
        <v>1674</v>
      </c>
      <c r="D281" s="78" t="s">
        <v>282</v>
      </c>
      <c r="E281" s="79"/>
      <c r="F281" s="80">
        <v>0</v>
      </c>
      <c r="G281" s="80">
        <f t="shared" si="6"/>
        <v>0</v>
      </c>
      <c r="H281" s="81" t="s">
        <v>283</v>
      </c>
      <c r="I281" s="82"/>
      <c r="J281" s="83"/>
      <c r="K281" s="82"/>
      <c r="L281" s="82">
        <v>46241</v>
      </c>
      <c r="M281" s="82"/>
      <c r="S281" s="84"/>
      <c r="T281" s="84"/>
      <c r="U281" s="78"/>
      <c r="V281" s="85"/>
      <c r="W281" s="78"/>
      <c r="X281" s="78"/>
      <c r="Y281" s="76"/>
      <c r="Z281" s="76"/>
      <c r="AA281" s="86"/>
    </row>
    <row r="282" spans="2:27" s="64" customFormat="1" ht="15" customHeight="1">
      <c r="B282" s="76" t="s">
        <v>645</v>
      </c>
      <c r="C282" s="77" t="s">
        <v>1675</v>
      </c>
      <c r="D282" s="78" t="s">
        <v>282</v>
      </c>
      <c r="E282" s="79"/>
      <c r="F282" s="80">
        <v>1</v>
      </c>
      <c r="G282" s="80">
        <f t="shared" si="6"/>
        <v>1</v>
      </c>
      <c r="H282" s="81" t="s">
        <v>283</v>
      </c>
      <c r="I282" s="82"/>
      <c r="J282" s="83"/>
      <c r="K282" s="82"/>
      <c r="L282" s="82">
        <v>46203</v>
      </c>
      <c r="M282" s="82"/>
      <c r="S282" s="84"/>
      <c r="T282" s="84"/>
      <c r="U282" s="78"/>
      <c r="V282" s="85"/>
      <c r="W282" s="78"/>
      <c r="X282" s="78"/>
      <c r="Y282" s="76"/>
      <c r="Z282" s="76"/>
      <c r="AA282" s="86"/>
    </row>
    <row r="283" spans="2:27" s="64" customFormat="1" ht="15" customHeight="1">
      <c r="B283" s="76" t="s">
        <v>646</v>
      </c>
      <c r="C283" s="77" t="s">
        <v>1676</v>
      </c>
      <c r="D283" s="78" t="s">
        <v>282</v>
      </c>
      <c r="E283" s="79"/>
      <c r="F283" s="80">
        <v>7</v>
      </c>
      <c r="G283" s="80">
        <f t="shared" si="6"/>
        <v>7</v>
      </c>
      <c r="H283" s="81" t="s">
        <v>631</v>
      </c>
      <c r="I283" s="82"/>
      <c r="J283" s="83"/>
      <c r="K283" s="82"/>
      <c r="L283" s="82">
        <v>46203</v>
      </c>
      <c r="M283" s="82"/>
      <c r="S283" s="84"/>
      <c r="T283" s="84"/>
      <c r="U283" s="78"/>
      <c r="V283" s="85"/>
      <c r="W283" s="78"/>
      <c r="X283" s="78"/>
      <c r="Y283" s="76"/>
      <c r="Z283" s="76"/>
      <c r="AA283" s="86"/>
    </row>
    <row r="284" spans="2:27" s="64" customFormat="1" ht="15" customHeight="1">
      <c r="B284" s="76" t="s">
        <v>647</v>
      </c>
      <c r="C284" s="77" t="s">
        <v>1677</v>
      </c>
      <c r="D284" s="78" t="s">
        <v>282</v>
      </c>
      <c r="E284" s="79"/>
      <c r="F284" s="80">
        <v>2</v>
      </c>
      <c r="G284" s="80">
        <f t="shared" si="6"/>
        <v>2</v>
      </c>
      <c r="H284" s="81" t="s">
        <v>283</v>
      </c>
      <c r="I284" s="82"/>
      <c r="J284" s="83"/>
      <c r="K284" s="82"/>
      <c r="L284" s="82">
        <v>46203</v>
      </c>
      <c r="M284" s="82"/>
      <c r="S284" s="84"/>
      <c r="T284" s="84"/>
      <c r="U284" s="78"/>
      <c r="V284" s="85"/>
      <c r="W284" s="78"/>
      <c r="X284" s="78"/>
      <c r="Y284" s="76"/>
      <c r="Z284" s="76"/>
      <c r="AA284" s="86"/>
    </row>
    <row r="285" spans="2:27" s="64" customFormat="1" ht="15" customHeight="1">
      <c r="B285" s="76" t="s">
        <v>648</v>
      </c>
      <c r="C285" s="77" t="s">
        <v>1678</v>
      </c>
      <c r="D285" s="78" t="s">
        <v>282</v>
      </c>
      <c r="E285" s="79"/>
      <c r="F285" s="80">
        <v>1</v>
      </c>
      <c r="G285" s="80">
        <f t="shared" si="6"/>
        <v>1</v>
      </c>
      <c r="H285" s="81" t="s">
        <v>283</v>
      </c>
      <c r="I285" s="82"/>
      <c r="J285" s="83"/>
      <c r="K285" s="82"/>
      <c r="L285" s="82">
        <v>46203</v>
      </c>
      <c r="M285" s="82"/>
      <c r="S285" s="84"/>
      <c r="T285" s="84"/>
      <c r="U285" s="78"/>
      <c r="V285" s="85"/>
      <c r="W285" s="78"/>
      <c r="X285" s="78"/>
      <c r="Y285" s="76"/>
      <c r="Z285" s="76"/>
      <c r="AA285" s="86"/>
    </row>
    <row r="286" spans="2:27" s="64" customFormat="1" ht="15" customHeight="1">
      <c r="B286" s="76" t="s">
        <v>649</v>
      </c>
      <c r="C286" s="77" t="s">
        <v>1679</v>
      </c>
      <c r="D286" s="78" t="s">
        <v>282</v>
      </c>
      <c r="E286" s="79"/>
      <c r="F286" s="80">
        <v>4</v>
      </c>
      <c r="G286" s="80">
        <f t="shared" si="6"/>
        <v>4</v>
      </c>
      <c r="H286" s="81" t="s">
        <v>631</v>
      </c>
      <c r="I286" s="82"/>
      <c r="J286" s="83"/>
      <c r="K286" s="82"/>
      <c r="L286" s="82">
        <v>46203</v>
      </c>
      <c r="M286" s="82"/>
      <c r="S286" s="84"/>
      <c r="T286" s="84"/>
      <c r="U286" s="78"/>
      <c r="V286" s="85"/>
      <c r="W286" s="78"/>
      <c r="X286" s="78"/>
      <c r="Y286" s="76"/>
      <c r="Z286" s="76"/>
      <c r="AA286" s="86"/>
    </row>
    <row r="287" spans="2:27" s="64" customFormat="1" ht="15" customHeight="1">
      <c r="B287" s="76" t="s">
        <v>650</v>
      </c>
      <c r="C287" s="77" t="s">
        <v>1680</v>
      </c>
      <c r="D287" s="78" t="s">
        <v>282</v>
      </c>
      <c r="E287" s="79"/>
      <c r="F287" s="80">
        <v>15</v>
      </c>
      <c r="G287" s="80">
        <f t="shared" si="6"/>
        <v>15</v>
      </c>
      <c r="H287" s="81" t="s">
        <v>283</v>
      </c>
      <c r="I287" s="82"/>
      <c r="J287" s="83"/>
      <c r="K287" s="82"/>
      <c r="L287" s="82">
        <v>46203</v>
      </c>
      <c r="M287" s="82"/>
      <c r="S287" s="84"/>
      <c r="T287" s="84"/>
      <c r="U287" s="78"/>
      <c r="V287" s="85"/>
      <c r="W287" s="78"/>
      <c r="X287" s="78"/>
      <c r="Y287" s="76"/>
      <c r="Z287" s="76"/>
      <c r="AA287" s="86"/>
    </row>
    <row r="288" spans="2:27" s="64" customFormat="1" ht="15" customHeight="1">
      <c r="B288" s="76" t="s">
        <v>651</v>
      </c>
      <c r="C288" s="77" t="s">
        <v>1681</v>
      </c>
      <c r="D288" s="78" t="s">
        <v>282</v>
      </c>
      <c r="E288" s="79"/>
      <c r="F288" s="80">
        <v>1</v>
      </c>
      <c r="G288" s="80">
        <f t="shared" si="6"/>
        <v>1</v>
      </c>
      <c r="H288" s="81" t="s">
        <v>631</v>
      </c>
      <c r="I288" s="82"/>
      <c r="J288" s="83"/>
      <c r="K288" s="82"/>
      <c r="L288" s="82">
        <v>46203</v>
      </c>
      <c r="M288" s="82"/>
      <c r="S288" s="84"/>
      <c r="T288" s="84"/>
      <c r="U288" s="78"/>
      <c r="V288" s="85"/>
      <c r="W288" s="78"/>
      <c r="X288" s="78"/>
      <c r="Y288" s="76"/>
      <c r="Z288" s="76"/>
      <c r="AA288" s="86"/>
    </row>
    <row r="289" spans="2:27" s="64" customFormat="1" ht="15" customHeight="1">
      <c r="B289" s="76" t="s">
        <v>652</v>
      </c>
      <c r="C289" s="77" t="s">
        <v>1682</v>
      </c>
      <c r="D289" s="78" t="s">
        <v>282</v>
      </c>
      <c r="E289" s="79"/>
      <c r="F289" s="80">
        <v>4</v>
      </c>
      <c r="G289" s="80">
        <f t="shared" si="6"/>
        <v>4</v>
      </c>
      <c r="H289" s="81" t="s">
        <v>544</v>
      </c>
      <c r="I289" s="82"/>
      <c r="J289" s="83"/>
      <c r="K289" s="82"/>
      <c r="L289" s="82">
        <v>46203</v>
      </c>
      <c r="M289" s="82"/>
      <c r="S289" s="84"/>
      <c r="T289" s="84"/>
      <c r="U289" s="78"/>
      <c r="V289" s="85"/>
      <c r="W289" s="78"/>
      <c r="X289" s="78"/>
      <c r="Y289" s="76"/>
      <c r="Z289" s="76"/>
      <c r="AA289" s="86"/>
    </row>
    <row r="290" spans="2:27" s="64" customFormat="1" ht="15" customHeight="1">
      <c r="B290" s="76" t="s">
        <v>653</v>
      </c>
      <c r="C290" s="77" t="s">
        <v>1683</v>
      </c>
      <c r="D290" s="78" t="s">
        <v>282</v>
      </c>
      <c r="E290" s="79"/>
      <c r="F290" s="80">
        <v>1</v>
      </c>
      <c r="G290" s="80">
        <f t="shared" si="6"/>
        <v>1</v>
      </c>
      <c r="H290" s="81" t="s">
        <v>544</v>
      </c>
      <c r="I290" s="82"/>
      <c r="J290" s="83"/>
      <c r="K290" s="82"/>
      <c r="L290" s="82">
        <v>46203</v>
      </c>
      <c r="M290" s="82"/>
      <c r="S290" s="84"/>
      <c r="T290" s="84"/>
      <c r="U290" s="78"/>
      <c r="V290" s="85"/>
      <c r="W290" s="78"/>
      <c r="X290" s="78"/>
      <c r="Y290" s="76"/>
      <c r="Z290" s="76"/>
      <c r="AA290" s="86"/>
    </row>
    <row r="291" spans="2:27" s="64" customFormat="1" ht="15" customHeight="1">
      <c r="B291" s="76" t="s">
        <v>654</v>
      </c>
      <c r="C291" s="77" t="s">
        <v>1684</v>
      </c>
      <c r="D291" s="78" t="s">
        <v>282</v>
      </c>
      <c r="E291" s="79"/>
      <c r="F291" s="80">
        <v>1</v>
      </c>
      <c r="G291" s="80">
        <f t="shared" si="6"/>
        <v>1</v>
      </c>
      <c r="H291" s="81" t="s">
        <v>544</v>
      </c>
      <c r="I291" s="82"/>
      <c r="J291" s="83"/>
      <c r="K291" s="82"/>
      <c r="L291" s="82">
        <v>46203</v>
      </c>
      <c r="M291" s="82"/>
      <c r="S291" s="84"/>
      <c r="T291" s="84"/>
      <c r="U291" s="78"/>
      <c r="V291" s="85"/>
      <c r="W291" s="78"/>
      <c r="X291" s="78"/>
      <c r="Y291" s="76"/>
      <c r="Z291" s="76"/>
      <c r="AA291" s="86"/>
    </row>
    <row r="292" spans="2:27" s="64" customFormat="1" ht="15" customHeight="1">
      <c r="B292" s="76" t="s">
        <v>655</v>
      </c>
      <c r="C292" s="77" t="s">
        <v>1685</v>
      </c>
      <c r="D292" s="78" t="s">
        <v>282</v>
      </c>
      <c r="E292" s="79"/>
      <c r="F292" s="80">
        <v>1</v>
      </c>
      <c r="G292" s="80">
        <f t="shared" si="6"/>
        <v>1</v>
      </c>
      <c r="H292" s="81" t="s">
        <v>283</v>
      </c>
      <c r="I292" s="82"/>
      <c r="J292" s="83"/>
      <c r="K292" s="82"/>
      <c r="L292" s="82">
        <v>46203</v>
      </c>
      <c r="M292" s="82"/>
      <c r="S292" s="84"/>
      <c r="T292" s="84"/>
      <c r="U292" s="78"/>
      <c r="V292" s="85"/>
      <c r="W292" s="78"/>
      <c r="X292" s="78"/>
      <c r="Y292" s="76"/>
      <c r="Z292" s="76"/>
      <c r="AA292" s="86"/>
    </row>
    <row r="293" spans="2:27" s="64" customFormat="1" ht="15" customHeight="1">
      <c r="B293" s="76" t="s">
        <v>656</v>
      </c>
      <c r="C293" s="77" t="s">
        <v>1686</v>
      </c>
      <c r="D293" s="78" t="s">
        <v>657</v>
      </c>
      <c r="E293" s="79"/>
      <c r="F293" s="80">
        <v>1</v>
      </c>
      <c r="G293" s="80">
        <f t="shared" si="6"/>
        <v>1</v>
      </c>
      <c r="H293" s="81" t="s">
        <v>319</v>
      </c>
      <c r="I293" s="82"/>
      <c r="J293" s="83"/>
      <c r="K293" s="82"/>
      <c r="L293" s="82">
        <v>46203</v>
      </c>
      <c r="M293" s="82"/>
      <c r="S293" s="84"/>
      <c r="T293" s="84"/>
      <c r="U293" s="78"/>
      <c r="V293" s="85"/>
      <c r="W293" s="78"/>
      <c r="X293" s="78"/>
      <c r="Y293" s="76"/>
      <c r="Z293" s="76"/>
      <c r="AA293" s="86"/>
    </row>
    <row r="294" spans="2:27" s="64" customFormat="1" ht="15" customHeight="1">
      <c r="B294" s="76" t="s">
        <v>658</v>
      </c>
      <c r="C294" s="77" t="s">
        <v>1687</v>
      </c>
      <c r="D294" s="78" t="s">
        <v>525</v>
      </c>
      <c r="E294" s="79"/>
      <c r="F294" s="80">
        <v>1</v>
      </c>
      <c r="G294" s="80">
        <f t="shared" si="6"/>
        <v>1</v>
      </c>
      <c r="H294" s="81" t="s">
        <v>319</v>
      </c>
      <c r="I294" s="82"/>
      <c r="J294" s="83"/>
      <c r="K294" s="82"/>
      <c r="L294" s="82">
        <v>46203</v>
      </c>
      <c r="M294" s="82"/>
      <c r="S294" s="84"/>
      <c r="T294" s="84"/>
      <c r="U294" s="78"/>
      <c r="V294" s="85"/>
      <c r="W294" s="78"/>
      <c r="X294" s="78"/>
      <c r="Y294" s="76"/>
      <c r="Z294" s="76"/>
      <c r="AA294" s="86"/>
    </row>
    <row r="295" spans="2:27" s="64" customFormat="1" ht="15" customHeight="1">
      <c r="B295" s="76" t="s">
        <v>659</v>
      </c>
      <c r="C295" s="77" t="s">
        <v>1688</v>
      </c>
      <c r="D295" s="78" t="s">
        <v>660</v>
      </c>
      <c r="E295" s="79"/>
      <c r="F295" s="80">
        <v>8</v>
      </c>
      <c r="G295" s="80">
        <f t="shared" si="6"/>
        <v>8</v>
      </c>
      <c r="H295" s="81" t="s">
        <v>316</v>
      </c>
      <c r="I295" s="82"/>
      <c r="J295" s="83"/>
      <c r="K295" s="82"/>
      <c r="L295" s="82">
        <v>46203</v>
      </c>
      <c r="M295" s="82"/>
      <c r="S295" s="84"/>
      <c r="T295" s="84"/>
      <c r="U295" s="78"/>
      <c r="V295" s="85"/>
      <c r="W295" s="78"/>
      <c r="X295" s="78"/>
      <c r="Y295" s="76"/>
      <c r="Z295" s="76"/>
      <c r="AA295" s="86"/>
    </row>
    <row r="296" spans="2:27" s="64" customFormat="1" ht="15" customHeight="1">
      <c r="B296" s="76" t="s">
        <v>661</v>
      </c>
      <c r="C296" s="77" t="s">
        <v>1689</v>
      </c>
      <c r="D296" s="78" t="s">
        <v>662</v>
      </c>
      <c r="E296" s="79"/>
      <c r="F296" s="80">
        <v>1</v>
      </c>
      <c r="G296" s="80">
        <f t="shared" si="6"/>
        <v>1</v>
      </c>
      <c r="H296" s="81" t="s">
        <v>502</v>
      </c>
      <c r="I296" s="82"/>
      <c r="J296" s="83"/>
      <c r="K296" s="82"/>
      <c r="L296" s="82">
        <v>46203</v>
      </c>
      <c r="M296" s="82"/>
      <c r="S296" s="84"/>
      <c r="T296" s="84"/>
      <c r="U296" s="78"/>
      <c r="V296" s="85"/>
      <c r="W296" s="78"/>
      <c r="X296" s="78"/>
      <c r="Y296" s="76"/>
      <c r="Z296" s="76"/>
      <c r="AA296" s="86"/>
    </row>
    <row r="297" spans="2:27" s="64" customFormat="1" ht="15" customHeight="1">
      <c r="B297" s="76" t="s">
        <v>663</v>
      </c>
      <c r="C297" s="77" t="s">
        <v>1690</v>
      </c>
      <c r="D297" s="78" t="s">
        <v>282</v>
      </c>
      <c r="E297" s="79"/>
      <c r="F297" s="80">
        <v>1</v>
      </c>
      <c r="G297" s="80">
        <f t="shared" si="6"/>
        <v>1</v>
      </c>
      <c r="H297" s="81" t="s">
        <v>631</v>
      </c>
      <c r="I297" s="82"/>
      <c r="J297" s="83"/>
      <c r="K297" s="82"/>
      <c r="L297" s="82">
        <v>46203</v>
      </c>
      <c r="M297" s="82"/>
      <c r="S297" s="84"/>
      <c r="T297" s="84"/>
      <c r="U297" s="78"/>
      <c r="V297" s="85"/>
      <c r="W297" s="78"/>
      <c r="X297" s="78"/>
      <c r="Y297" s="76"/>
      <c r="Z297" s="76"/>
      <c r="AA297" s="86"/>
    </row>
    <row r="298" spans="2:27" s="64" customFormat="1" ht="15" customHeight="1">
      <c r="B298" s="76" t="s">
        <v>664</v>
      </c>
      <c r="C298" s="77" t="s">
        <v>1691</v>
      </c>
      <c r="D298" s="78" t="s">
        <v>282</v>
      </c>
      <c r="E298" s="79"/>
      <c r="F298" s="80">
        <v>8</v>
      </c>
      <c r="G298" s="80">
        <f t="shared" si="6"/>
        <v>8</v>
      </c>
      <c r="H298" s="81" t="s">
        <v>631</v>
      </c>
      <c r="I298" s="82"/>
      <c r="J298" s="83"/>
      <c r="K298" s="82"/>
      <c r="L298" s="82">
        <v>46203</v>
      </c>
      <c r="M298" s="82"/>
      <c r="S298" s="84"/>
      <c r="T298" s="84"/>
      <c r="U298" s="78"/>
      <c r="V298" s="85"/>
      <c r="W298" s="78"/>
      <c r="X298" s="78"/>
      <c r="Y298" s="76"/>
      <c r="Z298" s="76"/>
      <c r="AA298" s="86"/>
    </row>
    <row r="299" spans="2:27" s="64" customFormat="1" ht="15" customHeight="1">
      <c r="B299" s="76" t="s">
        <v>665</v>
      </c>
      <c r="C299" s="77" t="s">
        <v>1692</v>
      </c>
      <c r="D299" s="78" t="s">
        <v>282</v>
      </c>
      <c r="E299" s="79"/>
      <c r="F299" s="80">
        <v>9</v>
      </c>
      <c r="G299" s="80">
        <f t="shared" si="6"/>
        <v>9</v>
      </c>
      <c r="H299" s="81" t="s">
        <v>631</v>
      </c>
      <c r="I299" s="82"/>
      <c r="J299" s="83"/>
      <c r="K299" s="82"/>
      <c r="L299" s="82">
        <v>46203</v>
      </c>
      <c r="M299" s="82"/>
      <c r="S299" s="84"/>
      <c r="T299" s="84"/>
      <c r="U299" s="78"/>
      <c r="V299" s="85"/>
      <c r="W299" s="78"/>
      <c r="X299" s="78"/>
      <c r="Y299" s="76"/>
      <c r="Z299" s="76"/>
      <c r="AA299" s="86"/>
    </row>
    <row r="300" spans="2:27" s="64" customFormat="1" ht="15" customHeight="1">
      <c r="B300" s="76" t="s">
        <v>666</v>
      </c>
      <c r="C300" s="77" t="s">
        <v>1693</v>
      </c>
      <c r="D300" s="78" t="s">
        <v>282</v>
      </c>
      <c r="E300" s="79"/>
      <c r="F300" s="80">
        <v>6</v>
      </c>
      <c r="G300" s="80">
        <f t="shared" si="6"/>
        <v>6</v>
      </c>
      <c r="H300" s="81" t="s">
        <v>631</v>
      </c>
      <c r="I300" s="82"/>
      <c r="J300" s="83"/>
      <c r="K300" s="82"/>
      <c r="L300" s="82">
        <v>46203</v>
      </c>
      <c r="M300" s="82"/>
      <c r="S300" s="84"/>
      <c r="T300" s="84"/>
      <c r="U300" s="78"/>
      <c r="V300" s="85"/>
      <c r="W300" s="78"/>
      <c r="X300" s="78"/>
      <c r="Y300" s="76"/>
      <c r="Z300" s="76"/>
      <c r="AA300" s="86"/>
    </row>
    <row r="301" spans="2:27" s="64" customFormat="1" ht="15" customHeight="1">
      <c r="B301" s="76" t="s">
        <v>667</v>
      </c>
      <c r="C301" s="77" t="s">
        <v>1693</v>
      </c>
      <c r="D301" s="78" t="s">
        <v>282</v>
      </c>
      <c r="E301" s="79"/>
      <c r="F301" s="80">
        <v>1</v>
      </c>
      <c r="G301" s="80">
        <f t="shared" si="6"/>
        <v>1</v>
      </c>
      <c r="H301" s="81" t="s">
        <v>283</v>
      </c>
      <c r="I301" s="82"/>
      <c r="J301" s="83"/>
      <c r="K301" s="82"/>
      <c r="L301" s="82">
        <v>46203</v>
      </c>
      <c r="M301" s="82"/>
      <c r="S301" s="84"/>
      <c r="T301" s="84"/>
      <c r="U301" s="78"/>
      <c r="V301" s="85"/>
      <c r="W301" s="78"/>
      <c r="X301" s="78"/>
      <c r="Y301" s="76"/>
      <c r="Z301" s="76"/>
      <c r="AA301" s="86"/>
    </row>
    <row r="302" spans="2:27" s="64" customFormat="1" ht="15" customHeight="1">
      <c r="B302" s="76" t="s">
        <v>668</v>
      </c>
      <c r="C302" s="77" t="s">
        <v>1694</v>
      </c>
      <c r="D302" s="78" t="s">
        <v>282</v>
      </c>
      <c r="E302" s="79"/>
      <c r="F302" s="80">
        <v>1</v>
      </c>
      <c r="G302" s="80">
        <f t="shared" si="6"/>
        <v>1</v>
      </c>
      <c r="H302" s="81" t="s">
        <v>502</v>
      </c>
      <c r="I302" s="82"/>
      <c r="J302" s="83"/>
      <c r="K302" s="82"/>
      <c r="L302" s="82">
        <v>46203</v>
      </c>
      <c r="M302" s="82"/>
      <c r="S302" s="84"/>
      <c r="T302" s="84"/>
      <c r="U302" s="78"/>
      <c r="V302" s="85"/>
      <c r="W302" s="78"/>
      <c r="X302" s="78"/>
      <c r="Y302" s="76"/>
      <c r="Z302" s="76"/>
      <c r="AA302" s="86"/>
    </row>
    <row r="303" spans="2:27" s="64" customFormat="1" ht="15" customHeight="1">
      <c r="B303" s="76" t="s">
        <v>669</v>
      </c>
      <c r="C303" s="77" t="s">
        <v>1695</v>
      </c>
      <c r="D303" s="78" t="s">
        <v>282</v>
      </c>
      <c r="E303" s="79"/>
      <c r="F303" s="80">
        <v>1</v>
      </c>
      <c r="G303" s="80">
        <f t="shared" si="6"/>
        <v>1</v>
      </c>
      <c r="H303" s="81" t="s">
        <v>283</v>
      </c>
      <c r="I303" s="82"/>
      <c r="J303" s="83"/>
      <c r="K303" s="82"/>
      <c r="L303" s="82">
        <v>46203</v>
      </c>
      <c r="M303" s="82"/>
      <c r="S303" s="84"/>
      <c r="T303" s="84"/>
      <c r="U303" s="78"/>
      <c r="V303" s="85"/>
      <c r="W303" s="78"/>
      <c r="X303" s="78"/>
      <c r="Y303" s="76"/>
      <c r="Z303" s="76"/>
      <c r="AA303" s="86"/>
    </row>
    <row r="304" spans="2:27" s="64" customFormat="1" ht="15" customHeight="1">
      <c r="B304" s="76" t="s">
        <v>670</v>
      </c>
      <c r="C304" s="77" t="s">
        <v>1696</v>
      </c>
      <c r="D304" s="78" t="s">
        <v>282</v>
      </c>
      <c r="E304" s="79"/>
      <c r="F304" s="80">
        <v>2</v>
      </c>
      <c r="G304" s="80">
        <f t="shared" si="6"/>
        <v>2</v>
      </c>
      <c r="H304" s="81" t="s">
        <v>283</v>
      </c>
      <c r="I304" s="82"/>
      <c r="J304" s="83"/>
      <c r="K304" s="82"/>
      <c r="L304" s="82">
        <v>46203</v>
      </c>
      <c r="M304" s="82"/>
      <c r="S304" s="84"/>
      <c r="T304" s="84"/>
      <c r="U304" s="78"/>
      <c r="V304" s="85"/>
      <c r="W304" s="78"/>
      <c r="X304" s="78"/>
      <c r="Y304" s="76"/>
      <c r="Z304" s="76"/>
      <c r="AA304" s="86"/>
    </row>
    <row r="305" spans="2:27" s="64" customFormat="1" ht="15" customHeight="1">
      <c r="B305" s="76" t="s">
        <v>671</v>
      </c>
      <c r="C305" s="77" t="s">
        <v>1697</v>
      </c>
      <c r="D305" s="78" t="s">
        <v>672</v>
      </c>
      <c r="E305" s="79"/>
      <c r="F305" s="80">
        <v>1</v>
      </c>
      <c r="G305" s="80">
        <f t="shared" si="6"/>
        <v>1</v>
      </c>
      <c r="H305" s="81" t="s">
        <v>494</v>
      </c>
      <c r="I305" s="82"/>
      <c r="J305" s="83"/>
      <c r="K305" s="82"/>
      <c r="L305" s="82">
        <v>46203</v>
      </c>
      <c r="M305" s="82"/>
      <c r="S305" s="84"/>
      <c r="T305" s="84"/>
      <c r="U305" s="78"/>
      <c r="V305" s="85"/>
      <c r="W305" s="78"/>
      <c r="X305" s="78"/>
      <c r="Y305" s="76"/>
      <c r="Z305" s="76"/>
      <c r="AA305" s="86"/>
    </row>
    <row r="306" spans="2:27" s="64" customFormat="1" ht="15" customHeight="1">
      <c r="B306" s="76" t="s">
        <v>673</v>
      </c>
      <c r="C306" s="77" t="s">
        <v>1698</v>
      </c>
      <c r="D306" s="78" t="s">
        <v>674</v>
      </c>
      <c r="E306" s="79"/>
      <c r="F306" s="80">
        <v>1</v>
      </c>
      <c r="G306" s="80">
        <f t="shared" si="6"/>
        <v>1</v>
      </c>
      <c r="H306" s="81" t="s">
        <v>172</v>
      </c>
      <c r="I306" s="82"/>
      <c r="J306" s="83"/>
      <c r="K306" s="82"/>
      <c r="L306" s="82">
        <v>46203</v>
      </c>
      <c r="M306" s="82"/>
      <c r="S306" s="84"/>
      <c r="T306" s="84"/>
      <c r="U306" s="78"/>
      <c r="V306" s="85"/>
      <c r="W306" s="78"/>
      <c r="X306" s="78"/>
      <c r="Y306" s="76"/>
      <c r="Z306" s="76"/>
      <c r="AA306" s="86"/>
    </row>
    <row r="307" spans="2:27" s="64" customFormat="1" ht="15" customHeight="1">
      <c r="B307" s="76" t="s">
        <v>675</v>
      </c>
      <c r="C307" s="77" t="s">
        <v>1699</v>
      </c>
      <c r="D307" s="78" t="s">
        <v>676</v>
      </c>
      <c r="E307" s="79"/>
      <c r="F307" s="80">
        <v>1</v>
      </c>
      <c r="G307" s="80">
        <f t="shared" si="6"/>
        <v>1</v>
      </c>
      <c r="H307" s="81" t="s">
        <v>494</v>
      </c>
      <c r="I307" s="82"/>
      <c r="J307" s="83"/>
      <c r="K307" s="82"/>
      <c r="L307" s="82">
        <v>46203</v>
      </c>
      <c r="M307" s="82"/>
      <c r="S307" s="84"/>
      <c r="T307" s="84"/>
      <c r="U307" s="78"/>
      <c r="V307" s="85"/>
      <c r="W307" s="78"/>
      <c r="X307" s="78"/>
      <c r="Y307" s="76"/>
      <c r="Z307" s="76"/>
      <c r="AA307" s="86"/>
    </row>
    <row r="308" spans="2:27" s="64" customFormat="1" ht="15" customHeight="1">
      <c r="B308" s="76" t="s">
        <v>677</v>
      </c>
      <c r="C308" s="77" t="s">
        <v>1700</v>
      </c>
      <c r="D308" s="78"/>
      <c r="E308" s="79"/>
      <c r="F308" s="80">
        <v>3</v>
      </c>
      <c r="G308" s="80">
        <f t="shared" si="6"/>
        <v>3</v>
      </c>
      <c r="H308" s="81" t="s">
        <v>488</v>
      </c>
      <c r="I308" s="82"/>
      <c r="J308" s="83"/>
      <c r="K308" s="82"/>
      <c r="L308" s="82">
        <v>46203</v>
      </c>
      <c r="M308" s="82"/>
      <c r="S308" s="84"/>
      <c r="T308" s="84"/>
      <c r="U308" s="78"/>
      <c r="V308" s="85"/>
      <c r="W308" s="78"/>
      <c r="X308" s="78"/>
      <c r="Y308" s="76"/>
      <c r="Z308" s="76"/>
      <c r="AA308" s="86"/>
    </row>
    <row r="309" spans="2:27" s="64" customFormat="1" ht="15" customHeight="1">
      <c r="B309" s="76" t="s">
        <v>678</v>
      </c>
      <c r="C309" s="77" t="s">
        <v>1701</v>
      </c>
      <c r="D309" s="78" t="s">
        <v>282</v>
      </c>
      <c r="E309" s="79"/>
      <c r="F309" s="80">
        <v>1</v>
      </c>
      <c r="G309" s="80">
        <f t="shared" si="6"/>
        <v>1</v>
      </c>
      <c r="H309" s="81" t="s">
        <v>486</v>
      </c>
      <c r="I309" s="82"/>
      <c r="J309" s="83"/>
      <c r="K309" s="82"/>
      <c r="L309" s="82">
        <v>46203</v>
      </c>
      <c r="M309" s="82"/>
      <c r="S309" s="84"/>
      <c r="T309" s="84"/>
      <c r="U309" s="78"/>
      <c r="V309" s="85"/>
      <c r="W309" s="78"/>
      <c r="X309" s="78"/>
      <c r="Y309" s="76"/>
      <c r="Z309" s="76"/>
      <c r="AA309" s="86"/>
    </row>
    <row r="310" spans="2:27" s="64" customFormat="1" ht="15" customHeight="1">
      <c r="B310" s="76" t="s">
        <v>679</v>
      </c>
      <c r="C310" s="77" t="s">
        <v>1702</v>
      </c>
      <c r="D310" s="78" t="s">
        <v>282</v>
      </c>
      <c r="E310" s="79"/>
      <c r="F310" s="80">
        <v>1</v>
      </c>
      <c r="G310" s="80">
        <f t="shared" si="6"/>
        <v>1</v>
      </c>
      <c r="H310" s="81" t="s">
        <v>364</v>
      </c>
      <c r="I310" s="82"/>
      <c r="J310" s="83"/>
      <c r="K310" s="82"/>
      <c r="L310" s="82">
        <v>46203</v>
      </c>
      <c r="M310" s="82"/>
      <c r="S310" s="84"/>
      <c r="T310" s="84"/>
      <c r="U310" s="78"/>
      <c r="V310" s="85"/>
      <c r="W310" s="78"/>
      <c r="X310" s="78"/>
      <c r="Y310" s="76"/>
      <c r="Z310" s="76"/>
      <c r="AA310" s="86"/>
    </row>
    <row r="311" spans="2:27" s="64" customFormat="1" ht="15" customHeight="1">
      <c r="B311" s="76" t="s">
        <v>680</v>
      </c>
      <c r="C311" s="77" t="s">
        <v>1703</v>
      </c>
      <c r="D311" s="78"/>
      <c r="E311" s="79"/>
      <c r="F311" s="80">
        <v>1</v>
      </c>
      <c r="G311" s="80">
        <f t="shared" si="6"/>
        <v>1</v>
      </c>
      <c r="H311" s="81" t="s">
        <v>681</v>
      </c>
      <c r="I311" s="82"/>
      <c r="J311" s="83"/>
      <c r="K311" s="82"/>
      <c r="L311" s="82">
        <v>46203</v>
      </c>
      <c r="M311" s="82"/>
      <c r="S311" s="84"/>
      <c r="T311" s="84"/>
      <c r="U311" s="78"/>
      <c r="V311" s="85"/>
      <c r="W311" s="78"/>
      <c r="X311" s="78"/>
      <c r="Y311" s="76"/>
      <c r="Z311" s="76"/>
      <c r="AA311" s="86"/>
    </row>
    <row r="312" spans="2:27" s="64" customFormat="1" ht="15" customHeight="1">
      <c r="B312" s="76" t="s">
        <v>682</v>
      </c>
      <c r="C312" s="77" t="s">
        <v>1704</v>
      </c>
      <c r="D312" s="78" t="s">
        <v>683</v>
      </c>
      <c r="E312" s="79"/>
      <c r="F312" s="80">
        <v>1</v>
      </c>
      <c r="G312" s="80">
        <f t="shared" si="6"/>
        <v>1</v>
      </c>
      <c r="H312" s="81" t="s">
        <v>681</v>
      </c>
      <c r="I312" s="82"/>
      <c r="J312" s="83"/>
      <c r="K312" s="82"/>
      <c r="L312" s="82">
        <v>46203</v>
      </c>
      <c r="M312" s="82"/>
      <c r="S312" s="84"/>
      <c r="T312" s="84"/>
      <c r="U312" s="78"/>
      <c r="V312" s="85"/>
      <c r="W312" s="78"/>
      <c r="X312" s="78"/>
      <c r="Y312" s="76"/>
      <c r="Z312" s="76"/>
      <c r="AA312" s="86"/>
    </row>
    <row r="313" spans="2:27" s="64" customFormat="1" ht="15" customHeight="1">
      <c r="B313" s="76" t="s">
        <v>684</v>
      </c>
      <c r="C313" s="77" t="s">
        <v>1705</v>
      </c>
      <c r="D313" s="78" t="s">
        <v>685</v>
      </c>
      <c r="E313" s="79"/>
      <c r="F313" s="80">
        <v>3</v>
      </c>
      <c r="G313" s="80">
        <f t="shared" si="6"/>
        <v>3</v>
      </c>
      <c r="H313" s="81" t="s">
        <v>276</v>
      </c>
      <c r="I313" s="82"/>
      <c r="J313" s="83"/>
      <c r="K313" s="82"/>
      <c r="L313" s="82">
        <v>46203</v>
      </c>
      <c r="M313" s="82"/>
      <c r="S313" s="84"/>
      <c r="T313" s="84"/>
      <c r="U313" s="78"/>
      <c r="V313" s="85"/>
      <c r="W313" s="78"/>
      <c r="X313" s="78"/>
      <c r="Y313" s="76"/>
      <c r="Z313" s="76"/>
      <c r="AA313" s="86"/>
    </row>
    <row r="314" spans="2:27" s="64" customFormat="1" ht="15" customHeight="1">
      <c r="B314" s="76" t="s">
        <v>686</v>
      </c>
      <c r="C314" s="77" t="s">
        <v>1706</v>
      </c>
      <c r="D314" s="78" t="s">
        <v>685</v>
      </c>
      <c r="E314" s="79"/>
      <c r="F314" s="80">
        <v>2</v>
      </c>
      <c r="G314" s="80">
        <f t="shared" si="6"/>
        <v>2</v>
      </c>
      <c r="H314" s="81" t="s">
        <v>276</v>
      </c>
      <c r="I314" s="82"/>
      <c r="J314" s="83"/>
      <c r="K314" s="82"/>
      <c r="L314" s="82">
        <v>46203</v>
      </c>
      <c r="M314" s="82"/>
      <c r="S314" s="84"/>
      <c r="T314" s="84"/>
      <c r="U314" s="78"/>
      <c r="V314" s="85"/>
      <c r="W314" s="78"/>
      <c r="X314" s="78"/>
      <c r="Y314" s="76"/>
      <c r="Z314" s="76"/>
      <c r="AA314" s="86"/>
    </row>
    <row r="315" spans="2:27" s="64" customFormat="1" ht="15" customHeight="1">
      <c r="B315" s="76" t="s">
        <v>275</v>
      </c>
      <c r="C315" s="77" t="s">
        <v>1707</v>
      </c>
      <c r="D315" s="78" t="s">
        <v>1708</v>
      </c>
      <c r="E315" s="79">
        <v>2</v>
      </c>
      <c r="F315" s="80">
        <v>3</v>
      </c>
      <c r="G315" s="80">
        <f t="shared" si="6"/>
        <v>1</v>
      </c>
      <c r="H315" s="81" t="s">
        <v>276</v>
      </c>
      <c r="I315" s="82"/>
      <c r="J315" s="83">
        <v>2</v>
      </c>
      <c r="K315" s="111" t="s">
        <v>2252</v>
      </c>
      <c r="L315" s="82">
        <v>46203</v>
      </c>
      <c r="M315" s="82" t="s">
        <v>1608</v>
      </c>
      <c r="S315" s="84"/>
      <c r="T315" s="84"/>
      <c r="U315" s="78"/>
      <c r="V315" s="85"/>
      <c r="W315" s="78"/>
      <c r="X315" s="78"/>
      <c r="Y315" s="76"/>
      <c r="Z315" s="76"/>
      <c r="AA315" s="86"/>
    </row>
    <row r="316" spans="2:27" s="64" customFormat="1">
      <c r="B316" s="76" t="s">
        <v>687</v>
      </c>
      <c r="C316" s="77" t="s">
        <v>1709</v>
      </c>
      <c r="D316" s="78"/>
      <c r="E316" s="79"/>
      <c r="F316" s="80">
        <v>94</v>
      </c>
      <c r="G316" s="80">
        <f t="shared" si="6"/>
        <v>94</v>
      </c>
      <c r="H316" s="81" t="s">
        <v>276</v>
      </c>
      <c r="I316" s="82"/>
      <c r="J316" s="83"/>
      <c r="K316" s="82"/>
      <c r="L316" s="82">
        <v>46203</v>
      </c>
      <c r="M316" s="82"/>
      <c r="S316" s="84"/>
      <c r="T316" s="84"/>
      <c r="U316" s="78"/>
      <c r="V316" s="85"/>
      <c r="W316" s="78"/>
      <c r="X316" s="78"/>
      <c r="Y316" s="76"/>
      <c r="Z316" s="76"/>
      <c r="AA316" s="86"/>
    </row>
    <row r="317" spans="2:27" s="64" customFormat="1" ht="15" customHeight="1">
      <c r="B317" s="76" t="s">
        <v>688</v>
      </c>
      <c r="C317" s="77" t="s">
        <v>1710</v>
      </c>
      <c r="D317" s="78"/>
      <c r="E317" s="79"/>
      <c r="F317" s="80">
        <v>5</v>
      </c>
      <c r="G317" s="80">
        <f t="shared" si="6"/>
        <v>5</v>
      </c>
      <c r="H317" s="81" t="s">
        <v>276</v>
      </c>
      <c r="I317" s="82"/>
      <c r="J317" s="83"/>
      <c r="K317" s="82"/>
      <c r="L317" s="82">
        <v>46203</v>
      </c>
      <c r="M317" s="82"/>
      <c r="S317" s="84"/>
      <c r="T317" s="84"/>
      <c r="U317" s="78"/>
      <c r="V317" s="85"/>
      <c r="W317" s="78"/>
      <c r="X317" s="78"/>
      <c r="Y317" s="76"/>
      <c r="Z317" s="76"/>
      <c r="AA317" s="86"/>
    </row>
    <row r="318" spans="2:27" s="64" customFormat="1" ht="15" customHeight="1">
      <c r="B318" s="76" t="s">
        <v>689</v>
      </c>
      <c r="C318" s="77" t="s">
        <v>1711</v>
      </c>
      <c r="D318" s="78"/>
      <c r="E318" s="79"/>
      <c r="F318" s="80">
        <v>5</v>
      </c>
      <c r="G318" s="80">
        <f t="shared" si="6"/>
        <v>5</v>
      </c>
      <c r="H318" s="81" t="s">
        <v>276</v>
      </c>
      <c r="I318" s="82"/>
      <c r="J318" s="83"/>
      <c r="K318" s="82"/>
      <c r="L318" s="82">
        <v>46203</v>
      </c>
      <c r="M318" s="82"/>
      <c r="S318" s="84"/>
      <c r="T318" s="84"/>
      <c r="U318" s="78"/>
      <c r="V318" s="85"/>
      <c r="W318" s="78"/>
      <c r="X318" s="78"/>
      <c r="Y318" s="76"/>
      <c r="Z318" s="76"/>
      <c r="AA318" s="86"/>
    </row>
    <row r="319" spans="2:27" s="64" customFormat="1" ht="15" customHeight="1">
      <c r="B319" s="76" t="s">
        <v>690</v>
      </c>
      <c r="C319" s="77" t="s">
        <v>1712</v>
      </c>
      <c r="D319" s="78"/>
      <c r="E319" s="79"/>
      <c r="F319" s="80">
        <v>1</v>
      </c>
      <c r="G319" s="80">
        <f t="shared" si="6"/>
        <v>1</v>
      </c>
      <c r="H319" s="81" t="s">
        <v>276</v>
      </c>
      <c r="I319" s="82"/>
      <c r="J319" s="83"/>
      <c r="K319" s="82"/>
      <c r="L319" s="82">
        <v>46203</v>
      </c>
      <c r="M319" s="82"/>
      <c r="S319" s="84"/>
      <c r="T319" s="84"/>
      <c r="U319" s="78"/>
      <c r="V319" s="85"/>
      <c r="W319" s="78"/>
      <c r="X319" s="78"/>
      <c r="Y319" s="76"/>
      <c r="Z319" s="76"/>
      <c r="AA319" s="86"/>
    </row>
    <row r="320" spans="2:27" s="64" customFormat="1" ht="15" customHeight="1">
      <c r="B320" s="76" t="s">
        <v>691</v>
      </c>
      <c r="C320" s="77" t="s">
        <v>1713</v>
      </c>
      <c r="D320" s="96" t="s">
        <v>1714</v>
      </c>
      <c r="E320" s="79"/>
      <c r="F320" s="80">
        <v>1</v>
      </c>
      <c r="G320" s="80">
        <f t="shared" si="6"/>
        <v>1</v>
      </c>
      <c r="H320" s="81" t="s">
        <v>276</v>
      </c>
      <c r="I320" s="82"/>
      <c r="J320" s="83"/>
      <c r="K320" s="82"/>
      <c r="L320" s="82">
        <v>46203</v>
      </c>
      <c r="M320" s="82"/>
      <c r="S320" s="84"/>
      <c r="T320" s="84"/>
      <c r="U320" s="78"/>
      <c r="V320" s="85"/>
      <c r="W320" s="78"/>
      <c r="X320" s="78"/>
      <c r="Y320" s="76"/>
      <c r="Z320" s="76"/>
      <c r="AA320" s="86"/>
    </row>
    <row r="321" spans="2:27" s="64" customFormat="1" ht="15" customHeight="1">
      <c r="B321" s="76" t="s">
        <v>692</v>
      </c>
      <c r="C321" s="77" t="s">
        <v>1715</v>
      </c>
      <c r="D321" s="78"/>
      <c r="E321" s="79"/>
      <c r="F321" s="80">
        <v>2</v>
      </c>
      <c r="G321" s="80">
        <f t="shared" si="6"/>
        <v>2</v>
      </c>
      <c r="H321" s="81" t="s">
        <v>276</v>
      </c>
      <c r="I321" s="82"/>
      <c r="J321" s="83"/>
      <c r="K321" s="82"/>
      <c r="L321" s="82">
        <v>46203</v>
      </c>
      <c r="M321" s="82"/>
      <c r="S321" s="84"/>
      <c r="T321" s="84"/>
      <c r="U321" s="78"/>
      <c r="V321" s="85"/>
      <c r="W321" s="78"/>
      <c r="X321" s="78"/>
      <c r="Y321" s="76"/>
      <c r="Z321" s="76"/>
      <c r="AA321" s="86"/>
    </row>
    <row r="322" spans="2:27" s="64" customFormat="1" ht="15" customHeight="1">
      <c r="B322" s="76" t="s">
        <v>693</v>
      </c>
      <c r="C322" s="77" t="s">
        <v>1716</v>
      </c>
      <c r="D322" s="78"/>
      <c r="E322" s="79"/>
      <c r="F322" s="80">
        <v>1</v>
      </c>
      <c r="G322" s="80">
        <f t="shared" si="6"/>
        <v>1</v>
      </c>
      <c r="H322" s="81" t="s">
        <v>276</v>
      </c>
      <c r="I322" s="82"/>
      <c r="J322" s="83"/>
      <c r="K322" s="82"/>
      <c r="L322" s="82">
        <v>46203</v>
      </c>
      <c r="M322" s="82"/>
      <c r="S322" s="84"/>
      <c r="T322" s="84"/>
      <c r="U322" s="78"/>
      <c r="V322" s="85"/>
      <c r="W322" s="78"/>
      <c r="X322" s="78"/>
      <c r="Y322" s="76"/>
      <c r="Z322" s="76"/>
      <c r="AA322" s="86"/>
    </row>
    <row r="323" spans="2:27" s="64" customFormat="1" ht="15" customHeight="1">
      <c r="B323" s="76" t="s">
        <v>694</v>
      </c>
      <c r="C323" s="77" t="s">
        <v>1717</v>
      </c>
      <c r="D323" s="78"/>
      <c r="E323" s="79"/>
      <c r="F323" s="80">
        <v>1</v>
      </c>
      <c r="G323" s="80">
        <f t="shared" si="6"/>
        <v>1</v>
      </c>
      <c r="H323" s="81" t="s">
        <v>276</v>
      </c>
      <c r="I323" s="82"/>
      <c r="J323" s="83"/>
      <c r="K323" s="82"/>
      <c r="L323" s="82">
        <v>46203</v>
      </c>
      <c r="M323" s="82"/>
      <c r="S323" s="84"/>
      <c r="T323" s="84"/>
      <c r="U323" s="78"/>
      <c r="V323" s="85"/>
      <c r="W323" s="78"/>
      <c r="X323" s="78"/>
      <c r="Y323" s="76"/>
      <c r="Z323" s="76"/>
      <c r="AA323" s="86"/>
    </row>
    <row r="324" spans="2:27" s="64" customFormat="1" ht="15" customHeight="1">
      <c r="B324" s="76" t="s">
        <v>277</v>
      </c>
      <c r="C324" s="77" t="s">
        <v>1718</v>
      </c>
      <c r="D324" s="78"/>
      <c r="E324" s="79">
        <v>3</v>
      </c>
      <c r="F324" s="80">
        <v>4</v>
      </c>
      <c r="G324" s="80">
        <f t="shared" si="6"/>
        <v>1</v>
      </c>
      <c r="H324" s="81" t="s">
        <v>276</v>
      </c>
      <c r="I324" s="82"/>
      <c r="J324" s="83">
        <v>3</v>
      </c>
      <c r="K324" s="183" t="s">
        <v>2251</v>
      </c>
      <c r="L324" s="82">
        <v>46203</v>
      </c>
      <c r="M324" s="82" t="s">
        <v>1608</v>
      </c>
      <c r="S324" s="84"/>
      <c r="T324" s="84"/>
      <c r="U324" s="78"/>
      <c r="V324" s="85"/>
      <c r="W324" s="78"/>
      <c r="X324" s="78"/>
      <c r="Y324" s="76"/>
      <c r="Z324" s="76"/>
      <c r="AA324" s="86"/>
    </row>
    <row r="325" spans="2:27" s="64" customFormat="1" ht="15" customHeight="1">
      <c r="B325" s="76" t="s">
        <v>695</v>
      </c>
      <c r="C325" s="77" t="s">
        <v>1719</v>
      </c>
      <c r="D325" s="78"/>
      <c r="E325" s="79"/>
      <c r="F325" s="80">
        <v>1</v>
      </c>
      <c r="G325" s="80">
        <f t="shared" si="6"/>
        <v>1</v>
      </c>
      <c r="H325" s="81" t="s">
        <v>276</v>
      </c>
      <c r="I325" s="82"/>
      <c r="J325" s="83"/>
      <c r="K325" s="82"/>
      <c r="L325" s="82">
        <v>46203</v>
      </c>
      <c r="M325" s="82"/>
      <c r="S325" s="84"/>
      <c r="T325" s="84"/>
      <c r="U325" s="78"/>
      <c r="V325" s="85"/>
      <c r="W325" s="78"/>
      <c r="X325" s="78"/>
      <c r="Y325" s="76"/>
      <c r="Z325" s="76"/>
      <c r="AA325" s="86"/>
    </row>
    <row r="326" spans="2:27" s="64" customFormat="1" ht="15" customHeight="1">
      <c r="B326" s="76" t="s">
        <v>272</v>
      </c>
      <c r="C326" s="77" t="s">
        <v>1720</v>
      </c>
      <c r="D326" s="78"/>
      <c r="E326" s="79">
        <v>1</v>
      </c>
      <c r="F326" s="80">
        <v>2</v>
      </c>
      <c r="G326" s="80">
        <f t="shared" si="6"/>
        <v>1</v>
      </c>
      <c r="H326" s="81" t="s">
        <v>273</v>
      </c>
      <c r="I326" s="82"/>
      <c r="J326" s="83" t="s">
        <v>223</v>
      </c>
      <c r="K326" s="82" t="s">
        <v>1721</v>
      </c>
      <c r="L326" s="82">
        <v>46203</v>
      </c>
      <c r="M326" s="82" t="s">
        <v>1722</v>
      </c>
      <c r="S326" s="84"/>
      <c r="T326" s="84"/>
      <c r="U326" s="78"/>
      <c r="V326" s="85"/>
      <c r="W326" s="78"/>
      <c r="X326" s="78"/>
      <c r="Y326" s="76"/>
      <c r="Z326" s="76"/>
      <c r="AA326" s="86"/>
    </row>
    <row r="327" spans="2:27" s="64" customFormat="1" ht="15" customHeight="1">
      <c r="B327" s="76" t="s">
        <v>696</v>
      </c>
      <c r="C327" s="77" t="s">
        <v>1723</v>
      </c>
      <c r="D327" s="78" t="s">
        <v>697</v>
      </c>
      <c r="E327" s="79"/>
      <c r="F327" s="80">
        <v>1</v>
      </c>
      <c r="G327" s="80">
        <f t="shared" si="6"/>
        <v>1</v>
      </c>
      <c r="H327" s="81" t="s">
        <v>280</v>
      </c>
      <c r="I327" s="82"/>
      <c r="J327" s="83"/>
      <c r="K327" s="82"/>
      <c r="L327" s="82">
        <v>46203</v>
      </c>
      <c r="M327" s="82"/>
      <c r="S327" s="84"/>
      <c r="T327" s="84"/>
      <c r="U327" s="78"/>
      <c r="V327" s="85"/>
      <c r="W327" s="78"/>
      <c r="X327" s="78"/>
      <c r="Y327" s="76"/>
      <c r="Z327" s="76"/>
      <c r="AA327" s="86"/>
    </row>
    <row r="328" spans="2:27" s="64" customFormat="1" ht="15" customHeight="1">
      <c r="B328" s="76" t="s">
        <v>698</v>
      </c>
      <c r="C328" s="77" t="s">
        <v>1724</v>
      </c>
      <c r="D328" s="78" t="s">
        <v>279</v>
      </c>
      <c r="E328" s="79"/>
      <c r="F328" s="80">
        <v>1</v>
      </c>
      <c r="G328" s="80">
        <f t="shared" si="6"/>
        <v>1</v>
      </c>
      <c r="H328" s="81" t="s">
        <v>280</v>
      </c>
      <c r="I328" s="82"/>
      <c r="J328" s="83"/>
      <c r="K328" s="82"/>
      <c r="L328" s="82">
        <v>46203</v>
      </c>
      <c r="M328" s="82"/>
      <c r="S328" s="84"/>
      <c r="T328" s="84"/>
      <c r="U328" s="78"/>
      <c r="V328" s="85"/>
      <c r="W328" s="78"/>
      <c r="X328" s="78"/>
      <c r="Y328" s="76"/>
      <c r="Z328" s="76"/>
      <c r="AA328" s="86"/>
    </row>
    <row r="329" spans="2:27" s="64" customFormat="1">
      <c r="B329" s="76" t="s">
        <v>278</v>
      </c>
      <c r="C329" s="77" t="s">
        <v>1725</v>
      </c>
      <c r="D329" s="78" t="s">
        <v>279</v>
      </c>
      <c r="E329" s="79"/>
      <c r="F329" s="80">
        <v>1</v>
      </c>
      <c r="G329" s="80">
        <f t="shared" si="6"/>
        <v>1</v>
      </c>
      <c r="H329" s="81" t="s">
        <v>280</v>
      </c>
      <c r="I329" s="96"/>
      <c r="J329" s="79">
        <v>1</v>
      </c>
      <c r="K329" s="96"/>
      <c r="L329" s="82">
        <v>46203</v>
      </c>
      <c r="M329" s="82"/>
      <c r="S329" s="84"/>
      <c r="T329" s="84"/>
      <c r="U329" s="78"/>
      <c r="V329" s="85"/>
      <c r="W329" s="78"/>
      <c r="X329" s="78"/>
      <c r="Y329" s="76"/>
      <c r="Z329" s="76"/>
      <c r="AA329" s="86"/>
    </row>
    <row r="330" spans="2:27" s="64" customFormat="1" ht="15" customHeight="1">
      <c r="B330" s="76" t="s">
        <v>699</v>
      </c>
      <c r="C330" s="77" t="s">
        <v>1726</v>
      </c>
      <c r="D330" s="78" t="s">
        <v>700</v>
      </c>
      <c r="E330" s="79"/>
      <c r="F330" s="80">
        <v>1</v>
      </c>
      <c r="G330" s="80">
        <f t="shared" si="6"/>
        <v>1</v>
      </c>
      <c r="H330" s="81" t="s">
        <v>280</v>
      </c>
      <c r="I330" s="82"/>
      <c r="J330" s="83"/>
      <c r="K330" s="82"/>
      <c r="L330" s="82">
        <v>46203</v>
      </c>
      <c r="M330" s="82"/>
      <c r="S330" s="84"/>
      <c r="T330" s="84"/>
      <c r="U330" s="78"/>
      <c r="V330" s="85"/>
      <c r="W330" s="78"/>
      <c r="X330" s="78"/>
      <c r="Y330" s="76"/>
      <c r="Z330" s="76"/>
      <c r="AA330" s="86"/>
    </row>
    <row r="331" spans="2:27" s="64" customFormat="1" ht="15" customHeight="1">
      <c r="B331" s="76" t="s">
        <v>701</v>
      </c>
      <c r="C331" s="77" t="s">
        <v>1727</v>
      </c>
      <c r="D331" s="78" t="s">
        <v>347</v>
      </c>
      <c r="E331" s="79"/>
      <c r="F331" s="80">
        <v>50</v>
      </c>
      <c r="G331" s="80">
        <f t="shared" si="6"/>
        <v>50</v>
      </c>
      <c r="H331" s="81" t="s">
        <v>283</v>
      </c>
      <c r="I331" s="82"/>
      <c r="J331" s="83"/>
      <c r="K331" s="82"/>
      <c r="L331" s="82">
        <v>46203</v>
      </c>
      <c r="M331" s="82"/>
      <c r="S331" s="84"/>
      <c r="T331" s="84"/>
      <c r="U331" s="78"/>
      <c r="V331" s="85"/>
      <c r="W331" s="78"/>
      <c r="X331" s="78"/>
      <c r="Y331" s="76"/>
      <c r="Z331" s="76"/>
      <c r="AA331" s="86"/>
    </row>
    <row r="332" spans="2:27" s="64" customFormat="1" ht="15" customHeight="1">
      <c r="B332" s="76" t="s">
        <v>702</v>
      </c>
      <c r="C332" s="77" t="s">
        <v>1728</v>
      </c>
      <c r="D332" s="78"/>
      <c r="E332" s="79"/>
      <c r="F332" s="80">
        <v>20</v>
      </c>
      <c r="G332" s="80">
        <f t="shared" si="6"/>
        <v>20</v>
      </c>
      <c r="H332" s="81" t="s">
        <v>283</v>
      </c>
      <c r="I332" s="82"/>
      <c r="J332" s="83"/>
      <c r="K332" s="82"/>
      <c r="L332" s="82">
        <v>46203</v>
      </c>
      <c r="M332" s="82"/>
      <c r="S332" s="84"/>
      <c r="T332" s="84"/>
      <c r="U332" s="78"/>
      <c r="V332" s="85"/>
      <c r="W332" s="78"/>
      <c r="X332" s="78"/>
      <c r="Y332" s="76"/>
      <c r="Z332" s="76"/>
      <c r="AA332" s="86"/>
    </row>
    <row r="333" spans="2:27" s="64" customFormat="1" ht="15" customHeight="1">
      <c r="B333" s="76" t="s">
        <v>703</v>
      </c>
      <c r="C333" s="77" t="s">
        <v>1729</v>
      </c>
      <c r="D333" s="78"/>
      <c r="E333" s="79"/>
      <c r="F333" s="80">
        <v>11</v>
      </c>
      <c r="G333" s="80">
        <f t="shared" si="6"/>
        <v>11</v>
      </c>
      <c r="H333" s="81" t="s">
        <v>681</v>
      </c>
      <c r="I333" s="82"/>
      <c r="J333" s="83"/>
      <c r="K333" s="82"/>
      <c r="L333" s="82">
        <v>46203</v>
      </c>
      <c r="M333" s="82"/>
      <c r="S333" s="84"/>
      <c r="T333" s="84"/>
      <c r="U333" s="78"/>
      <c r="V333" s="85"/>
      <c r="W333" s="78"/>
      <c r="X333" s="78"/>
      <c r="Y333" s="76"/>
      <c r="Z333" s="76"/>
      <c r="AA333" s="86"/>
    </row>
    <row r="334" spans="2:27" s="64" customFormat="1" ht="15" customHeight="1">
      <c r="B334" s="76" t="s">
        <v>704</v>
      </c>
      <c r="C334" s="77" t="s">
        <v>1730</v>
      </c>
      <c r="D334" s="78" t="s">
        <v>705</v>
      </c>
      <c r="E334" s="79"/>
      <c r="F334" s="80">
        <v>2</v>
      </c>
      <c r="G334" s="80">
        <f t="shared" si="6"/>
        <v>2</v>
      </c>
      <c r="H334" s="81" t="s">
        <v>319</v>
      </c>
      <c r="I334" s="82"/>
      <c r="J334" s="83"/>
      <c r="K334" s="82"/>
      <c r="L334" s="82">
        <v>46203</v>
      </c>
      <c r="M334" s="82"/>
      <c r="S334" s="84"/>
      <c r="T334" s="84"/>
      <c r="U334" s="78"/>
      <c r="V334" s="85"/>
      <c r="W334" s="78"/>
      <c r="X334" s="78"/>
      <c r="Y334" s="76"/>
      <c r="Z334" s="76"/>
      <c r="AA334" s="86"/>
    </row>
    <row r="335" spans="2:27" s="64" customFormat="1" ht="15" customHeight="1">
      <c r="B335" s="76" t="s">
        <v>706</v>
      </c>
      <c r="C335" s="77" t="s">
        <v>1731</v>
      </c>
      <c r="D335" s="78" t="s">
        <v>707</v>
      </c>
      <c r="E335" s="79"/>
      <c r="F335" s="80">
        <f>9+9+7</f>
        <v>25</v>
      </c>
      <c r="G335" s="80">
        <f t="shared" si="6"/>
        <v>25</v>
      </c>
      <c r="H335" s="81" t="s">
        <v>708</v>
      </c>
      <c r="I335" s="82"/>
      <c r="J335" s="83"/>
      <c r="K335" s="82"/>
      <c r="L335" s="82">
        <v>46203</v>
      </c>
      <c r="M335" s="82"/>
      <c r="S335" s="84"/>
      <c r="T335" s="84"/>
      <c r="U335" s="78"/>
      <c r="V335" s="85"/>
      <c r="W335" s="78"/>
      <c r="X335" s="78"/>
      <c r="Y335" s="76"/>
      <c r="Z335" s="76"/>
      <c r="AA335" s="86"/>
    </row>
    <row r="336" spans="2:27" s="64" customFormat="1" ht="15" customHeight="1">
      <c r="B336" s="76" t="s">
        <v>709</v>
      </c>
      <c r="C336" s="77" t="s">
        <v>1732</v>
      </c>
      <c r="D336" s="78" t="s">
        <v>707</v>
      </c>
      <c r="E336" s="79"/>
      <c r="F336" s="80">
        <v>26</v>
      </c>
      <c r="G336" s="80">
        <f t="shared" si="6"/>
        <v>26</v>
      </c>
      <c r="H336" s="81" t="s">
        <v>708</v>
      </c>
      <c r="I336" s="82"/>
      <c r="J336" s="83"/>
      <c r="K336" s="82"/>
      <c r="L336" s="82">
        <v>46203</v>
      </c>
      <c r="M336" s="82"/>
      <c r="S336" s="84"/>
      <c r="T336" s="84"/>
      <c r="U336" s="78"/>
      <c r="V336" s="85"/>
      <c r="W336" s="78"/>
      <c r="X336" s="78"/>
      <c r="Y336" s="76"/>
      <c r="Z336" s="76"/>
      <c r="AA336" s="86"/>
    </row>
    <row r="337" spans="2:27" s="64" customFormat="1" ht="15" customHeight="1">
      <c r="B337" s="76" t="s">
        <v>710</v>
      </c>
      <c r="C337" s="77" t="s">
        <v>1733</v>
      </c>
      <c r="D337" s="78" t="s">
        <v>705</v>
      </c>
      <c r="E337" s="79"/>
      <c r="F337" s="80">
        <v>1</v>
      </c>
      <c r="G337" s="80">
        <f t="shared" si="6"/>
        <v>1</v>
      </c>
      <c r="H337" s="81" t="s">
        <v>319</v>
      </c>
      <c r="I337" s="82"/>
      <c r="J337" s="83"/>
      <c r="K337" s="82"/>
      <c r="L337" s="82">
        <v>46203</v>
      </c>
      <c r="M337" s="82"/>
      <c r="S337" s="84"/>
      <c r="T337" s="84"/>
      <c r="U337" s="78"/>
      <c r="V337" s="85"/>
      <c r="W337" s="78"/>
      <c r="X337" s="78"/>
      <c r="Y337" s="76"/>
      <c r="Z337" s="76"/>
      <c r="AA337" s="86"/>
    </row>
    <row r="338" spans="2:27" s="64" customFormat="1" ht="15" customHeight="1">
      <c r="B338" s="76" t="s">
        <v>1749</v>
      </c>
      <c r="C338" s="77" t="s">
        <v>1756</v>
      </c>
      <c r="D338" s="78" t="s">
        <v>427</v>
      </c>
      <c r="E338" s="79"/>
      <c r="F338" s="80">
        <v>1</v>
      </c>
      <c r="G338" s="80">
        <f t="shared" si="6"/>
        <v>1</v>
      </c>
      <c r="H338" s="81" t="s">
        <v>1750</v>
      </c>
      <c r="I338" s="82"/>
      <c r="J338" s="83"/>
      <c r="K338" s="82"/>
      <c r="L338" s="82"/>
      <c r="M338" s="82"/>
      <c r="S338" s="84"/>
      <c r="T338" s="84"/>
      <c r="U338" s="78"/>
      <c r="V338" s="85"/>
      <c r="W338" s="78"/>
      <c r="X338" s="78"/>
      <c r="Y338" s="76"/>
      <c r="Z338" s="76"/>
      <c r="AA338" s="86"/>
    </row>
    <row r="339" spans="2:27" s="64" customFormat="1">
      <c r="B339" s="76" t="s">
        <v>711</v>
      </c>
      <c r="C339" s="77" t="s">
        <v>1734</v>
      </c>
      <c r="D339" s="78" t="s">
        <v>427</v>
      </c>
      <c r="E339" s="79"/>
      <c r="F339" s="80">
        <v>1</v>
      </c>
      <c r="G339" s="80">
        <f t="shared" si="6"/>
        <v>1</v>
      </c>
      <c r="H339" s="81" t="s">
        <v>1735</v>
      </c>
      <c r="I339" s="82"/>
      <c r="J339" s="83"/>
      <c r="K339" s="82"/>
      <c r="L339" s="82">
        <v>46203</v>
      </c>
      <c r="M339" s="82"/>
      <c r="S339" s="84"/>
      <c r="T339" s="84"/>
      <c r="U339" s="78"/>
      <c r="V339" s="85"/>
      <c r="W339" s="78"/>
      <c r="X339" s="78"/>
      <c r="Y339" s="76"/>
      <c r="Z339" s="76"/>
      <c r="AA339" s="86"/>
    </row>
    <row r="340" spans="2:27" s="64" customFormat="1">
      <c r="B340" s="76" t="s">
        <v>712</v>
      </c>
      <c r="C340" s="77" t="s">
        <v>1736</v>
      </c>
      <c r="D340" s="78" t="s">
        <v>713</v>
      </c>
      <c r="E340" s="79"/>
      <c r="F340" s="80">
        <v>2</v>
      </c>
      <c r="G340" s="80">
        <f t="shared" si="6"/>
        <v>2</v>
      </c>
      <c r="H340" s="81" t="s">
        <v>38</v>
      </c>
      <c r="I340" s="82"/>
      <c r="J340" s="83"/>
      <c r="K340" s="82"/>
      <c r="L340" s="82">
        <v>46203</v>
      </c>
      <c r="M340" s="82"/>
      <c r="S340" s="84"/>
      <c r="T340" s="84"/>
      <c r="U340" s="78"/>
      <c r="V340" s="85"/>
      <c r="W340" s="78"/>
      <c r="X340" s="78"/>
      <c r="Y340" s="76"/>
      <c r="Z340" s="76"/>
      <c r="AA340" s="86"/>
    </row>
    <row r="341" spans="2:27" s="64" customFormat="1">
      <c r="B341" s="76" t="s">
        <v>714</v>
      </c>
      <c r="C341" s="77" t="s">
        <v>1737</v>
      </c>
      <c r="D341" s="78" t="s">
        <v>578</v>
      </c>
      <c r="E341" s="79"/>
      <c r="F341" s="80">
        <v>1</v>
      </c>
      <c r="G341" s="80">
        <f t="shared" si="6"/>
        <v>1</v>
      </c>
      <c r="H341" s="81" t="s">
        <v>38</v>
      </c>
      <c r="I341" s="82"/>
      <c r="J341" s="83"/>
      <c r="K341" s="82"/>
      <c r="L341" s="82">
        <v>46203</v>
      </c>
      <c r="M341" s="82"/>
      <c r="S341" s="84"/>
      <c r="T341" s="84"/>
      <c r="U341" s="78"/>
      <c r="V341" s="85"/>
      <c r="W341" s="78"/>
      <c r="X341" s="78"/>
      <c r="Y341" s="76"/>
      <c r="Z341" s="76"/>
      <c r="AA341" s="86"/>
    </row>
    <row r="342" spans="2:27" s="64" customFormat="1">
      <c r="B342" s="76" t="s">
        <v>715</v>
      </c>
      <c r="C342" s="77" t="s">
        <v>1738</v>
      </c>
      <c r="D342" s="78" t="s">
        <v>716</v>
      </c>
      <c r="E342" s="79"/>
      <c r="F342" s="80">
        <v>12</v>
      </c>
      <c r="G342" s="80">
        <f t="shared" ref="G342:G343" si="7">F342-E342</f>
        <v>12</v>
      </c>
      <c r="H342" s="81" t="s">
        <v>681</v>
      </c>
      <c r="I342" s="82"/>
      <c r="J342" s="83"/>
      <c r="K342" s="82"/>
      <c r="L342" s="82">
        <v>46203</v>
      </c>
      <c r="M342" s="82"/>
      <c r="S342" s="84"/>
      <c r="T342" s="84"/>
      <c r="U342" s="78"/>
      <c r="V342" s="85"/>
      <c r="W342" s="78"/>
      <c r="X342" s="78"/>
      <c r="Y342" s="76"/>
      <c r="Z342" s="76"/>
      <c r="AA342" s="86"/>
    </row>
    <row r="343" spans="2:27" s="64" customFormat="1">
      <c r="B343" s="76" t="s">
        <v>717</v>
      </c>
      <c r="C343" s="77" t="s">
        <v>1739</v>
      </c>
      <c r="D343" s="78" t="s">
        <v>519</v>
      </c>
      <c r="E343" s="79"/>
      <c r="F343" s="80">
        <v>23</v>
      </c>
      <c r="G343" s="80">
        <f t="shared" si="7"/>
        <v>23</v>
      </c>
      <c r="H343" s="81" t="s">
        <v>273</v>
      </c>
      <c r="I343" s="82"/>
      <c r="J343" s="83"/>
      <c r="K343" s="82"/>
      <c r="L343" s="82">
        <v>46203</v>
      </c>
      <c r="M343" s="82"/>
      <c r="S343" s="84"/>
      <c r="T343" s="84"/>
      <c r="U343" s="78"/>
      <c r="V343" s="85"/>
      <c r="W343" s="78"/>
      <c r="X343" s="78"/>
      <c r="Y343" s="76"/>
      <c r="Z343" s="76"/>
      <c r="AA343" s="86"/>
    </row>
    <row r="344" spans="2:27" s="64" customFormat="1">
      <c r="B344" s="76"/>
      <c r="C344" s="77"/>
      <c r="D344" s="78"/>
      <c r="E344" s="79"/>
      <c r="F344" s="80"/>
      <c r="G344" s="80"/>
      <c r="H344" s="81"/>
      <c r="I344" s="82"/>
      <c r="J344" s="83"/>
      <c r="K344" s="82"/>
      <c r="L344" s="82"/>
      <c r="M344" s="82"/>
      <c r="S344" s="84"/>
      <c r="T344" s="84"/>
      <c r="U344" s="78"/>
      <c r="V344" s="85"/>
      <c r="W344" s="78"/>
      <c r="X344" s="78"/>
      <c r="Y344" s="76"/>
      <c r="Z344" s="76"/>
      <c r="AA344" s="86"/>
    </row>
    <row r="345" spans="2:27" s="64" customFormat="1">
      <c r="B345" s="76"/>
      <c r="C345" s="77"/>
      <c r="D345" s="78"/>
      <c r="E345" s="79"/>
      <c r="F345" s="80"/>
      <c r="G345" s="80"/>
      <c r="H345" s="81"/>
      <c r="I345" s="82"/>
      <c r="J345" s="83"/>
      <c r="K345" s="82"/>
      <c r="L345" s="82"/>
      <c r="M345" s="82"/>
      <c r="S345" s="84"/>
      <c r="T345" s="84"/>
      <c r="U345" s="78"/>
      <c r="V345" s="85"/>
      <c r="W345" s="78"/>
      <c r="X345" s="78"/>
      <c r="Y345" s="76"/>
      <c r="Z345" s="76"/>
      <c r="AA345" s="86"/>
    </row>
    <row r="346" spans="2:27" s="64" customFormat="1">
      <c r="B346" s="76"/>
      <c r="C346" s="77"/>
      <c r="D346" s="78"/>
      <c r="E346" s="79"/>
      <c r="F346" s="80"/>
      <c r="G346" s="80"/>
      <c r="H346" s="81"/>
      <c r="I346" s="82"/>
      <c r="J346" s="83"/>
      <c r="K346" s="82"/>
      <c r="L346" s="82"/>
      <c r="M346" s="82"/>
      <c r="S346" s="84"/>
      <c r="T346" s="84"/>
      <c r="U346" s="78"/>
      <c r="V346" s="85"/>
      <c r="W346" s="78"/>
      <c r="X346" s="78"/>
      <c r="Y346" s="76"/>
      <c r="Z346" s="76"/>
      <c r="AA346" s="86"/>
    </row>
    <row r="347" spans="2:27" s="64" customFormat="1">
      <c r="B347" s="76"/>
      <c r="C347" s="77"/>
      <c r="D347" s="78"/>
      <c r="E347" s="79"/>
      <c r="F347" s="80"/>
      <c r="G347" s="80"/>
      <c r="H347" s="81"/>
      <c r="I347" s="82"/>
      <c r="J347" s="83"/>
      <c r="K347" s="82"/>
      <c r="L347" s="82"/>
      <c r="M347" s="82"/>
      <c r="S347" s="84"/>
      <c r="T347" s="84"/>
      <c r="U347" s="78"/>
      <c r="V347" s="85"/>
      <c r="W347" s="78"/>
      <c r="X347" s="78"/>
      <c r="Y347" s="76"/>
      <c r="Z347" s="76"/>
      <c r="AA347" s="86"/>
    </row>
    <row r="348" spans="2:27" s="64" customFormat="1">
      <c r="B348" s="76"/>
      <c r="C348" s="77"/>
      <c r="D348" s="78"/>
      <c r="E348" s="79"/>
      <c r="F348" s="80"/>
      <c r="G348" s="80"/>
      <c r="H348" s="81"/>
      <c r="I348" s="82"/>
      <c r="J348" s="83"/>
      <c r="K348" s="82"/>
      <c r="L348" s="82"/>
      <c r="M348" s="82"/>
      <c r="S348" s="84"/>
      <c r="T348" s="84"/>
      <c r="U348" s="78"/>
      <c r="V348" s="85"/>
      <c r="W348" s="78"/>
      <c r="X348" s="78"/>
      <c r="Y348" s="76"/>
      <c r="Z348" s="76"/>
      <c r="AA348" s="86"/>
    </row>
    <row r="349" spans="2:27" s="64" customFormat="1">
      <c r="B349" s="76"/>
      <c r="C349" s="77"/>
      <c r="D349" s="78"/>
      <c r="E349" s="79"/>
      <c r="F349" s="80"/>
      <c r="G349" s="80"/>
      <c r="H349" s="81"/>
      <c r="I349" s="82"/>
      <c r="J349" s="83"/>
      <c r="K349" s="82"/>
      <c r="L349" s="82"/>
      <c r="M349" s="82"/>
      <c r="S349" s="84"/>
      <c r="T349" s="84"/>
      <c r="U349" s="78"/>
      <c r="V349" s="85"/>
      <c r="W349" s="78"/>
      <c r="X349" s="78"/>
      <c r="Y349" s="76"/>
      <c r="Z349" s="76"/>
      <c r="AA349" s="86"/>
    </row>
    <row r="350" spans="2:27" s="64" customFormat="1">
      <c r="B350" s="76"/>
      <c r="C350" s="77"/>
      <c r="D350" s="78"/>
      <c r="E350" s="79"/>
      <c r="F350" s="80"/>
      <c r="G350" s="80"/>
      <c r="H350" s="81"/>
      <c r="I350" s="82"/>
      <c r="J350" s="83"/>
      <c r="K350" s="82"/>
      <c r="L350" s="82"/>
      <c r="M350" s="82"/>
      <c r="S350" s="84"/>
      <c r="T350" s="84"/>
      <c r="U350" s="78"/>
      <c r="V350" s="85"/>
      <c r="W350" s="78"/>
      <c r="X350" s="78"/>
      <c r="Y350" s="76"/>
      <c r="Z350" s="76"/>
      <c r="AA350" s="86"/>
    </row>
    <row r="351" spans="2:27" s="64" customFormat="1">
      <c r="B351" s="76"/>
      <c r="C351" s="77"/>
      <c r="D351" s="78"/>
      <c r="E351" s="79"/>
      <c r="F351" s="80"/>
      <c r="G351" s="80"/>
      <c r="H351" s="81"/>
      <c r="I351" s="82"/>
      <c r="J351" s="83"/>
      <c r="K351" s="82"/>
      <c r="L351" s="82"/>
      <c r="M351" s="82"/>
      <c r="S351" s="84"/>
      <c r="T351" s="84"/>
      <c r="U351" s="78"/>
      <c r="V351" s="85"/>
      <c r="W351" s="78"/>
      <c r="X351" s="78"/>
      <c r="Y351" s="76"/>
      <c r="Z351" s="76"/>
      <c r="AA351" s="86"/>
    </row>
    <row r="352" spans="2:27" s="64" customFormat="1">
      <c r="B352" s="76"/>
      <c r="C352" s="77"/>
      <c r="D352" s="78"/>
      <c r="E352" s="79"/>
      <c r="F352" s="80"/>
      <c r="G352" s="80"/>
      <c r="H352" s="81"/>
      <c r="I352" s="82"/>
      <c r="J352" s="83"/>
      <c r="K352" s="82"/>
      <c r="L352" s="82"/>
      <c r="M352" s="82"/>
      <c r="S352" s="84"/>
      <c r="T352" s="84"/>
      <c r="U352" s="78"/>
      <c r="V352" s="85"/>
      <c r="W352" s="78"/>
      <c r="X352" s="78"/>
      <c r="Y352" s="76"/>
      <c r="Z352" s="76"/>
      <c r="AA352" s="86"/>
    </row>
    <row r="353" spans="2:27" s="64" customFormat="1">
      <c r="B353" s="76"/>
      <c r="C353" s="77"/>
      <c r="D353" s="78"/>
      <c r="E353" s="79"/>
      <c r="F353" s="80"/>
      <c r="G353" s="80"/>
      <c r="H353" s="81"/>
      <c r="I353" s="82"/>
      <c r="J353" s="83"/>
      <c r="K353" s="82"/>
      <c r="L353" s="82"/>
      <c r="M353" s="82"/>
      <c r="S353" s="84"/>
      <c r="T353" s="84"/>
      <c r="U353" s="78"/>
      <c r="V353" s="85"/>
      <c r="W353" s="78"/>
      <c r="X353" s="78"/>
      <c r="Y353" s="76"/>
      <c r="Z353" s="76"/>
      <c r="AA353" s="86"/>
    </row>
    <row r="354" spans="2:27" s="64" customFormat="1">
      <c r="B354" s="76"/>
      <c r="C354" s="77"/>
      <c r="D354" s="78"/>
      <c r="E354" s="79"/>
      <c r="F354" s="80"/>
      <c r="G354" s="80"/>
      <c r="H354" s="81"/>
      <c r="I354" s="82"/>
      <c r="J354" s="83"/>
      <c r="K354" s="82"/>
      <c r="L354" s="82"/>
      <c r="M354" s="82"/>
      <c r="S354" s="84"/>
      <c r="T354" s="84"/>
      <c r="U354" s="78"/>
      <c r="V354" s="85"/>
      <c r="W354" s="78"/>
      <c r="X354" s="78"/>
      <c r="Y354" s="76"/>
      <c r="Z354" s="76"/>
      <c r="AA354" s="86"/>
    </row>
    <row r="355" spans="2:27" s="64" customFormat="1">
      <c r="B355" s="76"/>
      <c r="C355" s="77"/>
      <c r="D355" s="78"/>
      <c r="E355" s="79"/>
      <c r="F355" s="80"/>
      <c r="G355" s="80"/>
      <c r="H355" s="81"/>
      <c r="I355" s="82"/>
      <c r="J355" s="83"/>
      <c r="K355" s="82"/>
      <c r="L355" s="82"/>
      <c r="M355" s="82"/>
      <c r="S355" s="84"/>
      <c r="T355" s="84"/>
      <c r="U355" s="78"/>
      <c r="V355" s="85"/>
      <c r="W355" s="78"/>
      <c r="X355" s="78"/>
      <c r="Y355" s="76"/>
      <c r="Z355" s="76"/>
      <c r="AA355" s="86"/>
    </row>
    <row r="356" spans="2:27" s="64" customFormat="1">
      <c r="B356" s="76"/>
      <c r="C356" s="77"/>
      <c r="D356" s="78"/>
      <c r="E356" s="79"/>
      <c r="F356" s="80"/>
      <c r="G356" s="80"/>
      <c r="H356" s="81"/>
      <c r="I356" s="82"/>
      <c r="J356" s="83"/>
      <c r="K356" s="82"/>
      <c r="L356" s="82"/>
      <c r="M356" s="82"/>
      <c r="S356" s="84"/>
      <c r="T356" s="84"/>
      <c r="U356" s="78"/>
      <c r="V356" s="85"/>
      <c r="W356" s="78"/>
      <c r="X356" s="78"/>
      <c r="Y356" s="76"/>
      <c r="Z356" s="76"/>
      <c r="AA356" s="86"/>
    </row>
    <row r="357" spans="2:27" s="64" customFormat="1">
      <c r="B357" s="76"/>
      <c r="C357" s="77"/>
      <c r="D357" s="78"/>
      <c r="E357" s="79"/>
      <c r="F357" s="80"/>
      <c r="G357" s="80"/>
      <c r="H357" s="81"/>
      <c r="I357" s="82"/>
      <c r="J357" s="83"/>
      <c r="K357" s="82"/>
      <c r="L357" s="82"/>
      <c r="M357" s="82"/>
      <c r="S357" s="84"/>
      <c r="T357" s="84"/>
      <c r="U357" s="78"/>
      <c r="V357" s="85"/>
      <c r="W357" s="78"/>
      <c r="X357" s="78"/>
      <c r="Y357" s="76"/>
      <c r="Z357" s="76"/>
      <c r="AA357" s="86"/>
    </row>
    <row r="358" spans="2:27" s="64" customFormat="1">
      <c r="B358" s="76"/>
      <c r="C358" s="77"/>
      <c r="D358" s="78"/>
      <c r="E358" s="79"/>
      <c r="F358" s="80"/>
      <c r="G358" s="80"/>
      <c r="H358" s="81"/>
      <c r="I358" s="82"/>
      <c r="J358" s="83"/>
      <c r="K358" s="82"/>
      <c r="L358" s="82"/>
      <c r="M358" s="82"/>
      <c r="S358" s="84"/>
      <c r="T358" s="84"/>
      <c r="U358" s="78"/>
      <c r="V358" s="85"/>
      <c r="W358" s="78"/>
      <c r="X358" s="78"/>
      <c r="Y358" s="76"/>
      <c r="Z358" s="76"/>
      <c r="AA358" s="86"/>
    </row>
    <row r="359" spans="2:27" s="64" customFormat="1">
      <c r="B359" s="76"/>
      <c r="C359" s="77"/>
      <c r="D359" s="78"/>
      <c r="E359" s="79"/>
      <c r="F359" s="80"/>
      <c r="G359" s="80"/>
      <c r="H359" s="81"/>
      <c r="I359" s="82"/>
      <c r="J359" s="83"/>
      <c r="K359" s="82"/>
      <c r="L359" s="82"/>
      <c r="M359" s="82"/>
      <c r="S359" s="84"/>
      <c r="T359" s="84"/>
      <c r="U359" s="78"/>
      <c r="V359" s="85"/>
      <c r="W359" s="78"/>
      <c r="X359" s="78"/>
      <c r="Y359" s="76"/>
      <c r="Z359" s="76"/>
      <c r="AA359" s="86"/>
    </row>
    <row r="360" spans="2:27" s="64" customFormat="1">
      <c r="B360" s="76"/>
      <c r="C360" s="77"/>
      <c r="D360" s="78"/>
      <c r="E360" s="79"/>
      <c r="F360" s="80"/>
      <c r="G360" s="80"/>
      <c r="H360" s="81"/>
      <c r="I360" s="82"/>
      <c r="J360" s="83"/>
      <c r="K360" s="82"/>
      <c r="L360" s="82"/>
      <c r="M360" s="82"/>
      <c r="S360" s="84"/>
      <c r="T360" s="84"/>
      <c r="U360" s="78"/>
      <c r="V360" s="85"/>
      <c r="W360" s="78"/>
      <c r="X360" s="78"/>
      <c r="Y360" s="76"/>
      <c r="Z360" s="76"/>
      <c r="AA360" s="86"/>
    </row>
    <row r="361" spans="2:27" s="64" customFormat="1">
      <c r="B361" s="76"/>
      <c r="C361" s="77"/>
      <c r="D361" s="78"/>
      <c r="E361" s="79"/>
      <c r="F361" s="80"/>
      <c r="G361" s="80"/>
      <c r="H361" s="81"/>
      <c r="I361" s="82"/>
      <c r="J361" s="83"/>
      <c r="K361" s="82"/>
      <c r="L361" s="82"/>
      <c r="M361" s="82"/>
      <c r="S361" s="84"/>
      <c r="T361" s="84"/>
      <c r="U361" s="78"/>
      <c r="V361" s="85"/>
      <c r="W361" s="78"/>
      <c r="X361" s="78"/>
      <c r="Y361" s="76"/>
      <c r="Z361" s="76"/>
      <c r="AA361" s="86"/>
    </row>
    <row r="362" spans="2:27" s="64" customFormat="1">
      <c r="B362" s="76"/>
      <c r="C362" s="77"/>
      <c r="D362" s="78"/>
      <c r="E362" s="79"/>
      <c r="F362" s="80"/>
      <c r="G362" s="80"/>
      <c r="H362" s="81"/>
      <c r="I362" s="82"/>
      <c r="J362" s="83"/>
      <c r="K362" s="82"/>
      <c r="L362" s="82"/>
      <c r="M362" s="82"/>
      <c r="S362" s="84"/>
      <c r="T362" s="84"/>
      <c r="U362" s="78"/>
      <c r="V362" s="85"/>
      <c r="W362" s="78"/>
      <c r="X362" s="78"/>
      <c r="Y362" s="76"/>
      <c r="Z362" s="76"/>
      <c r="AA362" s="86"/>
    </row>
    <row r="363" spans="2:27" s="64" customFormat="1">
      <c r="B363" s="76"/>
      <c r="C363" s="77"/>
      <c r="D363" s="78"/>
      <c r="E363" s="79"/>
      <c r="F363" s="80"/>
      <c r="G363" s="80"/>
      <c r="H363" s="81"/>
      <c r="I363" s="82"/>
      <c r="J363" s="83"/>
      <c r="K363" s="82"/>
      <c r="L363" s="82"/>
      <c r="M363" s="82"/>
      <c r="S363" s="84"/>
      <c r="T363" s="84"/>
      <c r="U363" s="78"/>
      <c r="V363" s="85"/>
      <c r="W363" s="78"/>
      <c r="X363" s="78"/>
      <c r="Y363" s="76"/>
      <c r="Z363" s="76"/>
      <c r="AA363" s="86"/>
    </row>
    <row r="364" spans="2:27" s="64" customFormat="1">
      <c r="B364" s="76"/>
      <c r="C364" s="77"/>
      <c r="D364" s="78"/>
      <c r="E364" s="79"/>
      <c r="F364" s="80"/>
      <c r="G364" s="80"/>
      <c r="H364" s="81"/>
      <c r="I364" s="82"/>
      <c r="J364" s="83"/>
      <c r="K364" s="82"/>
      <c r="L364" s="82"/>
      <c r="M364" s="82"/>
      <c r="S364" s="84"/>
      <c r="T364" s="84"/>
      <c r="U364" s="78"/>
      <c r="V364" s="85"/>
      <c r="W364" s="78"/>
      <c r="X364" s="78"/>
      <c r="Y364" s="76"/>
      <c r="Z364" s="76"/>
      <c r="AA364" s="86"/>
    </row>
    <row r="365" spans="2:27" s="64" customFormat="1">
      <c r="B365" s="76"/>
      <c r="C365" s="77"/>
      <c r="D365" s="78"/>
      <c r="E365" s="79"/>
      <c r="F365" s="80"/>
      <c r="G365" s="80"/>
      <c r="H365" s="81"/>
      <c r="I365" s="82"/>
      <c r="J365" s="83"/>
      <c r="K365" s="82"/>
      <c r="L365" s="82"/>
      <c r="M365" s="82"/>
      <c r="S365" s="84"/>
      <c r="T365" s="84"/>
      <c r="U365" s="78"/>
      <c r="V365" s="85"/>
      <c r="W365" s="78"/>
      <c r="X365" s="78"/>
      <c r="Y365" s="76"/>
      <c r="Z365" s="76"/>
      <c r="AA365" s="86"/>
    </row>
    <row r="366" spans="2:27" s="64" customFormat="1">
      <c r="B366" s="76"/>
      <c r="C366" s="77"/>
      <c r="D366" s="78"/>
      <c r="E366" s="79"/>
      <c r="F366" s="80"/>
      <c r="G366" s="80"/>
      <c r="H366" s="81"/>
      <c r="I366" s="82"/>
      <c r="J366" s="83"/>
      <c r="K366" s="82"/>
      <c r="L366" s="82"/>
      <c r="M366" s="82"/>
      <c r="S366" s="84"/>
      <c r="T366" s="84"/>
      <c r="U366" s="78"/>
      <c r="V366" s="85"/>
      <c r="W366" s="78"/>
      <c r="X366" s="78"/>
      <c r="Y366" s="76"/>
      <c r="Z366" s="76"/>
      <c r="AA366" s="86"/>
    </row>
    <row r="367" spans="2:27" s="64" customFormat="1">
      <c r="B367" s="76"/>
      <c r="C367" s="77"/>
      <c r="D367" s="78"/>
      <c r="E367" s="79"/>
      <c r="F367" s="80"/>
      <c r="G367" s="80"/>
      <c r="H367" s="81"/>
      <c r="I367" s="82"/>
      <c r="J367" s="83"/>
      <c r="K367" s="82"/>
      <c r="L367" s="82"/>
      <c r="M367" s="82"/>
      <c r="S367" s="84"/>
      <c r="T367" s="84"/>
      <c r="U367" s="78"/>
      <c r="V367" s="85"/>
      <c r="W367" s="78"/>
      <c r="X367" s="78"/>
      <c r="Y367" s="76"/>
      <c r="Z367" s="76"/>
      <c r="AA367" s="86"/>
    </row>
    <row r="368" spans="2:27" s="64" customFormat="1">
      <c r="B368" s="76"/>
      <c r="C368" s="77"/>
      <c r="D368" s="78"/>
      <c r="E368" s="79"/>
      <c r="F368" s="80"/>
      <c r="G368" s="80"/>
      <c r="H368" s="81"/>
      <c r="I368" s="82"/>
      <c r="J368" s="83"/>
      <c r="K368" s="82"/>
      <c r="L368" s="82"/>
      <c r="M368" s="82"/>
      <c r="S368" s="84"/>
      <c r="T368" s="84"/>
      <c r="U368" s="78"/>
      <c r="V368" s="85"/>
      <c r="W368" s="78"/>
      <c r="X368" s="78"/>
      <c r="Y368" s="76"/>
      <c r="Z368" s="76"/>
      <c r="AA368" s="86"/>
    </row>
    <row r="369" spans="2:27" s="64" customFormat="1">
      <c r="B369" s="76"/>
      <c r="C369" s="77"/>
      <c r="D369" s="78"/>
      <c r="E369" s="79"/>
      <c r="F369" s="80"/>
      <c r="G369" s="80"/>
      <c r="H369" s="81"/>
      <c r="I369" s="82"/>
      <c r="J369" s="83"/>
      <c r="K369" s="82"/>
      <c r="L369" s="82"/>
      <c r="M369" s="82"/>
      <c r="S369" s="84"/>
      <c r="T369" s="84"/>
      <c r="U369" s="78"/>
      <c r="V369" s="85"/>
      <c r="W369" s="78"/>
      <c r="X369" s="78"/>
      <c r="Y369" s="76"/>
      <c r="Z369" s="76"/>
      <c r="AA369" s="86"/>
    </row>
    <row r="370" spans="2:27" s="64" customFormat="1">
      <c r="B370" s="76"/>
      <c r="C370" s="77"/>
      <c r="D370" s="78"/>
      <c r="E370" s="79"/>
      <c r="F370" s="80"/>
      <c r="G370" s="80"/>
      <c r="H370" s="81"/>
      <c r="I370" s="82"/>
      <c r="J370" s="83"/>
      <c r="K370" s="82"/>
      <c r="L370" s="82"/>
      <c r="M370" s="82"/>
      <c r="S370" s="84"/>
      <c r="T370" s="84"/>
      <c r="U370" s="78"/>
      <c r="V370" s="85"/>
      <c r="W370" s="78"/>
      <c r="X370" s="78"/>
      <c r="Y370" s="76"/>
      <c r="Z370" s="76"/>
      <c r="AA370" s="86"/>
    </row>
    <row r="371" spans="2:27" s="64" customFormat="1">
      <c r="B371" s="76"/>
      <c r="C371" s="77"/>
      <c r="D371" s="78"/>
      <c r="E371" s="79"/>
      <c r="F371" s="80"/>
      <c r="G371" s="80"/>
      <c r="H371" s="81"/>
      <c r="I371" s="82"/>
      <c r="J371" s="83"/>
      <c r="K371" s="82"/>
      <c r="L371" s="82"/>
      <c r="M371" s="82"/>
      <c r="S371" s="84"/>
      <c r="T371" s="84"/>
      <c r="U371" s="78"/>
      <c r="V371" s="85"/>
      <c r="W371" s="78"/>
      <c r="X371" s="78"/>
      <c r="Y371" s="76"/>
      <c r="Z371" s="76"/>
      <c r="AA371" s="86"/>
    </row>
    <row r="372" spans="2:27" s="64" customFormat="1">
      <c r="B372" s="76"/>
      <c r="C372" s="77"/>
      <c r="D372" s="78"/>
      <c r="E372" s="79"/>
      <c r="F372" s="80"/>
      <c r="G372" s="80"/>
      <c r="H372" s="81"/>
      <c r="I372" s="82"/>
      <c r="J372" s="83"/>
      <c r="K372" s="82"/>
      <c r="L372" s="82"/>
      <c r="M372" s="82"/>
      <c r="S372" s="84"/>
      <c r="T372" s="84"/>
      <c r="U372" s="78"/>
      <c r="V372" s="85"/>
      <c r="W372" s="78"/>
      <c r="X372" s="78"/>
      <c r="Y372" s="76"/>
      <c r="Z372" s="76"/>
      <c r="AA372" s="86"/>
    </row>
    <row r="373" spans="2:27" s="64" customFormat="1">
      <c r="B373" s="76"/>
      <c r="C373" s="77"/>
      <c r="D373" s="78"/>
      <c r="E373" s="79"/>
      <c r="F373" s="80"/>
      <c r="G373" s="80"/>
      <c r="H373" s="81"/>
      <c r="I373" s="82"/>
      <c r="J373" s="83"/>
      <c r="K373" s="82"/>
      <c r="L373" s="82"/>
      <c r="M373" s="82"/>
      <c r="S373" s="84"/>
      <c r="T373" s="84"/>
      <c r="U373" s="78"/>
      <c r="V373" s="85"/>
      <c r="W373" s="78"/>
      <c r="X373" s="78"/>
      <c r="Y373" s="76"/>
      <c r="Z373" s="76"/>
      <c r="AA373" s="86"/>
    </row>
    <row r="374" spans="2:27" s="64" customFormat="1">
      <c r="B374" s="76"/>
      <c r="C374" s="77"/>
      <c r="D374" s="78"/>
      <c r="E374" s="79"/>
      <c r="F374" s="80"/>
      <c r="G374" s="80"/>
      <c r="H374" s="81"/>
      <c r="I374" s="82"/>
      <c r="J374" s="83"/>
      <c r="K374" s="82"/>
      <c r="L374" s="82"/>
      <c r="M374" s="82"/>
      <c r="S374" s="84"/>
      <c r="T374" s="84"/>
      <c r="U374" s="78"/>
      <c r="V374" s="85"/>
      <c r="W374" s="78"/>
      <c r="X374" s="78"/>
      <c r="Y374" s="76"/>
      <c r="Z374" s="76"/>
      <c r="AA374" s="86"/>
    </row>
    <row r="375" spans="2:27" s="64" customFormat="1">
      <c r="B375" s="76"/>
      <c r="C375" s="77"/>
      <c r="D375" s="78"/>
      <c r="E375" s="79"/>
      <c r="F375" s="80"/>
      <c r="G375" s="80"/>
      <c r="H375" s="81"/>
      <c r="I375" s="82"/>
      <c r="J375" s="83"/>
      <c r="K375" s="82"/>
      <c r="L375" s="82"/>
      <c r="M375" s="82"/>
      <c r="S375" s="84"/>
      <c r="T375" s="84"/>
      <c r="U375" s="78"/>
      <c r="V375" s="85"/>
      <c r="W375" s="78"/>
      <c r="X375" s="78"/>
      <c r="Y375" s="76"/>
      <c r="Z375" s="76"/>
      <c r="AA375" s="86"/>
    </row>
    <row r="376" spans="2:27" s="64" customFormat="1">
      <c r="B376" s="76"/>
      <c r="C376" s="77"/>
      <c r="D376" s="78"/>
      <c r="E376" s="79"/>
      <c r="F376" s="80"/>
      <c r="G376" s="80"/>
      <c r="H376" s="81"/>
      <c r="I376" s="82"/>
      <c r="J376" s="83"/>
      <c r="K376" s="82"/>
      <c r="L376" s="82"/>
      <c r="M376" s="82"/>
      <c r="S376" s="84"/>
      <c r="T376" s="84"/>
      <c r="U376" s="78"/>
      <c r="V376" s="85"/>
      <c r="W376" s="78"/>
      <c r="X376" s="78"/>
      <c r="Y376" s="76"/>
      <c r="Z376" s="76"/>
      <c r="AA376" s="86"/>
    </row>
    <row r="377" spans="2:27" s="64" customFormat="1">
      <c r="B377" s="76"/>
      <c r="C377" s="77"/>
      <c r="D377" s="78"/>
      <c r="E377" s="79"/>
      <c r="F377" s="80"/>
      <c r="G377" s="80"/>
      <c r="H377" s="81"/>
      <c r="I377" s="82"/>
      <c r="J377" s="83"/>
      <c r="K377" s="82"/>
      <c r="L377" s="82"/>
      <c r="M377" s="82"/>
      <c r="S377" s="84"/>
      <c r="T377" s="84"/>
      <c r="U377" s="78"/>
      <c r="V377" s="85"/>
      <c r="W377" s="78"/>
      <c r="X377" s="78"/>
      <c r="Y377" s="76"/>
      <c r="Z377" s="76"/>
      <c r="AA377" s="86"/>
    </row>
    <row r="378" spans="2:27" s="64" customFormat="1">
      <c r="B378" s="76"/>
      <c r="C378" s="77"/>
      <c r="D378" s="78"/>
      <c r="E378" s="79"/>
      <c r="F378" s="80"/>
      <c r="G378" s="80"/>
      <c r="H378" s="81"/>
      <c r="I378" s="82"/>
      <c r="J378" s="83"/>
      <c r="K378" s="82"/>
      <c r="L378" s="82"/>
      <c r="M378" s="82"/>
      <c r="S378" s="84"/>
      <c r="T378" s="84"/>
      <c r="U378" s="78"/>
      <c r="V378" s="85"/>
      <c r="W378" s="78"/>
      <c r="X378" s="78"/>
      <c r="Y378" s="76"/>
      <c r="Z378" s="76"/>
      <c r="AA378" s="86"/>
    </row>
    <row r="379" spans="2:27" s="64" customFormat="1">
      <c r="B379" s="76"/>
      <c r="C379" s="77"/>
      <c r="D379" s="78"/>
      <c r="E379" s="79"/>
      <c r="F379" s="80"/>
      <c r="G379" s="80"/>
      <c r="H379" s="81"/>
      <c r="I379" s="82"/>
      <c r="J379" s="83"/>
      <c r="K379" s="82"/>
      <c r="L379" s="82"/>
      <c r="M379" s="82"/>
      <c r="S379" s="84"/>
      <c r="T379" s="84"/>
      <c r="U379" s="78"/>
      <c r="V379" s="85"/>
      <c r="W379" s="78"/>
      <c r="X379" s="78"/>
      <c r="Y379" s="76"/>
      <c r="Z379" s="76"/>
      <c r="AA379" s="86"/>
    </row>
    <row r="380" spans="2:27" s="64" customFormat="1">
      <c r="B380" s="76"/>
      <c r="C380" s="77"/>
      <c r="D380" s="78"/>
      <c r="E380" s="79"/>
      <c r="F380" s="80"/>
      <c r="G380" s="80"/>
      <c r="H380" s="81"/>
      <c r="I380" s="82"/>
      <c r="J380" s="83"/>
      <c r="K380" s="82"/>
      <c r="L380" s="82"/>
      <c r="M380" s="82"/>
      <c r="S380" s="84"/>
      <c r="T380" s="84"/>
      <c r="U380" s="78"/>
      <c r="V380" s="85"/>
      <c r="W380" s="78"/>
      <c r="X380" s="78"/>
      <c r="Y380" s="76"/>
      <c r="Z380" s="76"/>
      <c r="AA380" s="86"/>
    </row>
    <row r="381" spans="2:27" s="64" customFormat="1">
      <c r="B381" s="76"/>
      <c r="C381" s="77"/>
      <c r="D381" s="78"/>
      <c r="E381" s="79"/>
      <c r="F381" s="80"/>
      <c r="G381" s="80"/>
      <c r="H381" s="81"/>
      <c r="I381" s="82"/>
      <c r="J381" s="83"/>
      <c r="K381" s="82"/>
      <c r="L381" s="82"/>
      <c r="M381" s="82"/>
      <c r="S381" s="84"/>
      <c r="T381" s="84"/>
      <c r="U381" s="78"/>
      <c r="V381" s="85"/>
      <c r="W381" s="78"/>
      <c r="X381" s="78"/>
      <c r="Y381" s="76"/>
      <c r="Z381" s="76"/>
      <c r="AA381" s="86"/>
    </row>
    <row r="382" spans="2:27" s="64" customFormat="1">
      <c r="B382" s="76"/>
      <c r="C382" s="77"/>
      <c r="D382" s="78"/>
      <c r="E382" s="79"/>
      <c r="F382" s="80"/>
      <c r="G382" s="80"/>
      <c r="H382" s="81"/>
      <c r="I382" s="82"/>
      <c r="J382" s="83"/>
      <c r="K382" s="82"/>
      <c r="L382" s="82"/>
      <c r="M382" s="82"/>
      <c r="S382" s="84"/>
      <c r="T382" s="84"/>
      <c r="U382" s="78"/>
      <c r="V382" s="85"/>
      <c r="W382" s="78"/>
      <c r="X382" s="78"/>
      <c r="Y382" s="76"/>
      <c r="Z382" s="76"/>
      <c r="AA382" s="86"/>
    </row>
    <row r="383" spans="2:27" s="64" customFormat="1">
      <c r="B383" s="76"/>
      <c r="C383" s="77"/>
      <c r="D383" s="78"/>
      <c r="E383" s="79"/>
      <c r="F383" s="80"/>
      <c r="G383" s="80"/>
      <c r="H383" s="81"/>
      <c r="I383" s="82"/>
      <c r="J383" s="83"/>
      <c r="K383" s="82"/>
      <c r="L383" s="82"/>
      <c r="M383" s="82"/>
      <c r="S383" s="84"/>
      <c r="T383" s="84"/>
      <c r="U383" s="78"/>
      <c r="V383" s="85"/>
      <c r="W383" s="78"/>
      <c r="X383" s="78"/>
      <c r="Y383" s="76"/>
      <c r="Z383" s="76"/>
      <c r="AA383" s="86"/>
    </row>
    <row r="384" spans="2:27" s="64" customFormat="1">
      <c r="B384" s="76"/>
      <c r="C384" s="77"/>
      <c r="D384" s="78"/>
      <c r="E384" s="79"/>
      <c r="F384" s="80"/>
      <c r="G384" s="80"/>
      <c r="H384" s="81"/>
      <c r="I384" s="82"/>
      <c r="J384" s="83"/>
      <c r="K384" s="82"/>
      <c r="L384" s="82"/>
      <c r="M384" s="82"/>
      <c r="S384" s="84"/>
      <c r="T384" s="84"/>
      <c r="U384" s="78"/>
      <c r="V384" s="85"/>
      <c r="W384" s="78"/>
      <c r="X384" s="78"/>
      <c r="Y384" s="76"/>
      <c r="Z384" s="76"/>
      <c r="AA384" s="86"/>
    </row>
    <row r="385" spans="2:27" s="64" customFormat="1">
      <c r="B385" s="76"/>
      <c r="C385" s="77"/>
      <c r="D385" s="78"/>
      <c r="E385" s="79"/>
      <c r="F385" s="80"/>
      <c r="G385" s="80"/>
      <c r="H385" s="81"/>
      <c r="I385" s="82"/>
      <c r="J385" s="83"/>
      <c r="K385" s="82"/>
      <c r="L385" s="82"/>
      <c r="M385" s="82"/>
      <c r="S385" s="84"/>
      <c r="T385" s="84"/>
      <c r="U385" s="78"/>
      <c r="V385" s="85"/>
      <c r="W385" s="78"/>
      <c r="X385" s="78"/>
      <c r="Y385" s="76"/>
      <c r="Z385" s="76"/>
      <c r="AA385" s="86"/>
    </row>
    <row r="386" spans="2:27" s="64" customFormat="1">
      <c r="B386" s="76"/>
      <c r="C386" s="77"/>
      <c r="D386" s="78"/>
      <c r="E386" s="79"/>
      <c r="F386" s="80"/>
      <c r="G386" s="80"/>
      <c r="H386" s="81"/>
      <c r="I386" s="82"/>
      <c r="J386" s="83"/>
      <c r="K386" s="82"/>
      <c r="L386" s="82"/>
      <c r="M386" s="82"/>
      <c r="S386" s="84"/>
      <c r="T386" s="84"/>
      <c r="U386" s="78"/>
      <c r="V386" s="85"/>
      <c r="W386" s="78"/>
      <c r="X386" s="78"/>
      <c r="Y386" s="76"/>
      <c r="Z386" s="76"/>
      <c r="AA386" s="86"/>
    </row>
    <row r="387" spans="2:27" s="64" customFormat="1">
      <c r="B387" s="76"/>
      <c r="C387" s="77"/>
      <c r="D387" s="78"/>
      <c r="E387" s="79"/>
      <c r="F387" s="80"/>
      <c r="G387" s="80"/>
      <c r="H387" s="81"/>
      <c r="I387" s="82"/>
      <c r="J387" s="83"/>
      <c r="K387" s="82"/>
      <c r="L387" s="82"/>
      <c r="M387" s="82"/>
      <c r="S387" s="84"/>
      <c r="T387" s="84"/>
      <c r="U387" s="78"/>
      <c r="V387" s="85"/>
      <c r="W387" s="78"/>
      <c r="X387" s="78"/>
      <c r="Y387" s="76"/>
      <c r="Z387" s="76"/>
      <c r="AA387" s="86"/>
    </row>
    <row r="388" spans="2:27" s="64" customFormat="1">
      <c r="B388" s="76"/>
      <c r="C388" s="77"/>
      <c r="D388" s="78"/>
      <c r="E388" s="79"/>
      <c r="F388" s="80"/>
      <c r="G388" s="80"/>
      <c r="H388" s="81"/>
      <c r="I388" s="82"/>
      <c r="J388" s="83"/>
      <c r="K388" s="82"/>
      <c r="L388" s="82"/>
      <c r="M388" s="82"/>
      <c r="S388" s="84"/>
      <c r="T388" s="84"/>
      <c r="U388" s="78"/>
      <c r="V388" s="85"/>
      <c r="W388" s="78"/>
      <c r="X388" s="78"/>
      <c r="Y388" s="76"/>
      <c r="Z388" s="76"/>
      <c r="AA388" s="86"/>
    </row>
    <row r="389" spans="2:27" s="64" customFormat="1">
      <c r="B389" s="76"/>
      <c r="C389" s="77"/>
      <c r="D389" s="78"/>
      <c r="E389" s="79"/>
      <c r="F389" s="80"/>
      <c r="G389" s="80"/>
      <c r="H389" s="81"/>
      <c r="I389" s="82"/>
      <c r="J389" s="83"/>
      <c r="K389" s="82"/>
      <c r="L389" s="82"/>
      <c r="M389" s="82"/>
      <c r="S389" s="84"/>
      <c r="T389" s="84"/>
      <c r="U389" s="78"/>
      <c r="V389" s="85"/>
      <c r="W389" s="78"/>
      <c r="X389" s="78"/>
      <c r="Y389" s="76"/>
      <c r="Z389" s="76"/>
      <c r="AA389" s="86"/>
    </row>
    <row r="390" spans="2:27" s="64" customFormat="1">
      <c r="B390" s="76"/>
      <c r="C390" s="77"/>
      <c r="D390" s="78"/>
      <c r="E390" s="79"/>
      <c r="F390" s="80"/>
      <c r="G390" s="80"/>
      <c r="H390" s="81"/>
      <c r="I390" s="82"/>
      <c r="J390" s="83"/>
      <c r="K390" s="82"/>
      <c r="L390" s="82"/>
      <c r="M390" s="82"/>
      <c r="S390" s="84"/>
      <c r="T390" s="84"/>
      <c r="U390" s="78"/>
      <c r="V390" s="85"/>
      <c r="W390" s="78"/>
      <c r="X390" s="78"/>
      <c r="Y390" s="76"/>
      <c r="Z390" s="76"/>
      <c r="AA390" s="86"/>
    </row>
    <row r="391" spans="2:27" s="64" customFormat="1">
      <c r="B391" s="76"/>
      <c r="C391" s="77"/>
      <c r="D391" s="78"/>
      <c r="E391" s="79"/>
      <c r="F391" s="80"/>
      <c r="G391" s="80"/>
      <c r="H391" s="81"/>
      <c r="I391" s="82"/>
      <c r="J391" s="83"/>
      <c r="K391" s="82"/>
      <c r="L391" s="82"/>
      <c r="M391" s="82"/>
      <c r="S391" s="84"/>
      <c r="T391" s="84"/>
      <c r="U391" s="78"/>
      <c r="V391" s="85"/>
      <c r="W391" s="78"/>
      <c r="X391" s="78"/>
      <c r="Y391" s="76"/>
      <c r="Z391" s="76"/>
      <c r="AA391" s="86"/>
    </row>
    <row r="392" spans="2:27" s="64" customFormat="1">
      <c r="B392" s="76"/>
      <c r="C392" s="77"/>
      <c r="D392" s="78"/>
      <c r="E392" s="79"/>
      <c r="F392" s="80"/>
      <c r="G392" s="80"/>
      <c r="H392" s="81"/>
      <c r="I392" s="82"/>
      <c r="J392" s="83"/>
      <c r="K392" s="82"/>
      <c r="L392" s="82"/>
      <c r="M392" s="82"/>
      <c r="S392" s="84"/>
      <c r="T392" s="84"/>
      <c r="U392" s="78"/>
      <c r="V392" s="85"/>
      <c r="W392" s="78"/>
      <c r="X392" s="78"/>
      <c r="Y392" s="76"/>
      <c r="Z392" s="76"/>
      <c r="AA392" s="86"/>
    </row>
    <row r="393" spans="2:27" s="64" customFormat="1">
      <c r="B393" s="76"/>
      <c r="C393" s="77"/>
      <c r="D393" s="78"/>
      <c r="E393" s="79"/>
      <c r="F393" s="80"/>
      <c r="G393" s="80"/>
      <c r="H393" s="81"/>
      <c r="I393" s="82"/>
      <c r="J393" s="83"/>
      <c r="K393" s="82"/>
      <c r="L393" s="82"/>
      <c r="M393" s="82"/>
      <c r="S393" s="84"/>
      <c r="T393" s="84"/>
      <c r="U393" s="78"/>
      <c r="V393" s="85"/>
      <c r="W393" s="78"/>
      <c r="X393" s="78"/>
      <c r="Y393" s="76"/>
      <c r="Z393" s="76"/>
      <c r="AA393" s="86"/>
    </row>
    <row r="394" spans="2:27" s="64" customFormat="1">
      <c r="B394" s="76"/>
      <c r="C394" s="77"/>
      <c r="D394" s="78"/>
      <c r="E394" s="79"/>
      <c r="F394" s="80"/>
      <c r="G394" s="80"/>
      <c r="H394" s="81"/>
      <c r="I394" s="82"/>
      <c r="J394" s="83"/>
      <c r="K394" s="82"/>
      <c r="L394" s="82"/>
      <c r="M394" s="82"/>
      <c r="S394" s="84"/>
      <c r="T394" s="84"/>
      <c r="U394" s="78"/>
      <c r="V394" s="85"/>
      <c r="W394" s="78"/>
      <c r="X394" s="78"/>
      <c r="Y394" s="76"/>
      <c r="Z394" s="76"/>
      <c r="AA394" s="86"/>
    </row>
    <row r="395" spans="2:27" s="64" customFormat="1">
      <c r="B395" s="76"/>
      <c r="C395" s="77"/>
      <c r="D395" s="78"/>
      <c r="E395" s="79"/>
      <c r="F395" s="80"/>
      <c r="G395" s="80"/>
      <c r="H395" s="81"/>
      <c r="I395" s="82"/>
      <c r="J395" s="83"/>
      <c r="K395" s="82"/>
      <c r="L395" s="82"/>
      <c r="M395" s="82"/>
      <c r="S395" s="84"/>
      <c r="T395" s="84"/>
      <c r="U395" s="78"/>
      <c r="V395" s="85"/>
      <c r="W395" s="78"/>
      <c r="X395" s="78"/>
      <c r="Y395" s="76"/>
      <c r="Z395" s="76"/>
      <c r="AA395" s="86"/>
    </row>
    <row r="396" spans="2:27" s="64" customFormat="1">
      <c r="B396" s="76"/>
      <c r="C396" s="77"/>
      <c r="D396" s="78"/>
      <c r="E396" s="79"/>
      <c r="F396" s="80"/>
      <c r="G396" s="80"/>
      <c r="H396" s="81"/>
      <c r="I396" s="82"/>
      <c r="J396" s="83"/>
      <c r="K396" s="82"/>
      <c r="L396" s="82"/>
      <c r="M396" s="82"/>
      <c r="S396" s="84"/>
      <c r="T396" s="84"/>
      <c r="U396" s="78"/>
      <c r="V396" s="85"/>
      <c r="W396" s="78"/>
      <c r="X396" s="78"/>
      <c r="Y396" s="76"/>
      <c r="Z396" s="76"/>
      <c r="AA396" s="86"/>
    </row>
    <row r="397" spans="2:27" s="64" customFormat="1">
      <c r="B397" s="76"/>
      <c r="C397" s="77"/>
      <c r="D397" s="78"/>
      <c r="E397" s="79"/>
      <c r="F397" s="80"/>
      <c r="G397" s="80"/>
      <c r="H397" s="81"/>
      <c r="I397" s="82"/>
      <c r="J397" s="83"/>
      <c r="K397" s="82"/>
      <c r="L397" s="82"/>
      <c r="M397" s="82"/>
      <c r="S397" s="84"/>
      <c r="T397" s="84"/>
      <c r="U397" s="78"/>
      <c r="V397" s="85"/>
      <c r="W397" s="78"/>
      <c r="X397" s="78"/>
      <c r="Y397" s="76"/>
      <c r="Z397" s="76"/>
      <c r="AA397" s="86"/>
    </row>
    <row r="398" spans="2:27" s="64" customFormat="1">
      <c r="B398" s="76"/>
      <c r="C398" s="77"/>
      <c r="D398" s="78"/>
      <c r="E398" s="79"/>
      <c r="F398" s="80"/>
      <c r="G398" s="80"/>
      <c r="H398" s="81"/>
      <c r="I398" s="82"/>
      <c r="J398" s="83"/>
      <c r="K398" s="82"/>
      <c r="L398" s="82"/>
      <c r="M398" s="82"/>
      <c r="S398" s="84"/>
      <c r="T398" s="84"/>
      <c r="U398" s="78"/>
      <c r="V398" s="85"/>
      <c r="W398" s="78"/>
      <c r="X398" s="78"/>
      <c r="Y398" s="76"/>
      <c r="Z398" s="76"/>
      <c r="AA398" s="86"/>
    </row>
    <row r="399" spans="2:27" s="64" customFormat="1">
      <c r="B399" s="76"/>
      <c r="C399" s="77"/>
      <c r="D399" s="78"/>
      <c r="E399" s="79"/>
      <c r="F399" s="80"/>
      <c r="G399" s="80"/>
      <c r="H399" s="81"/>
      <c r="I399" s="82"/>
      <c r="J399" s="83"/>
      <c r="K399" s="82"/>
      <c r="L399" s="82"/>
      <c r="M399" s="82"/>
      <c r="S399" s="84"/>
      <c r="T399" s="84"/>
      <c r="U399" s="78"/>
      <c r="V399" s="85"/>
      <c r="W399" s="78"/>
      <c r="X399" s="78"/>
      <c r="Y399" s="76"/>
      <c r="Z399" s="76"/>
      <c r="AA399" s="86"/>
    </row>
    <row r="400" spans="2:27" s="64" customFormat="1">
      <c r="B400" s="76"/>
      <c r="C400" s="77"/>
      <c r="D400" s="78"/>
      <c r="E400" s="79"/>
      <c r="F400" s="80"/>
      <c r="G400" s="80"/>
      <c r="H400" s="81"/>
      <c r="I400" s="82"/>
      <c r="J400" s="83"/>
      <c r="K400" s="82"/>
      <c r="L400" s="82"/>
      <c r="M400" s="82"/>
      <c r="S400" s="84"/>
      <c r="T400" s="84"/>
      <c r="U400" s="78"/>
      <c r="V400" s="85"/>
      <c r="W400" s="78"/>
      <c r="X400" s="78"/>
      <c r="Y400" s="76"/>
      <c r="Z400" s="76"/>
      <c r="AA400" s="86"/>
    </row>
    <row r="401" spans="2:27" s="64" customFormat="1">
      <c r="B401" s="76"/>
      <c r="C401" s="77"/>
      <c r="D401" s="78"/>
      <c r="E401" s="79"/>
      <c r="F401" s="80"/>
      <c r="G401" s="80"/>
      <c r="H401" s="81"/>
      <c r="I401" s="82"/>
      <c r="J401" s="83"/>
      <c r="K401" s="82"/>
      <c r="L401" s="82"/>
      <c r="M401" s="82"/>
      <c r="S401" s="84"/>
      <c r="T401" s="84"/>
      <c r="U401" s="78"/>
      <c r="V401" s="85"/>
      <c r="W401" s="78"/>
      <c r="X401" s="78"/>
      <c r="Y401" s="76"/>
      <c r="Z401" s="76"/>
      <c r="AA401" s="86"/>
    </row>
    <row r="402" spans="2:27" s="64" customFormat="1">
      <c r="B402" s="76"/>
      <c r="C402" s="77"/>
      <c r="D402" s="78"/>
      <c r="E402" s="79"/>
      <c r="F402" s="80"/>
      <c r="G402" s="80"/>
      <c r="H402" s="81"/>
      <c r="I402" s="82"/>
      <c r="J402" s="83"/>
      <c r="K402" s="82"/>
      <c r="L402" s="82"/>
      <c r="M402" s="82"/>
      <c r="S402" s="84"/>
      <c r="T402" s="84"/>
      <c r="U402" s="78"/>
      <c r="V402" s="85"/>
      <c r="W402" s="78"/>
      <c r="X402" s="78"/>
      <c r="Y402" s="76"/>
      <c r="Z402" s="76"/>
      <c r="AA402" s="86"/>
    </row>
    <row r="403" spans="2:27" s="64" customFormat="1">
      <c r="B403" s="76"/>
      <c r="C403" s="77"/>
      <c r="D403" s="78"/>
      <c r="E403" s="79"/>
      <c r="F403" s="80"/>
      <c r="G403" s="80"/>
      <c r="H403" s="81"/>
      <c r="I403" s="82"/>
      <c r="J403" s="83"/>
      <c r="K403" s="82"/>
      <c r="L403" s="82"/>
      <c r="M403" s="82"/>
      <c r="S403" s="84"/>
      <c r="T403" s="84"/>
      <c r="U403" s="78"/>
      <c r="V403" s="85"/>
      <c r="W403" s="78"/>
      <c r="X403" s="78"/>
      <c r="Y403" s="76"/>
      <c r="Z403" s="76"/>
      <c r="AA403" s="86"/>
    </row>
    <row r="404" spans="2:27" s="64" customFormat="1">
      <c r="B404" s="76"/>
      <c r="C404" s="77"/>
      <c r="D404" s="78"/>
      <c r="E404" s="79"/>
      <c r="F404" s="80"/>
      <c r="G404" s="80"/>
      <c r="H404" s="81"/>
      <c r="I404" s="82"/>
      <c r="J404" s="83"/>
      <c r="K404" s="82"/>
      <c r="L404" s="82"/>
      <c r="M404" s="82"/>
      <c r="S404" s="84"/>
      <c r="T404" s="84"/>
      <c r="U404" s="78"/>
      <c r="V404" s="85"/>
      <c r="W404" s="78"/>
      <c r="X404" s="78"/>
      <c r="Y404" s="76"/>
      <c r="Z404" s="76"/>
      <c r="AA404" s="86"/>
    </row>
    <row r="405" spans="2:27" s="64" customFormat="1">
      <c r="B405" s="76"/>
      <c r="C405" s="77"/>
      <c r="D405" s="78"/>
      <c r="E405" s="79"/>
      <c r="F405" s="80"/>
      <c r="G405" s="80"/>
      <c r="H405" s="81"/>
      <c r="I405" s="82"/>
      <c r="J405" s="83"/>
      <c r="K405" s="82"/>
      <c r="L405" s="82"/>
      <c r="M405" s="82"/>
      <c r="S405" s="84"/>
      <c r="T405" s="84"/>
      <c r="U405" s="78"/>
      <c r="V405" s="85"/>
      <c r="W405" s="78"/>
      <c r="X405" s="78"/>
      <c r="Y405" s="76"/>
      <c r="Z405" s="76"/>
      <c r="AA405" s="86"/>
    </row>
    <row r="406" spans="2:27" s="64" customFormat="1">
      <c r="B406" s="76"/>
      <c r="C406" s="77"/>
      <c r="D406" s="78"/>
      <c r="E406" s="79"/>
      <c r="F406" s="80"/>
      <c r="G406" s="80"/>
      <c r="H406" s="81"/>
      <c r="I406" s="82"/>
      <c r="J406" s="83"/>
      <c r="K406" s="82"/>
      <c r="L406" s="82"/>
      <c r="M406" s="82"/>
      <c r="S406" s="84"/>
      <c r="T406" s="84"/>
      <c r="U406" s="78"/>
      <c r="V406" s="85"/>
      <c r="W406" s="78"/>
      <c r="X406" s="78"/>
      <c r="Y406" s="76"/>
      <c r="Z406" s="76"/>
      <c r="AA406" s="86"/>
    </row>
    <row r="407" spans="2:27" s="64" customFormat="1">
      <c r="B407" s="76"/>
      <c r="C407" s="77"/>
      <c r="D407" s="78"/>
      <c r="E407" s="79"/>
      <c r="F407" s="80"/>
      <c r="G407" s="80"/>
      <c r="H407" s="81"/>
      <c r="I407" s="82"/>
      <c r="J407" s="83"/>
      <c r="K407" s="82"/>
      <c r="L407" s="82"/>
      <c r="M407" s="82"/>
      <c r="S407" s="84"/>
      <c r="T407" s="84"/>
      <c r="U407" s="78"/>
      <c r="V407" s="85"/>
      <c r="W407" s="78"/>
      <c r="X407" s="78"/>
      <c r="Y407" s="76"/>
      <c r="Z407" s="76"/>
      <c r="AA407" s="86"/>
    </row>
    <row r="408" spans="2:27" s="64" customFormat="1">
      <c r="B408" s="76"/>
      <c r="C408" s="77"/>
      <c r="D408" s="78"/>
      <c r="E408" s="79"/>
      <c r="F408" s="80"/>
      <c r="G408" s="80"/>
      <c r="H408" s="81"/>
      <c r="I408" s="82"/>
      <c r="J408" s="83"/>
      <c r="K408" s="82"/>
      <c r="L408" s="82"/>
      <c r="M408" s="82"/>
      <c r="S408" s="84"/>
      <c r="T408" s="84"/>
      <c r="U408" s="78"/>
      <c r="V408" s="85"/>
      <c r="W408" s="78"/>
      <c r="X408" s="78"/>
      <c r="Y408" s="76"/>
      <c r="Z408" s="76"/>
      <c r="AA408" s="86"/>
    </row>
    <row r="409" spans="2:27" s="64" customFormat="1">
      <c r="B409" s="76"/>
      <c r="C409" s="77"/>
      <c r="D409" s="78"/>
      <c r="E409" s="79"/>
      <c r="F409" s="80"/>
      <c r="G409" s="80"/>
      <c r="H409" s="81"/>
      <c r="I409" s="82"/>
      <c r="J409" s="83"/>
      <c r="K409" s="82"/>
      <c r="L409" s="82"/>
      <c r="M409" s="82"/>
      <c r="S409" s="84"/>
      <c r="T409" s="84"/>
      <c r="U409" s="78"/>
      <c r="V409" s="85"/>
      <c r="W409" s="78"/>
      <c r="X409" s="78"/>
      <c r="Y409" s="76"/>
      <c r="Z409" s="76"/>
      <c r="AA409" s="86"/>
    </row>
    <row r="410" spans="2:27" s="64" customFormat="1">
      <c r="B410" s="76"/>
      <c r="C410" s="77"/>
      <c r="D410" s="78"/>
      <c r="E410" s="79"/>
      <c r="F410" s="80"/>
      <c r="G410" s="80"/>
      <c r="H410" s="81"/>
      <c r="I410" s="82"/>
      <c r="J410" s="83"/>
      <c r="K410" s="82"/>
      <c r="L410" s="82"/>
      <c r="M410" s="82"/>
      <c r="S410" s="84"/>
      <c r="T410" s="84"/>
      <c r="U410" s="78"/>
      <c r="V410" s="85"/>
      <c r="W410" s="78"/>
      <c r="X410" s="78"/>
      <c r="Y410" s="76"/>
      <c r="Z410" s="76"/>
      <c r="AA410" s="86"/>
    </row>
    <row r="411" spans="2:27" s="64" customFormat="1">
      <c r="B411" s="76"/>
      <c r="C411" s="77"/>
      <c r="D411" s="78"/>
      <c r="E411" s="79"/>
      <c r="F411" s="80"/>
      <c r="G411" s="80"/>
      <c r="H411" s="81"/>
      <c r="I411" s="82"/>
      <c r="J411" s="83"/>
      <c r="K411" s="82"/>
      <c r="L411" s="82"/>
      <c r="M411" s="82"/>
      <c r="S411" s="84"/>
      <c r="T411" s="84"/>
      <c r="U411" s="78"/>
      <c r="V411" s="85"/>
      <c r="W411" s="78"/>
      <c r="X411" s="78"/>
      <c r="Y411" s="76"/>
      <c r="Z411" s="76"/>
      <c r="AA411" s="86"/>
    </row>
    <row r="412" spans="2:27" s="64" customFormat="1">
      <c r="B412" s="76"/>
      <c r="C412" s="77"/>
      <c r="D412" s="78"/>
      <c r="E412" s="79"/>
      <c r="F412" s="80"/>
      <c r="G412" s="80"/>
      <c r="H412" s="81"/>
      <c r="I412" s="82"/>
      <c r="J412" s="83"/>
      <c r="K412" s="82"/>
      <c r="L412" s="82"/>
      <c r="M412" s="82"/>
      <c r="S412" s="84"/>
      <c r="T412" s="84"/>
      <c r="U412" s="78"/>
      <c r="V412" s="85"/>
      <c r="W412" s="78"/>
      <c r="X412" s="78"/>
      <c r="Y412" s="76"/>
      <c r="Z412" s="76"/>
      <c r="AA412" s="86"/>
    </row>
    <row r="413" spans="2:27" s="64" customFormat="1">
      <c r="B413" s="76"/>
      <c r="C413" s="77"/>
      <c r="D413" s="78"/>
      <c r="E413" s="79"/>
      <c r="F413" s="80"/>
      <c r="G413" s="80"/>
      <c r="H413" s="81"/>
      <c r="I413" s="82"/>
      <c r="J413" s="83"/>
      <c r="K413" s="82"/>
      <c r="L413" s="82"/>
      <c r="M413" s="82"/>
      <c r="S413" s="84"/>
      <c r="T413" s="84"/>
      <c r="U413" s="78"/>
      <c r="V413" s="85"/>
      <c r="W413" s="78"/>
      <c r="X413" s="78"/>
      <c r="Y413" s="76"/>
      <c r="Z413" s="76"/>
      <c r="AA413" s="86"/>
    </row>
    <row r="414" spans="2:27" s="64" customFormat="1">
      <c r="B414" s="76"/>
      <c r="C414" s="77"/>
      <c r="D414" s="78"/>
      <c r="E414" s="79"/>
      <c r="F414" s="80"/>
      <c r="G414" s="80"/>
      <c r="H414" s="81"/>
      <c r="I414" s="82"/>
      <c r="J414" s="83"/>
      <c r="K414" s="82"/>
      <c r="L414" s="82"/>
      <c r="M414" s="82"/>
      <c r="S414" s="84"/>
      <c r="T414" s="84"/>
      <c r="U414" s="78"/>
      <c r="V414" s="85"/>
      <c r="W414" s="78"/>
      <c r="X414" s="78"/>
      <c r="Y414" s="76"/>
      <c r="Z414" s="76"/>
      <c r="AA414" s="86"/>
    </row>
    <row r="415" spans="2:27" s="64" customFormat="1">
      <c r="B415" s="76"/>
      <c r="C415" s="77"/>
      <c r="D415" s="78"/>
      <c r="E415" s="79"/>
      <c r="F415" s="80"/>
      <c r="G415" s="80"/>
      <c r="H415" s="81"/>
      <c r="I415" s="82"/>
      <c r="J415" s="83"/>
      <c r="K415" s="82"/>
      <c r="L415" s="82"/>
      <c r="M415" s="82"/>
      <c r="S415" s="84"/>
      <c r="T415" s="84"/>
      <c r="U415" s="78"/>
      <c r="V415" s="85"/>
      <c r="W415" s="78"/>
      <c r="X415" s="78"/>
      <c r="Y415" s="76"/>
      <c r="Z415" s="76"/>
      <c r="AA415" s="86"/>
    </row>
    <row r="416" spans="2:27" s="64" customFormat="1">
      <c r="B416" s="76"/>
      <c r="C416" s="77"/>
      <c r="D416" s="78"/>
      <c r="E416" s="79"/>
      <c r="F416" s="80"/>
      <c r="G416" s="80"/>
      <c r="H416" s="81"/>
      <c r="I416" s="82"/>
      <c r="J416" s="83"/>
      <c r="K416" s="82"/>
      <c r="L416" s="82"/>
      <c r="M416" s="82"/>
      <c r="S416" s="84"/>
      <c r="T416" s="84"/>
      <c r="U416" s="78"/>
      <c r="V416" s="85"/>
      <c r="W416" s="78"/>
      <c r="X416" s="78"/>
      <c r="Y416" s="76"/>
      <c r="Z416" s="76"/>
      <c r="AA416" s="86"/>
    </row>
    <row r="417" spans="2:27" s="64" customFormat="1">
      <c r="B417" s="76"/>
      <c r="C417" s="77"/>
      <c r="D417" s="78"/>
      <c r="E417" s="79"/>
      <c r="F417" s="80"/>
      <c r="G417" s="80"/>
      <c r="H417" s="81"/>
      <c r="I417" s="82"/>
      <c r="J417" s="83"/>
      <c r="K417" s="82"/>
      <c r="L417" s="82"/>
      <c r="M417" s="82"/>
      <c r="S417" s="84"/>
      <c r="T417" s="84"/>
      <c r="U417" s="78"/>
      <c r="V417" s="85"/>
      <c r="W417" s="78"/>
      <c r="X417" s="78"/>
      <c r="Y417" s="76"/>
      <c r="Z417" s="76"/>
      <c r="AA417" s="86"/>
    </row>
    <row r="418" spans="2:27" s="64" customFormat="1">
      <c r="B418" s="76"/>
      <c r="C418" s="77"/>
      <c r="D418" s="78"/>
      <c r="E418" s="79"/>
      <c r="F418" s="80"/>
      <c r="G418" s="80"/>
      <c r="H418" s="81"/>
      <c r="I418" s="82"/>
      <c r="J418" s="83"/>
      <c r="K418" s="82"/>
      <c r="L418" s="82"/>
      <c r="M418" s="82"/>
      <c r="S418" s="84"/>
      <c r="T418" s="84"/>
      <c r="U418" s="78"/>
      <c r="V418" s="85"/>
      <c r="W418" s="78"/>
      <c r="X418" s="78"/>
      <c r="Y418" s="76"/>
      <c r="Z418" s="76"/>
      <c r="AA418" s="86"/>
    </row>
    <row r="419" spans="2:27" s="64" customFormat="1">
      <c r="B419" s="76"/>
      <c r="C419" s="77"/>
      <c r="D419" s="78"/>
      <c r="E419" s="79"/>
      <c r="F419" s="80"/>
      <c r="G419" s="80"/>
      <c r="H419" s="81"/>
      <c r="I419" s="82"/>
      <c r="J419" s="83"/>
      <c r="K419" s="82"/>
      <c r="L419" s="82"/>
      <c r="M419" s="82"/>
      <c r="S419" s="84"/>
      <c r="T419" s="84"/>
      <c r="U419" s="78"/>
      <c r="V419" s="85"/>
      <c r="W419" s="78"/>
      <c r="X419" s="78"/>
      <c r="Y419" s="76"/>
      <c r="Z419" s="76"/>
      <c r="AA419" s="86"/>
    </row>
    <row r="420" spans="2:27" s="64" customFormat="1">
      <c r="B420" s="76"/>
      <c r="C420" s="77"/>
      <c r="D420" s="78"/>
      <c r="E420" s="79"/>
      <c r="F420" s="80"/>
      <c r="G420" s="80"/>
      <c r="H420" s="81"/>
      <c r="I420" s="82"/>
      <c r="J420" s="83"/>
      <c r="K420" s="82"/>
      <c r="L420" s="82"/>
      <c r="M420" s="82"/>
      <c r="S420" s="84"/>
      <c r="T420" s="84"/>
      <c r="U420" s="78"/>
      <c r="V420" s="85"/>
      <c r="W420" s="78"/>
      <c r="X420" s="78"/>
      <c r="Y420" s="76"/>
      <c r="Z420" s="76"/>
      <c r="AA420" s="86"/>
    </row>
    <row r="421" spans="2:27" s="64" customFormat="1">
      <c r="B421" s="76"/>
      <c r="C421" s="77"/>
      <c r="D421" s="78"/>
      <c r="E421" s="79"/>
      <c r="F421" s="80"/>
      <c r="G421" s="80"/>
      <c r="H421" s="81"/>
      <c r="I421" s="82"/>
      <c r="J421" s="83"/>
      <c r="K421" s="82"/>
      <c r="L421" s="82"/>
      <c r="M421" s="82"/>
      <c r="S421" s="84"/>
      <c r="T421" s="84"/>
      <c r="U421" s="78"/>
      <c r="V421" s="85"/>
      <c r="W421" s="78"/>
      <c r="X421" s="78"/>
      <c r="Y421" s="76"/>
      <c r="Z421" s="76"/>
      <c r="AA421" s="86"/>
    </row>
    <row r="422" spans="2:27" s="64" customFormat="1">
      <c r="B422" s="76"/>
      <c r="C422" s="77"/>
      <c r="D422" s="78"/>
      <c r="E422" s="79"/>
      <c r="F422" s="80"/>
      <c r="G422" s="80"/>
      <c r="H422" s="81"/>
      <c r="I422" s="82"/>
      <c r="J422" s="83"/>
      <c r="K422" s="82"/>
      <c r="L422" s="82"/>
      <c r="M422" s="82"/>
      <c r="S422" s="84"/>
      <c r="T422" s="84"/>
      <c r="U422" s="78"/>
      <c r="V422" s="85"/>
      <c r="W422" s="78"/>
      <c r="X422" s="78"/>
      <c r="Y422" s="76"/>
      <c r="Z422" s="76"/>
      <c r="AA422" s="86"/>
    </row>
    <row r="423" spans="2:27" s="64" customFormat="1">
      <c r="B423" s="76"/>
      <c r="C423" s="77"/>
      <c r="D423" s="78"/>
      <c r="E423" s="79"/>
      <c r="F423" s="80"/>
      <c r="G423" s="80"/>
      <c r="H423" s="81"/>
      <c r="I423" s="82"/>
      <c r="J423" s="83"/>
      <c r="K423" s="82"/>
      <c r="L423" s="82"/>
      <c r="M423" s="82"/>
      <c r="S423" s="84"/>
      <c r="T423" s="84"/>
      <c r="U423" s="78"/>
      <c r="V423" s="85"/>
      <c r="W423" s="78"/>
      <c r="X423" s="78"/>
      <c r="Y423" s="76"/>
      <c r="Z423" s="76"/>
      <c r="AA423" s="86"/>
    </row>
    <row r="424" spans="2:27" s="64" customFormat="1">
      <c r="B424" s="76"/>
      <c r="C424" s="77"/>
      <c r="D424" s="78"/>
      <c r="E424" s="79"/>
      <c r="F424" s="80"/>
      <c r="G424" s="80"/>
      <c r="H424" s="81"/>
      <c r="I424" s="82"/>
      <c r="J424" s="83"/>
      <c r="K424" s="82"/>
      <c r="L424" s="82"/>
      <c r="M424" s="82"/>
      <c r="S424" s="84"/>
      <c r="T424" s="84"/>
      <c r="U424" s="78"/>
      <c r="V424" s="85"/>
      <c r="W424" s="78"/>
      <c r="X424" s="78"/>
      <c r="Y424" s="76"/>
      <c r="Z424" s="76"/>
      <c r="AA424" s="86"/>
    </row>
    <row r="425" spans="2:27" s="64" customFormat="1">
      <c r="B425" s="76"/>
      <c r="C425" s="77"/>
      <c r="D425" s="78"/>
      <c r="E425" s="79"/>
      <c r="F425" s="80"/>
      <c r="G425" s="80"/>
      <c r="H425" s="81"/>
      <c r="I425" s="82"/>
      <c r="J425" s="83"/>
      <c r="K425" s="82"/>
      <c r="L425" s="82"/>
      <c r="M425" s="82"/>
      <c r="S425" s="84"/>
      <c r="T425" s="84"/>
      <c r="U425" s="78"/>
      <c r="V425" s="85"/>
      <c r="W425" s="78"/>
      <c r="X425" s="78"/>
      <c r="Y425" s="76"/>
      <c r="Z425" s="76"/>
      <c r="AA425" s="86"/>
    </row>
    <row r="426" spans="2:27" s="64" customFormat="1">
      <c r="B426" s="76"/>
      <c r="C426" s="77"/>
      <c r="D426" s="78"/>
      <c r="E426" s="79"/>
      <c r="F426" s="80"/>
      <c r="G426" s="80"/>
      <c r="H426" s="81"/>
      <c r="I426" s="82"/>
      <c r="J426" s="83"/>
      <c r="K426" s="82"/>
      <c r="L426" s="82"/>
      <c r="M426" s="82"/>
      <c r="S426" s="84"/>
      <c r="T426" s="84"/>
      <c r="U426" s="78"/>
      <c r="V426" s="85"/>
      <c r="W426" s="78"/>
      <c r="X426" s="78"/>
      <c r="Y426" s="76"/>
      <c r="Z426" s="76"/>
      <c r="AA426" s="86"/>
    </row>
    <row r="427" spans="2:27" s="64" customFormat="1">
      <c r="B427" s="76"/>
      <c r="C427" s="77"/>
      <c r="D427" s="78"/>
      <c r="E427" s="79"/>
      <c r="F427" s="80"/>
      <c r="G427" s="80"/>
      <c r="H427" s="81"/>
      <c r="I427" s="82"/>
      <c r="J427" s="83"/>
      <c r="K427" s="82"/>
      <c r="L427" s="82"/>
      <c r="M427" s="82"/>
      <c r="S427" s="84"/>
      <c r="T427" s="84"/>
      <c r="U427" s="78"/>
      <c r="V427" s="85"/>
      <c r="W427" s="78"/>
      <c r="X427" s="78"/>
      <c r="Y427" s="76"/>
      <c r="Z427" s="76"/>
      <c r="AA427" s="86"/>
    </row>
    <row r="428" spans="2:27" s="64" customFormat="1">
      <c r="B428" s="76"/>
      <c r="C428" s="77"/>
      <c r="D428" s="78"/>
      <c r="E428" s="79"/>
      <c r="F428" s="80"/>
      <c r="G428" s="80"/>
      <c r="H428" s="81"/>
      <c r="I428" s="82"/>
      <c r="J428" s="83"/>
      <c r="K428" s="82"/>
      <c r="L428" s="82"/>
      <c r="M428" s="82"/>
      <c r="S428" s="84"/>
      <c r="T428" s="84"/>
      <c r="U428" s="78"/>
      <c r="V428" s="85"/>
      <c r="W428" s="78"/>
      <c r="X428" s="78"/>
      <c r="Y428" s="76"/>
      <c r="Z428" s="76"/>
      <c r="AA428" s="86"/>
    </row>
    <row r="429" spans="2:27" s="64" customFormat="1">
      <c r="B429" s="76"/>
      <c r="C429" s="77"/>
      <c r="D429" s="78"/>
      <c r="E429" s="79"/>
      <c r="F429" s="80"/>
      <c r="G429" s="80"/>
      <c r="H429" s="81"/>
      <c r="I429" s="82"/>
      <c r="J429" s="83"/>
      <c r="K429" s="82"/>
      <c r="L429" s="82"/>
      <c r="M429" s="82"/>
      <c r="S429" s="84"/>
      <c r="T429" s="84"/>
      <c r="U429" s="78"/>
      <c r="V429" s="85"/>
      <c r="W429" s="78"/>
      <c r="X429" s="78"/>
      <c r="Y429" s="76"/>
      <c r="Z429" s="76"/>
      <c r="AA429" s="86"/>
    </row>
    <row r="430" spans="2:27" s="64" customFormat="1">
      <c r="B430" s="76"/>
      <c r="C430" s="77"/>
      <c r="D430" s="78"/>
      <c r="E430" s="79"/>
      <c r="F430" s="80"/>
      <c r="G430" s="80"/>
      <c r="H430" s="81"/>
      <c r="I430" s="82"/>
      <c r="J430" s="83"/>
      <c r="K430" s="82"/>
      <c r="L430" s="82"/>
      <c r="M430" s="82"/>
      <c r="S430" s="84"/>
      <c r="T430" s="84"/>
      <c r="U430" s="78"/>
      <c r="V430" s="85"/>
      <c r="W430" s="78"/>
      <c r="X430" s="78"/>
      <c r="Y430" s="76"/>
      <c r="Z430" s="76"/>
      <c r="AA430" s="86"/>
    </row>
    <row r="431" spans="2:27" s="64" customFormat="1">
      <c r="B431" s="76"/>
      <c r="C431" s="77"/>
      <c r="D431" s="78"/>
      <c r="E431" s="79"/>
      <c r="F431" s="80"/>
      <c r="G431" s="80"/>
      <c r="H431" s="81"/>
      <c r="I431" s="82"/>
      <c r="J431" s="83"/>
      <c r="K431" s="82"/>
      <c r="L431" s="82"/>
      <c r="M431" s="82"/>
      <c r="S431" s="84"/>
      <c r="T431" s="84"/>
      <c r="U431" s="78"/>
      <c r="V431" s="85"/>
      <c r="W431" s="78"/>
      <c r="X431" s="78"/>
      <c r="Y431" s="76"/>
      <c r="Z431" s="76"/>
      <c r="AA431" s="86"/>
    </row>
    <row r="432" spans="2:27" s="64" customFormat="1">
      <c r="B432" s="76"/>
      <c r="C432" s="77"/>
      <c r="D432" s="78"/>
      <c r="E432" s="79"/>
      <c r="F432" s="80"/>
      <c r="G432" s="80"/>
      <c r="H432" s="81"/>
      <c r="I432" s="82"/>
      <c r="J432" s="83"/>
      <c r="K432" s="82"/>
      <c r="L432" s="82"/>
      <c r="M432" s="82"/>
      <c r="S432" s="84"/>
      <c r="T432" s="84"/>
      <c r="U432" s="78"/>
      <c r="V432" s="85"/>
      <c r="W432" s="78"/>
      <c r="X432" s="78"/>
      <c r="Y432" s="76"/>
      <c r="Z432" s="76"/>
      <c r="AA432" s="86"/>
    </row>
    <row r="433" spans="2:27" s="64" customFormat="1">
      <c r="B433" s="76"/>
      <c r="C433" s="77"/>
      <c r="D433" s="78"/>
      <c r="E433" s="79"/>
      <c r="F433" s="80"/>
      <c r="G433" s="80"/>
      <c r="H433" s="81"/>
      <c r="I433" s="82"/>
      <c r="J433" s="83"/>
      <c r="K433" s="82"/>
      <c r="L433" s="82"/>
      <c r="M433" s="82"/>
      <c r="S433" s="84"/>
      <c r="T433" s="84"/>
      <c r="U433" s="78"/>
      <c r="V433" s="85"/>
      <c r="W433" s="78"/>
      <c r="X433" s="78"/>
      <c r="Y433" s="76"/>
      <c r="Z433" s="76"/>
      <c r="AA433" s="86"/>
    </row>
    <row r="434" spans="2:27" s="64" customFormat="1">
      <c r="B434" s="76"/>
      <c r="C434" s="77"/>
      <c r="D434" s="78"/>
      <c r="E434" s="79"/>
      <c r="F434" s="80"/>
      <c r="G434" s="80"/>
      <c r="H434" s="81"/>
      <c r="I434" s="82"/>
      <c r="J434" s="83"/>
      <c r="K434" s="82"/>
      <c r="L434" s="82"/>
      <c r="M434" s="82"/>
      <c r="S434" s="84"/>
      <c r="T434" s="84"/>
      <c r="U434" s="78"/>
      <c r="V434" s="85"/>
      <c r="W434" s="78"/>
      <c r="X434" s="78"/>
      <c r="Y434" s="76"/>
      <c r="Z434" s="76"/>
      <c r="AA434" s="86"/>
    </row>
    <row r="435" spans="2:27" s="64" customFormat="1">
      <c r="B435" s="76"/>
      <c r="C435" s="77"/>
      <c r="D435" s="78"/>
      <c r="E435" s="79"/>
      <c r="F435" s="80"/>
      <c r="G435" s="80"/>
      <c r="H435" s="81"/>
      <c r="I435" s="82"/>
      <c r="J435" s="83"/>
      <c r="K435" s="82"/>
      <c r="L435" s="82"/>
      <c r="M435" s="82"/>
      <c r="S435" s="84"/>
      <c r="T435" s="84"/>
      <c r="U435" s="78"/>
      <c r="V435" s="85"/>
      <c r="W435" s="78"/>
      <c r="X435" s="78"/>
      <c r="Y435" s="76"/>
      <c r="Z435" s="76"/>
      <c r="AA435" s="86"/>
    </row>
    <row r="436" spans="2:27" s="64" customFormat="1">
      <c r="B436" s="76"/>
      <c r="C436" s="77"/>
      <c r="D436" s="78"/>
      <c r="E436" s="79"/>
      <c r="F436" s="80"/>
      <c r="G436" s="80"/>
      <c r="H436" s="81"/>
      <c r="I436" s="82"/>
      <c r="J436" s="83"/>
      <c r="K436" s="82"/>
      <c r="L436" s="82"/>
      <c r="M436" s="82"/>
      <c r="S436" s="84"/>
      <c r="T436" s="84"/>
      <c r="U436" s="78"/>
      <c r="V436" s="85"/>
      <c r="W436" s="78"/>
      <c r="X436" s="78"/>
      <c r="Y436" s="76"/>
      <c r="Z436" s="76"/>
      <c r="AA436" s="86"/>
    </row>
    <row r="437" spans="2:27" s="64" customFormat="1">
      <c r="B437" s="76"/>
      <c r="C437" s="77"/>
      <c r="D437" s="78"/>
      <c r="E437" s="79"/>
      <c r="F437" s="80"/>
      <c r="G437" s="80"/>
      <c r="H437" s="81"/>
      <c r="I437" s="82"/>
      <c r="J437" s="83"/>
      <c r="K437" s="82"/>
      <c r="L437" s="82"/>
      <c r="M437" s="82"/>
      <c r="S437" s="84"/>
      <c r="T437" s="84"/>
      <c r="U437" s="78"/>
      <c r="V437" s="85"/>
      <c r="W437" s="78"/>
      <c r="X437" s="78"/>
      <c r="Y437" s="76"/>
      <c r="Z437" s="76"/>
      <c r="AA437" s="86"/>
    </row>
    <row r="438" spans="2:27" s="64" customFormat="1">
      <c r="B438" s="76"/>
      <c r="C438" s="77"/>
      <c r="D438" s="78"/>
      <c r="E438" s="79"/>
      <c r="F438" s="80"/>
      <c r="G438" s="80"/>
      <c r="H438" s="81"/>
      <c r="I438" s="82"/>
      <c r="J438" s="83"/>
      <c r="K438" s="82"/>
      <c r="L438" s="82"/>
      <c r="M438" s="82"/>
      <c r="S438" s="84"/>
      <c r="T438" s="84"/>
      <c r="U438" s="78"/>
      <c r="V438" s="85"/>
      <c r="W438" s="78"/>
      <c r="X438" s="78"/>
      <c r="Y438" s="76"/>
      <c r="Z438" s="76"/>
      <c r="AA438" s="86"/>
    </row>
  </sheetData>
  <sortState xmlns:xlrd2="http://schemas.microsoft.com/office/spreadsheetml/2017/richdata2" ref="A3:AA343">
    <sortCondition ref="B3:B343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7"/>
  <sheetViews>
    <sheetView topLeftCell="A79" zoomScale="120" zoomScaleNormal="120" workbookViewId="0">
      <selection activeCell="A100" sqref="A100"/>
    </sheetView>
  </sheetViews>
  <sheetFormatPr defaultColWidth="28.625" defaultRowHeight="16.5" customHeight="1"/>
  <cols>
    <col min="1" max="1" width="24.75" style="166" customWidth="1"/>
    <col min="2" max="2" width="8.875" style="166" customWidth="1"/>
    <col min="3" max="3" width="9.5" style="166" customWidth="1"/>
    <col min="4" max="4" width="16.375" style="166" customWidth="1"/>
    <col min="5" max="5" width="24.125" style="166" customWidth="1"/>
    <col min="6" max="6" width="7.625" style="166" customWidth="1"/>
    <col min="7" max="7" width="16.375" style="166" customWidth="1"/>
    <col min="8" max="8" width="22" style="166" customWidth="1"/>
    <col min="9" max="9" width="14.875" style="166" customWidth="1"/>
    <col min="10" max="10" width="5.375" style="166" customWidth="1"/>
    <col min="11" max="11" width="11.375" style="166" customWidth="1"/>
    <col min="12" max="12" width="7.875" style="166" customWidth="1"/>
    <col min="13" max="13" width="13.5" style="166" customWidth="1"/>
    <col min="14" max="14" width="17.875" style="166" customWidth="1"/>
    <col min="15" max="15" width="10.125" style="166" customWidth="1"/>
    <col min="16" max="16" width="9.875" style="166" customWidth="1"/>
    <col min="17" max="17" width="20.125" style="166" customWidth="1"/>
    <col min="18" max="18" width="8.875" style="166" customWidth="1"/>
    <col min="19" max="16384" width="28.625" style="166"/>
  </cols>
  <sheetData>
    <row r="1" spans="1:19" s="135" customFormat="1" ht="16.5" customHeight="1">
      <c r="A1" s="134" t="s">
        <v>1970</v>
      </c>
      <c r="B1" s="134" t="s">
        <v>1971</v>
      </c>
      <c r="C1" s="134" t="s">
        <v>1972</v>
      </c>
      <c r="D1" s="134" t="s">
        <v>1973</v>
      </c>
      <c r="E1" s="134" t="s">
        <v>1974</v>
      </c>
      <c r="F1" s="134" t="s">
        <v>1975</v>
      </c>
      <c r="G1" s="134" t="s">
        <v>1976</v>
      </c>
      <c r="H1" s="134" t="s">
        <v>1977</v>
      </c>
      <c r="I1" s="134" t="s">
        <v>1978</v>
      </c>
      <c r="J1" s="134" t="s">
        <v>1979</v>
      </c>
      <c r="K1" s="134" t="s">
        <v>1980</v>
      </c>
      <c r="L1" s="134" t="s">
        <v>1981</v>
      </c>
      <c r="M1" s="134" t="s">
        <v>1982</v>
      </c>
      <c r="N1" s="134" t="s">
        <v>1983</v>
      </c>
      <c r="O1" s="134" t="s">
        <v>1984</v>
      </c>
      <c r="P1" s="134" t="s">
        <v>1985</v>
      </c>
      <c r="Q1" s="134" t="s">
        <v>1986</v>
      </c>
      <c r="R1" s="135" t="s">
        <v>1987</v>
      </c>
    </row>
    <row r="2" spans="1:19" s="140" customFormat="1" ht="16.5" customHeight="1">
      <c r="A2" s="136" t="s">
        <v>1254</v>
      </c>
      <c r="B2" s="137" t="s">
        <v>718</v>
      </c>
      <c r="C2" s="137" t="s">
        <v>1988</v>
      </c>
      <c r="D2" s="137" t="s">
        <v>1989</v>
      </c>
      <c r="E2" s="137" t="s">
        <v>1990</v>
      </c>
      <c r="F2" s="137" t="s">
        <v>427</v>
      </c>
      <c r="G2" s="137" t="s">
        <v>1991</v>
      </c>
      <c r="H2" s="137" t="s">
        <v>1992</v>
      </c>
      <c r="I2" s="137" t="s">
        <v>1993</v>
      </c>
      <c r="J2" s="137">
        <v>1</v>
      </c>
      <c r="K2" s="137" t="s">
        <v>1994</v>
      </c>
      <c r="L2" s="137" t="s">
        <v>1995</v>
      </c>
      <c r="M2" s="137" t="s">
        <v>1996</v>
      </c>
      <c r="N2" s="137" t="s">
        <v>1997</v>
      </c>
      <c r="O2" s="138">
        <v>45383</v>
      </c>
      <c r="P2" s="137" t="s">
        <v>1998</v>
      </c>
      <c r="Q2" s="137" t="s">
        <v>1999</v>
      </c>
      <c r="R2" s="139"/>
    </row>
    <row r="3" spans="1:19" s="140" customFormat="1" ht="16.5" customHeight="1">
      <c r="A3" s="136" t="s">
        <v>1261</v>
      </c>
      <c r="B3" s="137" t="s">
        <v>718</v>
      </c>
      <c r="C3" s="137" t="s">
        <v>1988</v>
      </c>
      <c r="D3" s="137" t="s">
        <v>1989</v>
      </c>
      <c r="E3" s="137" t="s">
        <v>2000</v>
      </c>
      <c r="F3" s="137" t="s">
        <v>427</v>
      </c>
      <c r="G3" s="137" t="s">
        <v>719</v>
      </c>
      <c r="H3" s="137" t="s">
        <v>2001</v>
      </c>
      <c r="I3" s="137" t="s">
        <v>720</v>
      </c>
      <c r="J3" s="137">
        <v>1</v>
      </c>
      <c r="K3" s="137" t="s">
        <v>1994</v>
      </c>
      <c r="L3" s="137" t="s">
        <v>1995</v>
      </c>
      <c r="M3" s="137" t="s">
        <v>1996</v>
      </c>
      <c r="N3" s="137" t="s">
        <v>2002</v>
      </c>
      <c r="O3" s="138">
        <v>44470</v>
      </c>
      <c r="P3" s="137" t="s">
        <v>1998</v>
      </c>
      <c r="Q3" s="137" t="s">
        <v>2003</v>
      </c>
      <c r="R3" s="139"/>
    </row>
    <row r="4" spans="1:19" s="140" customFormat="1" ht="16.5" customHeight="1">
      <c r="A4" s="136" t="s">
        <v>1267</v>
      </c>
      <c r="B4" s="137" t="s">
        <v>718</v>
      </c>
      <c r="C4" s="137" t="s">
        <v>1988</v>
      </c>
      <c r="D4" s="137" t="s">
        <v>1989</v>
      </c>
      <c r="E4" s="137" t="s">
        <v>2004</v>
      </c>
      <c r="F4" s="137" t="s">
        <v>721</v>
      </c>
      <c r="G4" s="137" t="s">
        <v>722</v>
      </c>
      <c r="H4" s="137" t="s">
        <v>2005</v>
      </c>
      <c r="I4" s="137" t="s">
        <v>723</v>
      </c>
      <c r="J4" s="137">
        <v>1</v>
      </c>
      <c r="K4" s="137" t="s">
        <v>1994</v>
      </c>
      <c r="L4" s="137" t="s">
        <v>1995</v>
      </c>
      <c r="M4" s="137" t="s">
        <v>1996</v>
      </c>
      <c r="N4" s="137" t="s">
        <v>2006</v>
      </c>
      <c r="O4" s="138">
        <v>43617</v>
      </c>
      <c r="P4" s="137" t="s">
        <v>1998</v>
      </c>
      <c r="Q4" s="137" t="s">
        <v>2007</v>
      </c>
      <c r="R4" s="139"/>
    </row>
    <row r="5" spans="1:19" s="140" customFormat="1" ht="16.5" customHeight="1">
      <c r="A5" s="136" t="s">
        <v>1269</v>
      </c>
      <c r="B5" s="137" t="s">
        <v>718</v>
      </c>
      <c r="C5" s="137" t="s">
        <v>1988</v>
      </c>
      <c r="D5" s="137" t="s">
        <v>1989</v>
      </c>
      <c r="E5" s="137" t="s">
        <v>2008</v>
      </c>
      <c r="F5" s="137" t="s">
        <v>427</v>
      </c>
      <c r="G5" s="137" t="s">
        <v>2009</v>
      </c>
      <c r="H5" s="137" t="s">
        <v>2010</v>
      </c>
      <c r="I5" s="137" t="s">
        <v>2011</v>
      </c>
      <c r="J5" s="137">
        <v>1</v>
      </c>
      <c r="K5" s="137" t="s">
        <v>1994</v>
      </c>
      <c r="L5" s="137" t="s">
        <v>1995</v>
      </c>
      <c r="M5" s="137" t="s">
        <v>1996</v>
      </c>
      <c r="N5" s="137" t="s">
        <v>2012</v>
      </c>
      <c r="O5" s="138">
        <v>45383</v>
      </c>
      <c r="P5" s="137" t="s">
        <v>1998</v>
      </c>
      <c r="Q5" s="137" t="s">
        <v>2013</v>
      </c>
      <c r="R5" s="139"/>
    </row>
    <row r="6" spans="1:19" s="140" customFormat="1" ht="16.5" customHeight="1">
      <c r="A6" s="136" t="s">
        <v>1259</v>
      </c>
      <c r="B6" s="137" t="s">
        <v>718</v>
      </c>
      <c r="C6" s="137" t="s">
        <v>2014</v>
      </c>
      <c r="D6" s="137" t="s">
        <v>2015</v>
      </c>
      <c r="E6" s="137" t="s">
        <v>2016</v>
      </c>
      <c r="F6" s="137" t="s">
        <v>724</v>
      </c>
      <c r="G6" s="137" t="s">
        <v>725</v>
      </c>
      <c r="H6" s="137" t="s">
        <v>2017</v>
      </c>
      <c r="I6" s="137" t="s">
        <v>726</v>
      </c>
      <c r="J6" s="137">
        <v>1</v>
      </c>
      <c r="K6" s="137" t="s">
        <v>1994</v>
      </c>
      <c r="L6" s="137" t="s">
        <v>1995</v>
      </c>
      <c r="M6" s="137" t="s">
        <v>1996</v>
      </c>
      <c r="N6" s="137" t="s">
        <v>2018</v>
      </c>
      <c r="O6" s="138"/>
      <c r="P6" s="137" t="s">
        <v>1998</v>
      </c>
      <c r="Q6" s="137" t="s">
        <v>2019</v>
      </c>
      <c r="R6" s="139"/>
    </row>
    <row r="7" spans="1:19" s="140" customFormat="1" ht="16.5" customHeight="1">
      <c r="A7" s="136" t="s">
        <v>1260</v>
      </c>
      <c r="B7" s="137" t="s">
        <v>718</v>
      </c>
      <c r="C7" s="137" t="s">
        <v>2014</v>
      </c>
      <c r="D7" s="137" t="s">
        <v>2015</v>
      </c>
      <c r="E7" s="137" t="s">
        <v>2020</v>
      </c>
      <c r="F7" s="137" t="s">
        <v>724</v>
      </c>
      <c r="G7" s="137" t="s">
        <v>727</v>
      </c>
      <c r="H7" s="137" t="s">
        <v>2021</v>
      </c>
      <c r="I7" s="137" t="s">
        <v>728</v>
      </c>
      <c r="J7" s="137">
        <v>1</v>
      </c>
      <c r="K7" s="137" t="s">
        <v>1994</v>
      </c>
      <c r="L7" s="137" t="s">
        <v>1995</v>
      </c>
      <c r="M7" s="137" t="s">
        <v>1996</v>
      </c>
      <c r="N7" s="137" t="s">
        <v>2018</v>
      </c>
      <c r="O7" s="138"/>
      <c r="P7" s="137" t="s">
        <v>1998</v>
      </c>
      <c r="Q7" s="137" t="s">
        <v>2022</v>
      </c>
      <c r="R7" s="139"/>
    </row>
    <row r="8" spans="1:19" s="140" customFormat="1" ht="16.5" customHeight="1">
      <c r="A8" s="136" t="s">
        <v>1263</v>
      </c>
      <c r="B8" s="137" t="s">
        <v>718</v>
      </c>
      <c r="C8" s="137" t="s">
        <v>2014</v>
      </c>
      <c r="D8" s="137" t="s">
        <v>2015</v>
      </c>
      <c r="E8" s="141" t="s">
        <v>2023</v>
      </c>
      <c r="F8" s="137" t="s">
        <v>724</v>
      </c>
      <c r="G8" s="137" t="s">
        <v>727</v>
      </c>
      <c r="H8" s="137" t="s">
        <v>2024</v>
      </c>
      <c r="I8" s="137" t="s">
        <v>729</v>
      </c>
      <c r="J8" s="137">
        <v>1</v>
      </c>
      <c r="K8" s="137" t="s">
        <v>1994</v>
      </c>
      <c r="L8" s="137" t="s">
        <v>1995</v>
      </c>
      <c r="M8" s="137" t="s">
        <v>1996</v>
      </c>
      <c r="N8" s="137" t="s">
        <v>2025</v>
      </c>
      <c r="O8" s="138"/>
      <c r="P8" s="137" t="s">
        <v>1998</v>
      </c>
      <c r="Q8" s="137" t="s">
        <v>2026</v>
      </c>
      <c r="R8" s="139"/>
    </row>
    <row r="9" spans="1:19" s="140" customFormat="1" ht="16.5" customHeight="1">
      <c r="A9" s="136" t="s">
        <v>1262</v>
      </c>
      <c r="B9" s="137" t="s">
        <v>718</v>
      </c>
      <c r="C9" s="137" t="s">
        <v>2014</v>
      </c>
      <c r="D9" s="137" t="s">
        <v>2015</v>
      </c>
      <c r="E9" s="137" t="s">
        <v>2027</v>
      </c>
      <c r="F9" s="137" t="s">
        <v>724</v>
      </c>
      <c r="G9" s="137" t="s">
        <v>730</v>
      </c>
      <c r="H9" s="137" t="s">
        <v>2028</v>
      </c>
      <c r="I9" s="137" t="s">
        <v>731</v>
      </c>
      <c r="J9" s="137">
        <v>1</v>
      </c>
      <c r="K9" s="137" t="s">
        <v>1994</v>
      </c>
      <c r="L9" s="137" t="s">
        <v>1995</v>
      </c>
      <c r="M9" s="137" t="s">
        <v>1996</v>
      </c>
      <c r="N9" s="137" t="s">
        <v>2025</v>
      </c>
      <c r="O9" s="138"/>
      <c r="P9" s="137" t="s">
        <v>1998</v>
      </c>
      <c r="Q9" s="137" t="s">
        <v>2029</v>
      </c>
      <c r="R9" s="139"/>
    </row>
    <row r="10" spans="1:19" s="140" customFormat="1" ht="16.5" customHeight="1">
      <c r="A10" s="136" t="s">
        <v>1268</v>
      </c>
      <c r="B10" s="137" t="s">
        <v>718</v>
      </c>
      <c r="C10" s="137" t="s">
        <v>2014</v>
      </c>
      <c r="D10" s="137" t="s">
        <v>2015</v>
      </c>
      <c r="E10" s="137" t="s">
        <v>2030</v>
      </c>
      <c r="F10" s="137" t="s">
        <v>724</v>
      </c>
      <c r="G10" s="137" t="s">
        <v>725</v>
      </c>
      <c r="H10" s="137" t="s">
        <v>2031</v>
      </c>
      <c r="I10" s="137" t="s">
        <v>732</v>
      </c>
      <c r="J10" s="137">
        <v>1</v>
      </c>
      <c r="K10" s="137" t="s">
        <v>1994</v>
      </c>
      <c r="L10" s="137" t="s">
        <v>1995</v>
      </c>
      <c r="M10" s="137" t="s">
        <v>1996</v>
      </c>
      <c r="N10" s="137" t="s">
        <v>2032</v>
      </c>
      <c r="O10" s="138"/>
      <c r="P10" s="137" t="s">
        <v>1998</v>
      </c>
      <c r="Q10" s="137" t="s">
        <v>2033</v>
      </c>
      <c r="R10" s="139"/>
    </row>
    <row r="11" spans="1:19" s="140" customFormat="1" ht="16.5" customHeight="1">
      <c r="A11" s="136" t="s">
        <v>1270</v>
      </c>
      <c r="B11" s="137" t="s">
        <v>718</v>
      </c>
      <c r="C11" s="137" t="s">
        <v>2014</v>
      </c>
      <c r="D11" s="137" t="s">
        <v>2015</v>
      </c>
      <c r="E11" s="137" t="s">
        <v>2034</v>
      </c>
      <c r="F11" s="137" t="s">
        <v>724</v>
      </c>
      <c r="G11" s="137" t="s">
        <v>730</v>
      </c>
      <c r="H11" s="137" t="s">
        <v>2035</v>
      </c>
      <c r="I11" s="137" t="s">
        <v>733</v>
      </c>
      <c r="J11" s="137">
        <v>1</v>
      </c>
      <c r="K11" s="137" t="s">
        <v>1994</v>
      </c>
      <c r="L11" s="137" t="s">
        <v>1995</v>
      </c>
      <c r="M11" s="137" t="s">
        <v>1996</v>
      </c>
      <c r="N11" s="137" t="s">
        <v>2036</v>
      </c>
      <c r="O11" s="138"/>
      <c r="P11" s="137" t="s">
        <v>1998</v>
      </c>
      <c r="Q11" s="137" t="s">
        <v>2037</v>
      </c>
      <c r="R11" s="139"/>
    </row>
    <row r="12" spans="1:19" s="140" customFormat="1" ht="16.5" customHeight="1">
      <c r="A12" s="136" t="s">
        <v>1271</v>
      </c>
      <c r="B12" s="137" t="s">
        <v>718</v>
      </c>
      <c r="C12" s="137" t="s">
        <v>2014</v>
      </c>
      <c r="D12" s="137" t="s">
        <v>2015</v>
      </c>
      <c r="E12" s="137" t="s">
        <v>2038</v>
      </c>
      <c r="F12" s="137" t="s">
        <v>724</v>
      </c>
      <c r="G12" s="137" t="s">
        <v>725</v>
      </c>
      <c r="H12" s="137" t="s">
        <v>2039</v>
      </c>
      <c r="I12" s="137" t="s">
        <v>734</v>
      </c>
      <c r="J12" s="137">
        <v>1</v>
      </c>
      <c r="K12" s="137" t="s">
        <v>1994</v>
      </c>
      <c r="L12" s="137" t="s">
        <v>2040</v>
      </c>
      <c r="M12" s="137" t="s">
        <v>2041</v>
      </c>
      <c r="N12" s="137" t="s">
        <v>2042</v>
      </c>
      <c r="O12" s="138"/>
      <c r="P12" s="137" t="s">
        <v>1998</v>
      </c>
      <c r="Q12" s="137" t="s">
        <v>2043</v>
      </c>
      <c r="R12" s="139"/>
    </row>
    <row r="13" spans="1:19" s="140" customFormat="1" ht="16.5" customHeight="1">
      <c r="A13" s="136" t="s">
        <v>735</v>
      </c>
      <c r="B13" s="137" t="s">
        <v>718</v>
      </c>
      <c r="C13" s="137" t="s">
        <v>2044</v>
      </c>
      <c r="D13" s="137" t="s">
        <v>2045</v>
      </c>
      <c r="E13" s="141" t="s">
        <v>2046</v>
      </c>
      <c r="F13" s="137" t="s">
        <v>427</v>
      </c>
      <c r="G13" s="137" t="s">
        <v>736</v>
      </c>
      <c r="H13" s="137" t="s">
        <v>2047</v>
      </c>
      <c r="I13" s="137" t="s">
        <v>737</v>
      </c>
      <c r="J13" s="137">
        <v>1</v>
      </c>
      <c r="K13" s="137" t="s">
        <v>1994</v>
      </c>
      <c r="L13" s="137" t="s">
        <v>2048</v>
      </c>
      <c r="M13" s="137" t="s">
        <v>2049</v>
      </c>
      <c r="N13" s="137" t="s">
        <v>2050</v>
      </c>
      <c r="O13" s="138">
        <v>45383</v>
      </c>
      <c r="P13" s="137" t="s">
        <v>1998</v>
      </c>
      <c r="Q13" s="137"/>
      <c r="R13" s="139"/>
    </row>
    <row r="14" spans="1:19" s="140" customFormat="1" ht="16.5" customHeight="1">
      <c r="A14" s="136" t="s">
        <v>738</v>
      </c>
      <c r="B14" s="137" t="s">
        <v>718</v>
      </c>
      <c r="C14" s="137" t="s">
        <v>2044</v>
      </c>
      <c r="D14" s="137" t="s">
        <v>2045</v>
      </c>
      <c r="E14" s="141" t="s">
        <v>2051</v>
      </c>
      <c r="F14" s="137" t="s">
        <v>427</v>
      </c>
      <c r="G14" s="137" t="s">
        <v>739</v>
      </c>
      <c r="H14" s="137" t="s">
        <v>2052</v>
      </c>
      <c r="I14" s="137" t="s">
        <v>740</v>
      </c>
      <c r="J14" s="137">
        <v>1</v>
      </c>
      <c r="K14" s="137" t="s">
        <v>1994</v>
      </c>
      <c r="L14" s="137" t="s">
        <v>2053</v>
      </c>
      <c r="M14" s="137" t="s">
        <v>2041</v>
      </c>
      <c r="N14" s="137" t="s">
        <v>2054</v>
      </c>
      <c r="O14" s="138">
        <v>45748</v>
      </c>
      <c r="P14" s="137" t="s">
        <v>1998</v>
      </c>
      <c r="Q14" s="137" t="s">
        <v>2055</v>
      </c>
      <c r="R14" s="139"/>
    </row>
    <row r="15" spans="1:19" s="140" customFormat="1" ht="16.5" customHeight="1">
      <c r="A15" s="142" t="s">
        <v>741</v>
      </c>
      <c r="B15" s="143" t="s">
        <v>718</v>
      </c>
      <c r="C15" s="143" t="s">
        <v>2044</v>
      </c>
      <c r="D15" s="143" t="s">
        <v>2056</v>
      </c>
      <c r="E15" s="144" t="s">
        <v>2057</v>
      </c>
      <c r="F15" s="143" t="s">
        <v>427</v>
      </c>
      <c r="G15" s="143" t="s">
        <v>742</v>
      </c>
      <c r="H15" s="143" t="s">
        <v>2058</v>
      </c>
      <c r="I15" s="143" t="s">
        <v>743</v>
      </c>
      <c r="J15" s="143">
        <v>1</v>
      </c>
      <c r="K15" s="143" t="s">
        <v>1994</v>
      </c>
      <c r="L15" s="143" t="s">
        <v>2059</v>
      </c>
      <c r="M15" s="143" t="s">
        <v>2060</v>
      </c>
      <c r="N15" s="143" t="s">
        <v>2061</v>
      </c>
      <c r="O15" s="145">
        <v>43586</v>
      </c>
      <c r="P15" s="143" t="s">
        <v>1998</v>
      </c>
      <c r="Q15" s="143"/>
      <c r="R15" s="146"/>
      <c r="S15" s="147" t="s">
        <v>2062</v>
      </c>
    </row>
    <row r="16" spans="1:19" s="152" customFormat="1" ht="16.5" customHeight="1">
      <c r="A16" s="148" t="s">
        <v>744</v>
      </c>
      <c r="B16" s="149" t="s">
        <v>718</v>
      </c>
      <c r="C16" s="149" t="s">
        <v>2044</v>
      </c>
      <c r="D16" s="149" t="s">
        <v>2056</v>
      </c>
      <c r="E16" s="150" t="s">
        <v>2063</v>
      </c>
      <c r="F16" s="149" t="s">
        <v>546</v>
      </c>
      <c r="G16" s="149" t="s">
        <v>745</v>
      </c>
      <c r="H16" s="149" t="s">
        <v>2064</v>
      </c>
      <c r="I16" s="149" t="s">
        <v>746</v>
      </c>
      <c r="J16" s="149">
        <v>1</v>
      </c>
      <c r="K16" s="149" t="s">
        <v>1994</v>
      </c>
      <c r="L16" s="149" t="s">
        <v>2065</v>
      </c>
      <c r="M16" s="149" t="s">
        <v>1996</v>
      </c>
      <c r="N16" s="149" t="s">
        <v>2066</v>
      </c>
      <c r="O16" s="151">
        <v>45383</v>
      </c>
      <c r="P16" s="149" t="s">
        <v>2067</v>
      </c>
      <c r="Q16" s="149" t="s">
        <v>2068</v>
      </c>
    </row>
    <row r="17" spans="1:19" s="157" customFormat="1" ht="16.5" customHeight="1">
      <c r="A17" s="153" t="s">
        <v>747</v>
      </c>
      <c r="B17" s="154" t="s">
        <v>718</v>
      </c>
      <c r="C17" s="154" t="s">
        <v>2044</v>
      </c>
      <c r="D17" s="154" t="s">
        <v>2056</v>
      </c>
      <c r="E17" s="154" t="s">
        <v>2069</v>
      </c>
      <c r="F17" s="154" t="s">
        <v>578</v>
      </c>
      <c r="G17" s="154" t="s">
        <v>748</v>
      </c>
      <c r="H17" s="154" t="s">
        <v>2070</v>
      </c>
      <c r="I17" s="154" t="s">
        <v>749</v>
      </c>
      <c r="J17" s="154">
        <v>1</v>
      </c>
      <c r="K17" s="154" t="s">
        <v>1994</v>
      </c>
      <c r="L17" s="154" t="s">
        <v>2065</v>
      </c>
      <c r="M17" s="154" t="s">
        <v>2071</v>
      </c>
      <c r="N17" s="154" t="s">
        <v>2072</v>
      </c>
      <c r="O17" s="155">
        <v>45017</v>
      </c>
      <c r="P17" s="154" t="s">
        <v>1998</v>
      </c>
      <c r="Q17" s="154"/>
      <c r="R17" s="156"/>
    </row>
    <row r="18" spans="1:19" s="157" customFormat="1" ht="16.5" customHeight="1">
      <c r="A18" s="153" t="s">
        <v>1275</v>
      </c>
      <c r="B18" s="154" t="s">
        <v>718</v>
      </c>
      <c r="C18" s="154" t="s">
        <v>2044</v>
      </c>
      <c r="D18" s="154" t="s">
        <v>2056</v>
      </c>
      <c r="E18" s="154" t="s">
        <v>2073</v>
      </c>
      <c r="F18" s="154" t="s">
        <v>750</v>
      </c>
      <c r="G18" s="154" t="s">
        <v>751</v>
      </c>
      <c r="H18" s="154" t="s">
        <v>2074</v>
      </c>
      <c r="I18" s="154" t="s">
        <v>752</v>
      </c>
      <c r="J18" s="154">
        <v>1</v>
      </c>
      <c r="K18" s="154" t="s">
        <v>1994</v>
      </c>
      <c r="L18" s="154" t="s">
        <v>2075</v>
      </c>
      <c r="M18" s="154" t="s">
        <v>2071</v>
      </c>
      <c r="N18" s="154" t="s">
        <v>2076</v>
      </c>
      <c r="O18" s="155">
        <v>44228</v>
      </c>
      <c r="P18" s="154" t="s">
        <v>1998</v>
      </c>
      <c r="Q18" s="154"/>
      <c r="R18" s="156"/>
    </row>
    <row r="19" spans="1:19" s="157" customFormat="1" ht="16.5" customHeight="1">
      <c r="A19" s="153" t="s">
        <v>753</v>
      </c>
      <c r="B19" s="154" t="s">
        <v>718</v>
      </c>
      <c r="C19" s="154" t="s">
        <v>2044</v>
      </c>
      <c r="D19" s="154" t="s">
        <v>2056</v>
      </c>
      <c r="E19" s="154" t="s">
        <v>2077</v>
      </c>
      <c r="F19" s="154" t="s">
        <v>546</v>
      </c>
      <c r="G19" s="154" t="s">
        <v>754</v>
      </c>
      <c r="H19" s="154" t="s">
        <v>2078</v>
      </c>
      <c r="I19" s="154" t="s">
        <v>755</v>
      </c>
      <c r="J19" s="154">
        <v>1</v>
      </c>
      <c r="K19" s="154" t="s">
        <v>1994</v>
      </c>
      <c r="L19" s="154" t="s">
        <v>1995</v>
      </c>
      <c r="M19" s="154" t="s">
        <v>1996</v>
      </c>
      <c r="N19" s="154" t="s">
        <v>2079</v>
      </c>
      <c r="O19" s="155">
        <v>45383</v>
      </c>
      <c r="P19" s="154" t="s">
        <v>1998</v>
      </c>
      <c r="Q19" s="154"/>
      <c r="R19" s="156"/>
    </row>
    <row r="20" spans="1:19" s="161" customFormat="1" ht="16.5" customHeight="1">
      <c r="A20" s="158" t="s">
        <v>756</v>
      </c>
      <c r="B20" s="159" t="s">
        <v>718</v>
      </c>
      <c r="C20" s="159" t="s">
        <v>2044</v>
      </c>
      <c r="D20" s="159" t="s">
        <v>2056</v>
      </c>
      <c r="E20" s="159" t="s">
        <v>2080</v>
      </c>
      <c r="F20" s="159" t="s">
        <v>546</v>
      </c>
      <c r="G20" s="159" t="s">
        <v>757</v>
      </c>
      <c r="H20" s="159" t="s">
        <v>2081</v>
      </c>
      <c r="I20" s="159" t="s">
        <v>758</v>
      </c>
      <c r="J20" s="159">
        <v>1</v>
      </c>
      <c r="K20" s="159" t="s">
        <v>1994</v>
      </c>
      <c r="L20" s="159" t="s">
        <v>2082</v>
      </c>
      <c r="M20" s="159" t="s">
        <v>1996</v>
      </c>
      <c r="N20" s="159" t="s">
        <v>2083</v>
      </c>
      <c r="O20" s="160">
        <v>45026</v>
      </c>
      <c r="P20" s="159" t="s">
        <v>1998</v>
      </c>
      <c r="Q20" s="159"/>
    </row>
    <row r="21" spans="1:19" s="157" customFormat="1" ht="16.5" customHeight="1">
      <c r="A21" s="153" t="s">
        <v>759</v>
      </c>
      <c r="B21" s="154" t="s">
        <v>718</v>
      </c>
      <c r="C21" s="154" t="s">
        <v>2044</v>
      </c>
      <c r="D21" s="154" t="s">
        <v>2056</v>
      </c>
      <c r="E21" s="154" t="s">
        <v>2084</v>
      </c>
      <c r="F21" s="154" t="s">
        <v>546</v>
      </c>
      <c r="G21" s="154" t="s">
        <v>745</v>
      </c>
      <c r="H21" s="154" t="s">
        <v>2085</v>
      </c>
      <c r="I21" s="154" t="s">
        <v>760</v>
      </c>
      <c r="J21" s="154">
        <v>1</v>
      </c>
      <c r="K21" s="154" t="s">
        <v>1994</v>
      </c>
      <c r="L21" s="154" t="s">
        <v>2086</v>
      </c>
      <c r="M21" s="154" t="s">
        <v>1996</v>
      </c>
      <c r="N21" s="154" t="s">
        <v>2087</v>
      </c>
      <c r="O21" s="155">
        <v>45642</v>
      </c>
      <c r="P21" s="154" t="s">
        <v>1998</v>
      </c>
      <c r="Q21" s="154"/>
      <c r="R21" s="156"/>
    </row>
    <row r="22" spans="1:19" s="140" customFormat="1" ht="16.5" customHeight="1">
      <c r="A22" s="136" t="s">
        <v>761</v>
      </c>
      <c r="B22" s="137" t="s">
        <v>718</v>
      </c>
      <c r="C22" s="137" t="s">
        <v>2044</v>
      </c>
      <c r="D22" s="137" t="s">
        <v>2056</v>
      </c>
      <c r="E22" s="137" t="s">
        <v>2088</v>
      </c>
      <c r="F22" s="137" t="s">
        <v>546</v>
      </c>
      <c r="G22" s="137" t="s">
        <v>745</v>
      </c>
      <c r="H22" s="137" t="s">
        <v>2085</v>
      </c>
      <c r="I22" s="137" t="s">
        <v>762</v>
      </c>
      <c r="J22" s="137">
        <v>1</v>
      </c>
      <c r="K22" s="137" t="s">
        <v>1994</v>
      </c>
      <c r="L22" s="137" t="s">
        <v>2089</v>
      </c>
      <c r="M22" s="137" t="s">
        <v>1996</v>
      </c>
      <c r="N22" s="137" t="s">
        <v>2090</v>
      </c>
      <c r="O22" s="138">
        <v>45901</v>
      </c>
      <c r="P22" s="137" t="s">
        <v>1998</v>
      </c>
      <c r="Q22" s="137"/>
      <c r="R22" s="139"/>
    </row>
    <row r="23" spans="1:19" s="140" customFormat="1" ht="16.5" customHeight="1">
      <c r="A23" s="136" t="s">
        <v>763</v>
      </c>
      <c r="B23" s="137" t="s">
        <v>718</v>
      </c>
      <c r="C23" s="137" t="s">
        <v>2044</v>
      </c>
      <c r="D23" s="137" t="s">
        <v>2056</v>
      </c>
      <c r="E23" s="141" t="s">
        <v>2091</v>
      </c>
      <c r="F23" s="137" t="s">
        <v>721</v>
      </c>
      <c r="G23" s="137" t="s">
        <v>764</v>
      </c>
      <c r="H23" s="137" t="s">
        <v>2092</v>
      </c>
      <c r="I23" s="137" t="s">
        <v>765</v>
      </c>
      <c r="J23" s="137">
        <v>1</v>
      </c>
      <c r="K23" s="137" t="s">
        <v>1994</v>
      </c>
      <c r="L23" s="141" t="s">
        <v>2093</v>
      </c>
      <c r="M23" s="141" t="s">
        <v>2094</v>
      </c>
      <c r="N23" s="141" t="s">
        <v>2095</v>
      </c>
      <c r="O23" s="138">
        <v>46113</v>
      </c>
      <c r="P23" s="137" t="s">
        <v>1998</v>
      </c>
      <c r="Q23" s="137"/>
      <c r="R23" s="139"/>
    </row>
    <row r="24" spans="1:19" s="161" customFormat="1" ht="16.5" customHeight="1">
      <c r="A24" s="158" t="s">
        <v>766</v>
      </c>
      <c r="B24" s="159" t="s">
        <v>718</v>
      </c>
      <c r="C24" s="159" t="s">
        <v>2044</v>
      </c>
      <c r="D24" s="159" t="s">
        <v>2056</v>
      </c>
      <c r="E24" s="159" t="s">
        <v>2096</v>
      </c>
      <c r="F24" s="159" t="s">
        <v>546</v>
      </c>
      <c r="G24" s="159" t="s">
        <v>767</v>
      </c>
      <c r="H24" s="159" t="s">
        <v>2097</v>
      </c>
      <c r="I24" s="159" t="s">
        <v>768</v>
      </c>
      <c r="J24" s="159">
        <v>1</v>
      </c>
      <c r="K24" s="159" t="s">
        <v>1994</v>
      </c>
      <c r="L24" s="159" t="s">
        <v>2098</v>
      </c>
      <c r="M24" s="159" t="s">
        <v>1996</v>
      </c>
      <c r="N24" s="159" t="s">
        <v>2099</v>
      </c>
      <c r="O24" s="160">
        <v>45832</v>
      </c>
      <c r="P24" s="159" t="s">
        <v>1998</v>
      </c>
      <c r="Q24" s="159"/>
    </row>
    <row r="25" spans="1:19" s="157" customFormat="1" ht="16.5" customHeight="1">
      <c r="A25" s="153" t="s">
        <v>769</v>
      </c>
      <c r="B25" s="154" t="s">
        <v>718</v>
      </c>
      <c r="C25" s="154" t="s">
        <v>2044</v>
      </c>
      <c r="D25" s="154" t="s">
        <v>2056</v>
      </c>
      <c r="E25" s="154" t="s">
        <v>2100</v>
      </c>
      <c r="F25" s="154" t="s">
        <v>770</v>
      </c>
      <c r="G25" s="154" t="s">
        <v>771</v>
      </c>
      <c r="H25" s="154" t="s">
        <v>2101</v>
      </c>
      <c r="I25" s="154"/>
      <c r="J25" s="154">
        <v>1</v>
      </c>
      <c r="K25" s="154" t="s">
        <v>1994</v>
      </c>
      <c r="L25" s="154" t="s">
        <v>2040</v>
      </c>
      <c r="M25" s="154" t="s">
        <v>2041</v>
      </c>
      <c r="N25" s="154" t="s">
        <v>2102</v>
      </c>
      <c r="O25" s="155">
        <v>45383</v>
      </c>
      <c r="P25" s="154" t="s">
        <v>1998</v>
      </c>
      <c r="Q25" s="154" t="s">
        <v>2103</v>
      </c>
      <c r="R25" s="156"/>
    </row>
    <row r="26" spans="1:19" s="157" customFormat="1" ht="16.5" customHeight="1">
      <c r="A26" s="153" t="s">
        <v>772</v>
      </c>
      <c r="B26" s="154" t="s">
        <v>718</v>
      </c>
      <c r="C26" s="154" t="s">
        <v>2044</v>
      </c>
      <c r="D26" s="154" t="s">
        <v>2056</v>
      </c>
      <c r="E26" s="154" t="s">
        <v>2104</v>
      </c>
      <c r="F26" s="154" t="s">
        <v>546</v>
      </c>
      <c r="G26" s="154" t="s">
        <v>773</v>
      </c>
      <c r="H26" s="154" t="s">
        <v>2105</v>
      </c>
      <c r="I26" s="154" t="s">
        <v>774</v>
      </c>
      <c r="J26" s="154">
        <v>1</v>
      </c>
      <c r="K26" s="154" t="s">
        <v>1994</v>
      </c>
      <c r="L26" s="154" t="s">
        <v>2041</v>
      </c>
      <c r="M26" s="154" t="s">
        <v>2041</v>
      </c>
      <c r="N26" s="154" t="s">
        <v>2102</v>
      </c>
      <c r="O26" s="155">
        <v>43800</v>
      </c>
      <c r="P26" s="154" t="s">
        <v>1998</v>
      </c>
      <c r="Q26" s="154" t="s">
        <v>2106</v>
      </c>
      <c r="R26" s="156"/>
    </row>
    <row r="27" spans="1:19" s="157" customFormat="1" ht="16.5" customHeight="1">
      <c r="A27" s="153" t="s">
        <v>775</v>
      </c>
      <c r="B27" s="154" t="s">
        <v>718</v>
      </c>
      <c r="C27" s="154" t="s">
        <v>2044</v>
      </c>
      <c r="D27" s="154" t="s">
        <v>2056</v>
      </c>
      <c r="E27" s="154" t="s">
        <v>2107</v>
      </c>
      <c r="F27" s="154" t="s">
        <v>770</v>
      </c>
      <c r="G27" s="154" t="s">
        <v>776</v>
      </c>
      <c r="H27" s="154" t="s">
        <v>2108</v>
      </c>
      <c r="I27" s="154" t="s">
        <v>777</v>
      </c>
      <c r="J27" s="154">
        <v>1</v>
      </c>
      <c r="K27" s="154" t="s">
        <v>1994</v>
      </c>
      <c r="L27" s="154" t="s">
        <v>2109</v>
      </c>
      <c r="M27" s="154" t="s">
        <v>2041</v>
      </c>
      <c r="N27" s="154" t="s">
        <v>2110</v>
      </c>
      <c r="O27" s="155">
        <v>45323</v>
      </c>
      <c r="P27" s="154" t="s">
        <v>1998</v>
      </c>
      <c r="Q27" s="154"/>
      <c r="R27" s="156"/>
    </row>
    <row r="28" spans="1:19" s="157" customFormat="1" ht="16.5" customHeight="1">
      <c r="A28" s="162" t="s">
        <v>778</v>
      </c>
      <c r="B28" s="163" t="s">
        <v>718</v>
      </c>
      <c r="C28" s="163" t="s">
        <v>2044</v>
      </c>
      <c r="D28" s="163" t="s">
        <v>2056</v>
      </c>
      <c r="E28" s="163" t="s">
        <v>2111</v>
      </c>
      <c r="F28" s="163" t="s">
        <v>770</v>
      </c>
      <c r="G28" s="163" t="s">
        <v>779</v>
      </c>
      <c r="H28" s="163" t="s">
        <v>2112</v>
      </c>
      <c r="I28" s="163" t="s">
        <v>780</v>
      </c>
      <c r="J28" s="163">
        <v>1</v>
      </c>
      <c r="K28" s="163" t="s">
        <v>1994</v>
      </c>
      <c r="L28" s="163" t="s">
        <v>2113</v>
      </c>
      <c r="M28" s="163" t="s">
        <v>2041</v>
      </c>
      <c r="N28" s="163" t="s">
        <v>2083</v>
      </c>
      <c r="O28" s="164">
        <v>45292</v>
      </c>
      <c r="P28" s="163" t="s">
        <v>1998</v>
      </c>
      <c r="Q28" s="163" t="s">
        <v>2114</v>
      </c>
      <c r="R28" s="165"/>
      <c r="S28" s="147" t="s">
        <v>2115</v>
      </c>
    </row>
    <row r="29" spans="1:19" s="157" customFormat="1" ht="16.5" customHeight="1">
      <c r="A29" s="153" t="s">
        <v>781</v>
      </c>
      <c r="B29" s="154" t="s">
        <v>718</v>
      </c>
      <c r="C29" s="154" t="s">
        <v>2116</v>
      </c>
      <c r="D29" s="154" t="s">
        <v>2117</v>
      </c>
      <c r="E29" s="154" t="s">
        <v>2118</v>
      </c>
      <c r="F29" s="154" t="s">
        <v>546</v>
      </c>
      <c r="G29" s="154" t="s">
        <v>782</v>
      </c>
      <c r="H29" s="154" t="s">
        <v>2119</v>
      </c>
      <c r="I29" s="154" t="s">
        <v>783</v>
      </c>
      <c r="J29" s="154">
        <v>1</v>
      </c>
      <c r="K29" s="154" t="s">
        <v>1994</v>
      </c>
      <c r="L29" s="154" t="s">
        <v>2120</v>
      </c>
      <c r="M29" s="154" t="s">
        <v>2049</v>
      </c>
      <c r="N29" s="154" t="s">
        <v>2050</v>
      </c>
      <c r="O29" s="155">
        <v>42979</v>
      </c>
      <c r="P29" s="154" t="s">
        <v>1998</v>
      </c>
      <c r="Q29" s="154"/>
      <c r="R29" s="156"/>
    </row>
    <row r="30" spans="1:19" s="157" customFormat="1" ht="16.5" customHeight="1">
      <c r="A30" s="153" t="s">
        <v>784</v>
      </c>
      <c r="B30" s="154" t="s">
        <v>718</v>
      </c>
      <c r="C30" s="154" t="s">
        <v>2116</v>
      </c>
      <c r="D30" s="154" t="s">
        <v>2117</v>
      </c>
      <c r="E30" s="154" t="s">
        <v>2121</v>
      </c>
      <c r="F30" s="154" t="s">
        <v>785</v>
      </c>
      <c r="G30" s="154" t="s">
        <v>786</v>
      </c>
      <c r="H30" s="154" t="s">
        <v>2122</v>
      </c>
      <c r="I30" s="154"/>
      <c r="J30" s="154">
        <v>1</v>
      </c>
      <c r="K30" s="154" t="s">
        <v>1994</v>
      </c>
      <c r="L30" s="154" t="s">
        <v>2059</v>
      </c>
      <c r="M30" s="154" t="s">
        <v>2060</v>
      </c>
      <c r="N30" s="154" t="s">
        <v>2061</v>
      </c>
      <c r="O30" s="155"/>
      <c r="P30" s="154" t="s">
        <v>1998</v>
      </c>
      <c r="Q30" s="154"/>
      <c r="R30" s="156"/>
    </row>
    <row r="31" spans="1:19" ht="16.5" customHeight="1">
      <c r="A31" s="136" t="s">
        <v>787</v>
      </c>
      <c r="B31" s="137" t="s">
        <v>718</v>
      </c>
      <c r="C31" s="137" t="s">
        <v>2116</v>
      </c>
      <c r="D31" s="137" t="s">
        <v>2117</v>
      </c>
      <c r="E31" s="141" t="s">
        <v>2123</v>
      </c>
      <c r="F31" s="137" t="s">
        <v>785</v>
      </c>
      <c r="G31" s="137" t="s">
        <v>788</v>
      </c>
      <c r="H31" s="137" t="s">
        <v>2124</v>
      </c>
      <c r="I31" s="137"/>
      <c r="J31" s="137">
        <v>1</v>
      </c>
      <c r="K31" s="137" t="s">
        <v>1994</v>
      </c>
      <c r="L31" s="141" t="s">
        <v>2093</v>
      </c>
      <c r="M31" s="141" t="s">
        <v>2125</v>
      </c>
      <c r="N31" s="137" t="s">
        <v>2126</v>
      </c>
      <c r="O31" s="138"/>
      <c r="P31" s="154" t="s">
        <v>1998</v>
      </c>
      <c r="Q31" s="137"/>
      <c r="R31" s="139"/>
    </row>
    <row r="32" spans="1:19" ht="16.5" customHeight="1">
      <c r="A32" s="136" t="s">
        <v>789</v>
      </c>
      <c r="B32" s="137" t="s">
        <v>718</v>
      </c>
      <c r="C32" s="137" t="s">
        <v>2116</v>
      </c>
      <c r="D32" s="137" t="s">
        <v>2117</v>
      </c>
      <c r="E32" s="141" t="s">
        <v>2127</v>
      </c>
      <c r="F32" s="137" t="s">
        <v>546</v>
      </c>
      <c r="G32" s="137" t="s">
        <v>790</v>
      </c>
      <c r="H32" s="137" t="s">
        <v>2128</v>
      </c>
      <c r="I32" s="137"/>
      <c r="J32" s="137">
        <v>2</v>
      </c>
      <c r="K32" s="137" t="s">
        <v>1994</v>
      </c>
      <c r="L32" s="141" t="s">
        <v>2129</v>
      </c>
      <c r="M32" s="141" t="s">
        <v>2129</v>
      </c>
      <c r="N32" s="137" t="s">
        <v>2130</v>
      </c>
      <c r="O32" s="138"/>
      <c r="P32" s="154" t="s">
        <v>1998</v>
      </c>
      <c r="Q32" s="137"/>
      <c r="R32" s="139"/>
    </row>
    <row r="33" spans="1:18" ht="16.5" customHeight="1">
      <c r="A33" s="167" t="s">
        <v>791</v>
      </c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9"/>
      <c r="P33" s="168"/>
      <c r="Q33" s="168"/>
    </row>
    <row r="34" spans="1:18" s="157" customFormat="1" ht="16.5" customHeight="1">
      <c r="A34" s="153" t="s">
        <v>792</v>
      </c>
      <c r="B34" s="154" t="s">
        <v>718</v>
      </c>
      <c r="C34" s="154" t="s">
        <v>2116</v>
      </c>
      <c r="D34" s="154" t="s">
        <v>2117</v>
      </c>
      <c r="E34" s="154" t="s">
        <v>2131</v>
      </c>
      <c r="F34" s="154" t="s">
        <v>793</v>
      </c>
      <c r="G34" s="154" t="s">
        <v>794</v>
      </c>
      <c r="H34" s="154" t="s">
        <v>2132</v>
      </c>
      <c r="I34" s="154" t="s">
        <v>795</v>
      </c>
      <c r="J34" s="154">
        <v>1</v>
      </c>
      <c r="K34" s="154" t="s">
        <v>1994</v>
      </c>
      <c r="L34" s="154" t="s">
        <v>2065</v>
      </c>
      <c r="M34" s="154" t="s">
        <v>2071</v>
      </c>
      <c r="N34" s="154" t="s">
        <v>2072</v>
      </c>
      <c r="O34" s="155">
        <v>44805</v>
      </c>
      <c r="P34" s="154" t="s">
        <v>1998</v>
      </c>
      <c r="Q34" s="154"/>
      <c r="R34" s="156"/>
    </row>
    <row r="35" spans="1:18" s="157" customFormat="1" ht="16.5" customHeight="1">
      <c r="A35" s="153" t="s">
        <v>796</v>
      </c>
      <c r="B35" s="154" t="s">
        <v>718</v>
      </c>
      <c r="C35" s="154" t="s">
        <v>2116</v>
      </c>
      <c r="D35" s="154" t="s">
        <v>2117</v>
      </c>
      <c r="E35" s="154" t="s">
        <v>2133</v>
      </c>
      <c r="F35" s="154" t="s">
        <v>797</v>
      </c>
      <c r="G35" s="154" t="s">
        <v>798</v>
      </c>
      <c r="H35" s="154" t="s">
        <v>799</v>
      </c>
      <c r="I35" s="154" t="s">
        <v>800</v>
      </c>
      <c r="J35" s="154">
        <v>1</v>
      </c>
      <c r="K35" s="154" t="s">
        <v>1994</v>
      </c>
      <c r="L35" s="154" t="s">
        <v>2075</v>
      </c>
      <c r="M35" s="154" t="s">
        <v>2071</v>
      </c>
      <c r="N35" s="154" t="s">
        <v>2076</v>
      </c>
      <c r="O35" s="155">
        <v>44207</v>
      </c>
      <c r="P35" s="154" t="s">
        <v>1998</v>
      </c>
      <c r="Q35" s="154"/>
      <c r="R35" s="156"/>
    </row>
    <row r="36" spans="1:18" s="157" customFormat="1" ht="16.5" customHeight="1">
      <c r="A36" s="153" t="s">
        <v>801</v>
      </c>
      <c r="B36" s="154" t="s">
        <v>718</v>
      </c>
      <c r="C36" s="154" t="s">
        <v>2116</v>
      </c>
      <c r="D36" s="154" t="s">
        <v>2117</v>
      </c>
      <c r="E36" s="154" t="s">
        <v>2134</v>
      </c>
      <c r="F36" s="154" t="s">
        <v>802</v>
      </c>
      <c r="G36" s="154" t="s">
        <v>803</v>
      </c>
      <c r="H36" s="154" t="s">
        <v>2135</v>
      </c>
      <c r="I36" s="154" t="s">
        <v>804</v>
      </c>
      <c r="J36" s="154">
        <v>1</v>
      </c>
      <c r="K36" s="154" t="s">
        <v>1994</v>
      </c>
      <c r="L36" s="154" t="s">
        <v>1995</v>
      </c>
      <c r="M36" s="154" t="s">
        <v>1996</v>
      </c>
      <c r="N36" s="154" t="s">
        <v>2079</v>
      </c>
      <c r="O36" s="155">
        <v>45108</v>
      </c>
      <c r="P36" s="154" t="s">
        <v>1998</v>
      </c>
      <c r="Q36" s="154"/>
      <c r="R36" s="156"/>
    </row>
    <row r="37" spans="1:18" s="161" customFormat="1" ht="16.5" customHeight="1">
      <c r="A37" s="158" t="s">
        <v>805</v>
      </c>
      <c r="B37" s="159" t="s">
        <v>718</v>
      </c>
      <c r="C37" s="159" t="s">
        <v>2116</v>
      </c>
      <c r="D37" s="159" t="s">
        <v>2117</v>
      </c>
      <c r="E37" s="159" t="s">
        <v>2136</v>
      </c>
      <c r="F37" s="159" t="s">
        <v>797</v>
      </c>
      <c r="G37" s="159"/>
      <c r="H37" s="159"/>
      <c r="I37" s="159" t="s">
        <v>806</v>
      </c>
      <c r="J37" s="159">
        <v>1</v>
      </c>
      <c r="K37" s="159" t="s">
        <v>1994</v>
      </c>
      <c r="L37" s="159" t="s">
        <v>2082</v>
      </c>
      <c r="M37" s="159" t="s">
        <v>1996</v>
      </c>
      <c r="N37" s="159" t="s">
        <v>2083</v>
      </c>
      <c r="O37" s="160"/>
      <c r="P37" s="159" t="s">
        <v>1998</v>
      </c>
      <c r="Q37" s="159"/>
    </row>
    <row r="38" spans="1:18" s="157" customFormat="1" ht="16.5" customHeight="1">
      <c r="A38" s="153" t="s">
        <v>807</v>
      </c>
      <c r="B38" s="154" t="s">
        <v>718</v>
      </c>
      <c r="C38" s="154" t="s">
        <v>2116</v>
      </c>
      <c r="D38" s="154" t="s">
        <v>2117</v>
      </c>
      <c r="E38" s="154" t="s">
        <v>2137</v>
      </c>
      <c r="F38" s="154" t="s">
        <v>770</v>
      </c>
      <c r="G38" s="154" t="s">
        <v>808</v>
      </c>
      <c r="H38" s="154" t="s">
        <v>2138</v>
      </c>
      <c r="I38" s="154"/>
      <c r="J38" s="154">
        <v>1</v>
      </c>
      <c r="K38" s="154" t="s">
        <v>1994</v>
      </c>
      <c r="L38" s="154" t="s">
        <v>2086</v>
      </c>
      <c r="M38" s="154" t="s">
        <v>1996</v>
      </c>
      <c r="N38" s="154" t="s">
        <v>2087</v>
      </c>
      <c r="O38" s="155"/>
      <c r="P38" s="154" t="s">
        <v>1998</v>
      </c>
      <c r="Q38" s="154"/>
      <c r="R38" s="156"/>
    </row>
    <row r="39" spans="1:18" s="140" customFormat="1" ht="16.5" customHeight="1">
      <c r="A39" s="136" t="s">
        <v>809</v>
      </c>
      <c r="B39" s="137" t="s">
        <v>718</v>
      </c>
      <c r="C39" s="137" t="s">
        <v>2116</v>
      </c>
      <c r="D39" s="137" t="s">
        <v>2117</v>
      </c>
      <c r="E39" s="137" t="s">
        <v>2139</v>
      </c>
      <c r="F39" s="137" t="s">
        <v>785</v>
      </c>
      <c r="G39" s="137" t="s">
        <v>788</v>
      </c>
      <c r="H39" s="137" t="s">
        <v>2124</v>
      </c>
      <c r="I39" s="137" t="s">
        <v>2140</v>
      </c>
      <c r="J39" s="137">
        <v>1</v>
      </c>
      <c r="K39" s="137" t="s">
        <v>1994</v>
      </c>
      <c r="L39" s="137" t="s">
        <v>2089</v>
      </c>
      <c r="M39" s="137" t="s">
        <v>1996</v>
      </c>
      <c r="N39" s="137" t="s">
        <v>2090</v>
      </c>
      <c r="O39" s="138"/>
      <c r="P39" s="137" t="s">
        <v>1998</v>
      </c>
      <c r="Q39" s="137"/>
      <c r="R39" s="139"/>
    </row>
    <row r="40" spans="1:18" s="157" customFormat="1" ht="16.5" customHeight="1">
      <c r="A40" s="153" t="s">
        <v>810</v>
      </c>
      <c r="B40" s="154" t="s">
        <v>718</v>
      </c>
      <c r="C40" s="154" t="s">
        <v>2116</v>
      </c>
      <c r="D40" s="154" t="s">
        <v>2117</v>
      </c>
      <c r="E40" s="154" t="s">
        <v>2141</v>
      </c>
      <c r="F40" s="154" t="s">
        <v>546</v>
      </c>
      <c r="G40" s="154" t="s">
        <v>811</v>
      </c>
      <c r="H40" s="154" t="s">
        <v>2142</v>
      </c>
      <c r="I40" s="154"/>
      <c r="J40" s="154">
        <v>1</v>
      </c>
      <c r="K40" s="154" t="s">
        <v>1994</v>
      </c>
      <c r="L40" s="154" t="s">
        <v>2143</v>
      </c>
      <c r="M40" s="154" t="s">
        <v>1996</v>
      </c>
      <c r="N40" s="154" t="s">
        <v>2066</v>
      </c>
      <c r="O40" s="155"/>
      <c r="P40" s="154" t="s">
        <v>1998</v>
      </c>
      <c r="Q40" s="154"/>
      <c r="R40" s="156"/>
    </row>
    <row r="41" spans="1:18" s="157" customFormat="1" ht="16.5" customHeight="1">
      <c r="A41" s="153" t="s">
        <v>812</v>
      </c>
      <c r="B41" s="154" t="s">
        <v>718</v>
      </c>
      <c r="C41" s="154" t="s">
        <v>2116</v>
      </c>
      <c r="D41" s="154" t="s">
        <v>2117</v>
      </c>
      <c r="E41" s="154" t="s">
        <v>2144</v>
      </c>
      <c r="F41" s="154" t="s">
        <v>427</v>
      </c>
      <c r="G41" s="154" t="s">
        <v>813</v>
      </c>
      <c r="H41" s="154" t="s">
        <v>2145</v>
      </c>
      <c r="I41" s="154"/>
      <c r="J41" s="154">
        <v>1</v>
      </c>
      <c r="K41" s="154" t="s">
        <v>1994</v>
      </c>
      <c r="L41" s="154" t="s">
        <v>2040</v>
      </c>
      <c r="M41" s="154" t="s">
        <v>2041</v>
      </c>
      <c r="N41" s="154" t="s">
        <v>2102</v>
      </c>
      <c r="O41" s="155"/>
      <c r="P41" s="154" t="s">
        <v>1998</v>
      </c>
      <c r="Q41" s="154"/>
      <c r="R41" s="156"/>
    </row>
    <row r="42" spans="1:18" s="157" customFormat="1" ht="16.5" customHeight="1">
      <c r="A42" s="170" t="s">
        <v>814</v>
      </c>
      <c r="B42" s="171" t="s">
        <v>718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2"/>
      <c r="P42" s="171"/>
      <c r="Q42" s="171"/>
    </row>
    <row r="43" spans="1:18" s="157" customFormat="1" ht="16.5" customHeight="1">
      <c r="A43" s="153" t="s">
        <v>815</v>
      </c>
      <c r="B43" s="154" t="s">
        <v>718</v>
      </c>
      <c r="C43" s="154" t="s">
        <v>2116</v>
      </c>
      <c r="D43" s="154" t="s">
        <v>2117</v>
      </c>
      <c r="E43" s="154" t="s">
        <v>2146</v>
      </c>
      <c r="F43" s="154" t="s">
        <v>785</v>
      </c>
      <c r="G43" s="154" t="s">
        <v>816</v>
      </c>
      <c r="H43" s="154"/>
      <c r="I43" s="154" t="s">
        <v>2147</v>
      </c>
      <c r="J43" s="154">
        <v>1</v>
      </c>
      <c r="K43" s="154" t="s">
        <v>1994</v>
      </c>
      <c r="L43" s="154" t="s">
        <v>2109</v>
      </c>
      <c r="M43" s="154" t="s">
        <v>2041</v>
      </c>
      <c r="N43" s="154" t="s">
        <v>2110</v>
      </c>
      <c r="O43" s="155"/>
      <c r="P43" s="154" t="s">
        <v>1998</v>
      </c>
      <c r="Q43" s="154"/>
      <c r="R43" s="156"/>
    </row>
    <row r="44" spans="1:18" s="157" customFormat="1" ht="16.5" customHeight="1">
      <c r="A44" s="153" t="s">
        <v>817</v>
      </c>
      <c r="B44" s="154" t="s">
        <v>718</v>
      </c>
      <c r="C44" s="154" t="s">
        <v>2116</v>
      </c>
      <c r="D44" s="154" t="s">
        <v>2117</v>
      </c>
      <c r="E44" s="154" t="s">
        <v>2148</v>
      </c>
      <c r="F44" s="154" t="s">
        <v>818</v>
      </c>
      <c r="G44" s="154" t="s">
        <v>819</v>
      </c>
      <c r="H44" s="154"/>
      <c r="I44" s="154" t="s">
        <v>820</v>
      </c>
      <c r="J44" s="154">
        <v>1</v>
      </c>
      <c r="K44" s="154" t="s">
        <v>1994</v>
      </c>
      <c r="L44" s="154" t="s">
        <v>2109</v>
      </c>
      <c r="M44" s="154" t="s">
        <v>2041</v>
      </c>
      <c r="N44" s="154" t="s">
        <v>2110</v>
      </c>
      <c r="O44" s="155"/>
      <c r="P44" s="154" t="s">
        <v>1998</v>
      </c>
      <c r="Q44" s="154"/>
      <c r="R44" s="156"/>
    </row>
    <row r="45" spans="1:18" ht="16.5" customHeight="1">
      <c r="A45" s="167" t="s">
        <v>821</v>
      </c>
      <c r="B45" s="168" t="s">
        <v>718</v>
      </c>
      <c r="C45" s="168" t="s">
        <v>2116</v>
      </c>
      <c r="D45" s="168" t="s">
        <v>2117</v>
      </c>
      <c r="E45" s="173" t="s">
        <v>2149</v>
      </c>
      <c r="F45" s="168" t="s">
        <v>822</v>
      </c>
      <c r="G45" s="168" t="s">
        <v>823</v>
      </c>
      <c r="H45" s="168"/>
      <c r="I45" s="168"/>
      <c r="J45" s="168">
        <v>1</v>
      </c>
      <c r="K45" s="168" t="s">
        <v>1994</v>
      </c>
      <c r="L45" s="168" t="s">
        <v>1995</v>
      </c>
      <c r="M45" s="168" t="s">
        <v>1996</v>
      </c>
      <c r="N45" s="168" t="s">
        <v>2150</v>
      </c>
      <c r="O45" s="169"/>
      <c r="P45" s="168" t="s">
        <v>1998</v>
      </c>
      <c r="Q45" s="168"/>
    </row>
    <row r="46" spans="1:18" s="140" customFormat="1" ht="16.5" customHeight="1">
      <c r="A46" s="174" t="s">
        <v>824</v>
      </c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6"/>
      <c r="P46" s="175"/>
      <c r="Q46" s="175"/>
    </row>
    <row r="47" spans="1:18" s="157" customFormat="1" ht="16.5" customHeight="1">
      <c r="A47" s="153" t="s">
        <v>826</v>
      </c>
      <c r="B47" s="154" t="s">
        <v>718</v>
      </c>
      <c r="C47" s="154" t="s">
        <v>2151</v>
      </c>
      <c r="D47" s="154" t="s">
        <v>2152</v>
      </c>
      <c r="E47" s="154" t="s">
        <v>2153</v>
      </c>
      <c r="F47" s="154" t="s">
        <v>2154</v>
      </c>
      <c r="G47" s="154"/>
      <c r="H47" s="154" t="s">
        <v>825</v>
      </c>
      <c r="I47" s="154"/>
      <c r="J47" s="154">
        <v>1</v>
      </c>
      <c r="K47" s="154" t="s">
        <v>1994</v>
      </c>
      <c r="L47" s="154" t="s">
        <v>2143</v>
      </c>
      <c r="M47" s="154" t="s">
        <v>1996</v>
      </c>
      <c r="N47" s="154" t="s">
        <v>2066</v>
      </c>
      <c r="O47" s="155"/>
      <c r="P47" s="154" t="s">
        <v>1998</v>
      </c>
      <c r="Q47" s="154"/>
      <c r="R47" s="156"/>
    </row>
    <row r="48" spans="1:18" ht="16.5" customHeight="1">
      <c r="A48" s="167" t="s">
        <v>827</v>
      </c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9"/>
      <c r="P48" s="168"/>
      <c r="Q48" s="168"/>
    </row>
    <row r="49" spans="1:18" ht="16.5" customHeight="1">
      <c r="A49" s="167" t="s">
        <v>824</v>
      </c>
      <c r="B49" s="168"/>
      <c r="C49" s="168"/>
      <c r="D49" s="168"/>
      <c r="F49" s="168"/>
      <c r="G49" s="168"/>
      <c r="H49" s="168"/>
      <c r="I49" s="168"/>
      <c r="J49" s="168"/>
      <c r="K49" s="168"/>
      <c r="L49" s="168"/>
      <c r="M49" s="168"/>
      <c r="N49" s="168"/>
      <c r="O49" s="169"/>
      <c r="P49" s="168"/>
      <c r="Q49" s="168"/>
    </row>
    <row r="50" spans="1:18" ht="16.5" customHeight="1">
      <c r="A50" s="167" t="s">
        <v>828</v>
      </c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9"/>
      <c r="P50" s="168"/>
      <c r="Q50" s="168"/>
    </row>
    <row r="51" spans="1:18" s="157" customFormat="1" ht="16.5" customHeight="1">
      <c r="A51" s="153" t="s">
        <v>1274</v>
      </c>
      <c r="B51" s="154" t="s">
        <v>718</v>
      </c>
      <c r="C51" s="154" t="s">
        <v>2151</v>
      </c>
      <c r="D51" s="154" t="s">
        <v>2155</v>
      </c>
      <c r="E51" s="177" t="s">
        <v>2156</v>
      </c>
      <c r="F51" s="154" t="s">
        <v>1273</v>
      </c>
      <c r="G51" s="154" t="s">
        <v>829</v>
      </c>
      <c r="H51" s="154" t="s">
        <v>2157</v>
      </c>
      <c r="I51" s="154" t="s">
        <v>830</v>
      </c>
      <c r="J51" s="154">
        <v>1</v>
      </c>
      <c r="K51" s="154" t="s">
        <v>1994</v>
      </c>
      <c r="L51" s="154" t="s">
        <v>1995</v>
      </c>
      <c r="M51" s="154" t="s">
        <v>1996</v>
      </c>
      <c r="N51" s="154" t="s">
        <v>2150</v>
      </c>
      <c r="O51" s="155"/>
      <c r="P51" s="154" t="s">
        <v>1998</v>
      </c>
      <c r="Q51" s="154" t="s">
        <v>2158</v>
      </c>
      <c r="R51" s="156"/>
    </row>
    <row r="52" spans="1:18" s="157" customFormat="1" ht="16.5" customHeight="1">
      <c r="A52" s="153" t="s">
        <v>831</v>
      </c>
      <c r="B52" s="154" t="s">
        <v>718</v>
      </c>
      <c r="C52" s="154" t="s">
        <v>2151</v>
      </c>
      <c r="D52" s="154" t="s">
        <v>2155</v>
      </c>
      <c r="E52" s="154" t="s">
        <v>2159</v>
      </c>
      <c r="F52" s="154" t="s">
        <v>1273</v>
      </c>
      <c r="G52" s="154" t="s">
        <v>832</v>
      </c>
      <c r="H52" s="154" t="s">
        <v>2160</v>
      </c>
      <c r="I52" s="154" t="s">
        <v>833</v>
      </c>
      <c r="J52" s="154">
        <v>1</v>
      </c>
      <c r="K52" s="154" t="s">
        <v>1994</v>
      </c>
      <c r="L52" s="154" t="s">
        <v>1995</v>
      </c>
      <c r="M52" s="154" t="s">
        <v>1996</v>
      </c>
      <c r="N52" s="154" t="s">
        <v>2150</v>
      </c>
      <c r="O52" s="155"/>
      <c r="P52" s="154" t="s">
        <v>1998</v>
      </c>
      <c r="Q52" s="154" t="s">
        <v>2161</v>
      </c>
      <c r="R52" s="156"/>
    </row>
    <row r="53" spans="1:18" s="157" customFormat="1" ht="16.5" customHeight="1">
      <c r="A53" s="153" t="s">
        <v>834</v>
      </c>
      <c r="B53" s="154" t="s">
        <v>718</v>
      </c>
      <c r="C53" s="154" t="s">
        <v>2151</v>
      </c>
      <c r="D53" s="154" t="s">
        <v>2162</v>
      </c>
      <c r="E53" s="154" t="s">
        <v>2163</v>
      </c>
      <c r="F53" s="154" t="s">
        <v>1273</v>
      </c>
      <c r="G53" s="154" t="s">
        <v>835</v>
      </c>
      <c r="H53" s="154" t="s">
        <v>2164</v>
      </c>
      <c r="I53" s="154"/>
      <c r="J53" s="154">
        <v>1</v>
      </c>
      <c r="K53" s="154" t="s">
        <v>1994</v>
      </c>
      <c r="L53" s="154" t="s">
        <v>1995</v>
      </c>
      <c r="M53" s="154" t="s">
        <v>1996</v>
      </c>
      <c r="N53" s="154" t="s">
        <v>2150</v>
      </c>
      <c r="O53" s="155"/>
      <c r="P53" s="154" t="s">
        <v>1998</v>
      </c>
      <c r="Q53" s="154" t="s">
        <v>2165</v>
      </c>
      <c r="R53" s="156"/>
    </row>
    <row r="54" spans="1:18" s="157" customFormat="1" ht="16.5" customHeight="1">
      <c r="A54" s="153" t="s">
        <v>836</v>
      </c>
      <c r="B54" s="154" t="s">
        <v>837</v>
      </c>
      <c r="C54" s="154" t="s">
        <v>2166</v>
      </c>
      <c r="D54" s="154" t="s">
        <v>2167</v>
      </c>
      <c r="E54" s="154" t="s">
        <v>2168</v>
      </c>
      <c r="F54" s="154" t="s">
        <v>1264</v>
      </c>
      <c r="G54" s="154"/>
      <c r="H54" s="154"/>
      <c r="I54" s="154"/>
      <c r="J54" s="154">
        <v>1</v>
      </c>
      <c r="K54" s="154" t="s">
        <v>1994</v>
      </c>
      <c r="L54" s="154" t="s">
        <v>2120</v>
      </c>
      <c r="M54" s="154" t="s">
        <v>2049</v>
      </c>
      <c r="N54" s="154" t="s">
        <v>2050</v>
      </c>
      <c r="O54" s="155"/>
      <c r="P54" s="154" t="s">
        <v>1998</v>
      </c>
      <c r="Q54" s="154"/>
      <c r="R54" s="156"/>
    </row>
    <row r="55" spans="1:18" ht="16.5" customHeight="1">
      <c r="A55" s="167" t="s">
        <v>838</v>
      </c>
      <c r="B55" s="168" t="s">
        <v>837</v>
      </c>
      <c r="C55" s="168" t="s">
        <v>2166</v>
      </c>
      <c r="D55" s="168" t="s">
        <v>2167</v>
      </c>
      <c r="E55" s="168" t="s">
        <v>2169</v>
      </c>
      <c r="F55" s="168"/>
      <c r="G55" s="168"/>
      <c r="H55" s="168"/>
      <c r="I55" s="168"/>
      <c r="J55" s="168"/>
      <c r="K55" s="168"/>
      <c r="L55" s="168"/>
      <c r="M55" s="168"/>
      <c r="N55" s="168"/>
      <c r="O55" s="169"/>
      <c r="P55" s="168"/>
      <c r="Q55" s="168"/>
    </row>
    <row r="56" spans="1:18" s="157" customFormat="1" ht="16.5" customHeight="1">
      <c r="A56" s="153" t="s">
        <v>839</v>
      </c>
      <c r="B56" s="154" t="s">
        <v>837</v>
      </c>
      <c r="C56" s="154" t="s">
        <v>2166</v>
      </c>
      <c r="D56" s="154" t="s">
        <v>2167</v>
      </c>
      <c r="E56" s="154" t="s">
        <v>2170</v>
      </c>
      <c r="F56" s="154" t="s">
        <v>840</v>
      </c>
      <c r="G56" s="154" t="s">
        <v>841</v>
      </c>
      <c r="H56" s="154" t="s">
        <v>842</v>
      </c>
      <c r="I56" s="154"/>
      <c r="J56" s="154">
        <v>1</v>
      </c>
      <c r="K56" s="154" t="s">
        <v>1994</v>
      </c>
      <c r="L56" s="154" t="s">
        <v>2065</v>
      </c>
      <c r="M56" s="154" t="s">
        <v>2071</v>
      </c>
      <c r="N56" s="154" t="s">
        <v>2072</v>
      </c>
      <c r="O56" s="155"/>
      <c r="P56" s="154" t="s">
        <v>1998</v>
      </c>
      <c r="Q56" s="154"/>
      <c r="R56" s="156"/>
    </row>
    <row r="57" spans="1:18" s="157" customFormat="1" ht="16.5" customHeight="1">
      <c r="A57" s="153" t="s">
        <v>1245</v>
      </c>
      <c r="B57" s="154" t="s">
        <v>837</v>
      </c>
      <c r="C57" s="154" t="s">
        <v>2166</v>
      </c>
      <c r="D57" s="154" t="s">
        <v>2167</v>
      </c>
      <c r="E57" s="177" t="s">
        <v>2171</v>
      </c>
      <c r="F57" s="154" t="s">
        <v>840</v>
      </c>
      <c r="G57" s="154" t="s">
        <v>841</v>
      </c>
      <c r="H57" s="154" t="s">
        <v>842</v>
      </c>
      <c r="I57" s="154"/>
      <c r="J57" s="154">
        <v>1</v>
      </c>
      <c r="K57" s="154" t="s">
        <v>1994</v>
      </c>
      <c r="L57" s="177" t="s">
        <v>2093</v>
      </c>
      <c r="M57" s="177" t="s">
        <v>2125</v>
      </c>
      <c r="N57" s="177" t="s">
        <v>2095</v>
      </c>
      <c r="O57" s="155"/>
      <c r="P57" s="154" t="s">
        <v>1998</v>
      </c>
      <c r="Q57" s="154"/>
      <c r="R57" s="156"/>
    </row>
    <row r="58" spans="1:18" s="157" customFormat="1" ht="16.5" customHeight="1">
      <c r="A58" s="153" t="s">
        <v>843</v>
      </c>
      <c r="B58" s="154" t="s">
        <v>837</v>
      </c>
      <c r="C58" s="154" t="s">
        <v>2166</v>
      </c>
      <c r="D58" s="154" t="s">
        <v>2167</v>
      </c>
      <c r="E58" s="154" t="s">
        <v>2172</v>
      </c>
      <c r="F58" s="154" t="s">
        <v>578</v>
      </c>
      <c r="G58" s="154"/>
      <c r="H58" s="154"/>
      <c r="I58" s="154"/>
      <c r="J58" s="154">
        <v>1</v>
      </c>
      <c r="K58" s="154" t="s">
        <v>1994</v>
      </c>
      <c r="L58" s="154" t="s">
        <v>1995</v>
      </c>
      <c r="M58" s="154" t="s">
        <v>1996</v>
      </c>
      <c r="N58" s="154" t="s">
        <v>2079</v>
      </c>
      <c r="O58" s="155"/>
      <c r="P58" s="154" t="s">
        <v>1998</v>
      </c>
      <c r="Q58" s="154"/>
      <c r="R58" s="156"/>
    </row>
    <row r="59" spans="1:18" s="161" customFormat="1" ht="16.5" customHeight="1">
      <c r="A59" s="158" t="s">
        <v>844</v>
      </c>
      <c r="B59" s="159" t="s">
        <v>837</v>
      </c>
      <c r="C59" s="159" t="s">
        <v>2166</v>
      </c>
      <c r="D59" s="159" t="s">
        <v>2167</v>
      </c>
      <c r="E59" s="159" t="s">
        <v>2173</v>
      </c>
      <c r="F59" s="159" t="s">
        <v>578</v>
      </c>
      <c r="G59" s="159"/>
      <c r="H59" s="159"/>
      <c r="I59" s="159" t="s">
        <v>845</v>
      </c>
      <c r="J59" s="159">
        <v>1</v>
      </c>
      <c r="K59" s="159" t="s">
        <v>1994</v>
      </c>
      <c r="L59" s="159" t="s">
        <v>2082</v>
      </c>
      <c r="M59" s="159" t="s">
        <v>1996</v>
      </c>
      <c r="N59" s="159" t="s">
        <v>2083</v>
      </c>
      <c r="O59" s="160"/>
      <c r="P59" s="159" t="s">
        <v>1998</v>
      </c>
      <c r="Q59" s="159"/>
    </row>
    <row r="60" spans="1:18" s="157" customFormat="1" ht="16.5" customHeight="1">
      <c r="A60" s="170" t="s">
        <v>846</v>
      </c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2"/>
      <c r="P60" s="171"/>
      <c r="Q60" s="171"/>
    </row>
    <row r="61" spans="1:18" s="157" customFormat="1" ht="16.5" customHeight="1">
      <c r="A61" s="153" t="s">
        <v>1256</v>
      </c>
      <c r="B61" s="154" t="s">
        <v>837</v>
      </c>
      <c r="C61" s="154" t="s">
        <v>2166</v>
      </c>
      <c r="D61" s="154" t="s">
        <v>2167</v>
      </c>
      <c r="E61" s="177" t="s">
        <v>2174</v>
      </c>
      <c r="F61" s="154" t="s">
        <v>707</v>
      </c>
      <c r="G61" s="154" t="s">
        <v>853</v>
      </c>
      <c r="H61" s="154" t="s">
        <v>854</v>
      </c>
      <c r="I61" s="154"/>
      <c r="J61" s="154">
        <v>1</v>
      </c>
      <c r="K61" s="154" t="s">
        <v>1994</v>
      </c>
      <c r="L61" s="177" t="s">
        <v>2175</v>
      </c>
      <c r="M61" s="154" t="s">
        <v>2176</v>
      </c>
      <c r="N61" s="177" t="s">
        <v>2130</v>
      </c>
      <c r="O61" s="155"/>
      <c r="P61" s="154" t="s">
        <v>1998</v>
      </c>
      <c r="Q61" s="154"/>
      <c r="R61" s="156"/>
    </row>
    <row r="62" spans="1:18" s="157" customFormat="1" ht="16.5" customHeight="1">
      <c r="A62" s="153" t="s">
        <v>1255</v>
      </c>
      <c r="B62" s="154" t="s">
        <v>837</v>
      </c>
      <c r="C62" s="154" t="s">
        <v>2166</v>
      </c>
      <c r="D62" s="154" t="s">
        <v>2167</v>
      </c>
      <c r="E62" s="177" t="s">
        <v>2177</v>
      </c>
      <c r="F62" s="154" t="s">
        <v>840</v>
      </c>
      <c r="G62" s="154" t="s">
        <v>841</v>
      </c>
      <c r="H62" s="154" t="s">
        <v>842</v>
      </c>
      <c r="I62" s="154"/>
      <c r="J62" s="154">
        <v>1</v>
      </c>
      <c r="K62" s="154" t="s">
        <v>1994</v>
      </c>
      <c r="L62" s="177" t="s">
        <v>2175</v>
      </c>
      <c r="M62" s="154" t="s">
        <v>2176</v>
      </c>
      <c r="N62" s="177" t="s">
        <v>2130</v>
      </c>
      <c r="O62" s="155"/>
      <c r="P62" s="154" t="s">
        <v>1998</v>
      </c>
      <c r="Q62" s="154"/>
      <c r="R62" s="156"/>
    </row>
    <row r="63" spans="1:18" s="157" customFormat="1" ht="16.5" customHeight="1">
      <c r="A63" s="153" t="s">
        <v>1246</v>
      </c>
      <c r="B63" s="154" t="s">
        <v>837</v>
      </c>
      <c r="C63" s="154" t="s">
        <v>2166</v>
      </c>
      <c r="D63" s="154" t="s">
        <v>2178</v>
      </c>
      <c r="E63" s="177" t="s">
        <v>2179</v>
      </c>
      <c r="F63" s="154" t="s">
        <v>1247</v>
      </c>
      <c r="G63" s="154" t="s">
        <v>1248</v>
      </c>
      <c r="H63" s="154" t="s">
        <v>1249</v>
      </c>
      <c r="I63" s="154"/>
      <c r="J63" s="154">
        <v>1</v>
      </c>
      <c r="K63" s="154" t="s">
        <v>1994</v>
      </c>
      <c r="L63" s="177" t="s">
        <v>2093</v>
      </c>
      <c r="M63" s="177" t="s">
        <v>2125</v>
      </c>
      <c r="N63" s="177" t="s">
        <v>2095</v>
      </c>
      <c r="O63" s="155"/>
      <c r="P63" s="154" t="s">
        <v>1998</v>
      </c>
      <c r="Q63" s="154"/>
      <c r="R63" s="156"/>
    </row>
    <row r="64" spans="1:18" s="157" customFormat="1" ht="16.5" customHeight="1">
      <c r="A64" s="170" t="s">
        <v>847</v>
      </c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2"/>
      <c r="P64" s="171"/>
      <c r="Q64" s="171"/>
    </row>
    <row r="65" spans="1:25" ht="16.5" customHeight="1">
      <c r="A65" s="167" t="s">
        <v>848</v>
      </c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9"/>
      <c r="P65" s="168"/>
      <c r="Q65" s="168"/>
    </row>
    <row r="66" spans="1:25" ht="16.5" customHeight="1">
      <c r="A66" s="167" t="s">
        <v>849</v>
      </c>
      <c r="B66" s="168"/>
      <c r="C66" s="168"/>
      <c r="D66" s="168"/>
      <c r="E66" s="168"/>
      <c r="F66" s="168"/>
      <c r="G66" s="168"/>
      <c r="H66" s="168"/>
      <c r="I66" s="168"/>
      <c r="J66" s="168">
        <v>1</v>
      </c>
      <c r="K66" s="168" t="s">
        <v>1994</v>
      </c>
      <c r="L66" s="168" t="s">
        <v>1995</v>
      </c>
      <c r="M66" s="168" t="s">
        <v>1996</v>
      </c>
      <c r="N66" s="168" t="s">
        <v>2150</v>
      </c>
      <c r="O66" s="169"/>
      <c r="P66" s="168" t="s">
        <v>1998</v>
      </c>
      <c r="Q66" s="168"/>
    </row>
    <row r="67" spans="1:25" ht="16.5" customHeight="1">
      <c r="A67" s="167" t="s">
        <v>850</v>
      </c>
      <c r="B67" s="168"/>
      <c r="C67" s="168"/>
      <c r="D67" s="168"/>
      <c r="E67" s="168"/>
      <c r="F67" s="168"/>
      <c r="G67" s="168"/>
      <c r="H67" s="168"/>
      <c r="I67" s="168"/>
      <c r="J67" s="168">
        <v>1</v>
      </c>
      <c r="K67" s="168" t="s">
        <v>1994</v>
      </c>
      <c r="L67" s="168" t="s">
        <v>2120</v>
      </c>
      <c r="M67" s="168" t="s">
        <v>2049</v>
      </c>
      <c r="N67" s="168" t="s">
        <v>2050</v>
      </c>
      <c r="O67" s="169"/>
      <c r="P67" s="168" t="s">
        <v>1998</v>
      </c>
      <c r="Q67" s="168"/>
    </row>
    <row r="68" spans="1:25" ht="16.5" customHeight="1">
      <c r="A68" s="167" t="s">
        <v>851</v>
      </c>
      <c r="B68" s="168"/>
      <c r="C68" s="168"/>
      <c r="D68" s="168"/>
      <c r="E68" s="168"/>
      <c r="F68" s="168"/>
      <c r="G68" s="168"/>
      <c r="H68" s="168"/>
      <c r="I68" s="168"/>
      <c r="J68" s="168">
        <v>1</v>
      </c>
      <c r="K68" s="168" t="s">
        <v>1994</v>
      </c>
      <c r="L68" s="168" t="s">
        <v>2060</v>
      </c>
      <c r="M68" s="168" t="s">
        <v>2060</v>
      </c>
      <c r="N68" s="168" t="s">
        <v>2126</v>
      </c>
      <c r="O68" s="169"/>
      <c r="P68" s="168" t="s">
        <v>2180</v>
      </c>
      <c r="Q68" s="168"/>
    </row>
    <row r="69" spans="1:25" s="157" customFormat="1" ht="16.5" customHeight="1">
      <c r="A69" s="153" t="s">
        <v>852</v>
      </c>
      <c r="B69" s="154" t="s">
        <v>837</v>
      </c>
      <c r="C69" s="154" t="s">
        <v>2166</v>
      </c>
      <c r="D69" s="154" t="s">
        <v>2178</v>
      </c>
      <c r="E69" s="154" t="s">
        <v>2181</v>
      </c>
      <c r="F69" s="154" t="s">
        <v>707</v>
      </c>
      <c r="G69" s="154" t="s">
        <v>853</v>
      </c>
      <c r="H69" s="154" t="s">
        <v>854</v>
      </c>
      <c r="I69" s="154"/>
      <c r="J69" s="154">
        <v>1</v>
      </c>
      <c r="K69" s="154" t="s">
        <v>1994</v>
      </c>
      <c r="L69" s="154" t="s">
        <v>2065</v>
      </c>
      <c r="M69" s="154" t="s">
        <v>2071</v>
      </c>
      <c r="N69" s="154" t="s">
        <v>2072</v>
      </c>
      <c r="O69" s="155"/>
      <c r="P69" s="154" t="s">
        <v>1998</v>
      </c>
      <c r="Q69" s="154"/>
      <c r="R69" s="156"/>
    </row>
    <row r="70" spans="1:25" s="157" customFormat="1" ht="16.5" customHeight="1">
      <c r="A70" s="167" t="s">
        <v>855</v>
      </c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2"/>
      <c r="P70" s="171"/>
      <c r="Q70" s="171"/>
    </row>
    <row r="71" spans="1:25" ht="16.5" customHeight="1">
      <c r="A71" s="153" t="s">
        <v>1250</v>
      </c>
      <c r="B71" s="154" t="s">
        <v>837</v>
      </c>
      <c r="C71" s="154" t="s">
        <v>2166</v>
      </c>
      <c r="D71" s="154" t="s">
        <v>2167</v>
      </c>
      <c r="E71" s="177" t="s">
        <v>2182</v>
      </c>
      <c r="F71" s="154" t="s">
        <v>1253</v>
      </c>
      <c r="G71" s="154" t="s">
        <v>841</v>
      </c>
      <c r="H71" s="154" t="s">
        <v>842</v>
      </c>
      <c r="I71" s="154"/>
      <c r="J71" s="154">
        <v>1</v>
      </c>
      <c r="K71" s="154" t="s">
        <v>1994</v>
      </c>
      <c r="L71" s="177" t="s">
        <v>2183</v>
      </c>
      <c r="M71" s="154" t="s">
        <v>1996</v>
      </c>
      <c r="N71" s="177" t="s">
        <v>2184</v>
      </c>
      <c r="O71" s="155"/>
      <c r="P71" s="154" t="s">
        <v>1998</v>
      </c>
      <c r="Q71" s="154"/>
      <c r="R71" s="156"/>
      <c r="S71" s="157"/>
      <c r="T71" s="157"/>
      <c r="U71" s="157"/>
      <c r="V71" s="157"/>
      <c r="W71" s="157"/>
      <c r="X71" s="157"/>
      <c r="Y71" s="157"/>
    </row>
    <row r="72" spans="1:25" s="161" customFormat="1" ht="16.5" customHeight="1">
      <c r="A72" s="158" t="s">
        <v>856</v>
      </c>
      <c r="B72" s="159" t="s">
        <v>837</v>
      </c>
      <c r="C72" s="159" t="s">
        <v>2166</v>
      </c>
      <c r="D72" s="159" t="s">
        <v>2178</v>
      </c>
      <c r="E72" s="159" t="s">
        <v>2185</v>
      </c>
      <c r="F72" s="159" t="s">
        <v>578</v>
      </c>
      <c r="G72" s="159"/>
      <c r="H72" s="159"/>
      <c r="I72" s="159" t="s">
        <v>857</v>
      </c>
      <c r="J72" s="159">
        <v>1</v>
      </c>
      <c r="K72" s="159" t="s">
        <v>1994</v>
      </c>
      <c r="L72" s="159" t="s">
        <v>2082</v>
      </c>
      <c r="M72" s="159" t="s">
        <v>1996</v>
      </c>
      <c r="N72" s="159" t="s">
        <v>2083</v>
      </c>
      <c r="O72" s="160"/>
      <c r="P72" s="159" t="s">
        <v>1998</v>
      </c>
      <c r="Q72" s="159"/>
    </row>
    <row r="73" spans="1:25" s="157" customFormat="1" ht="16.5" customHeight="1">
      <c r="A73" s="153" t="s">
        <v>858</v>
      </c>
      <c r="B73" s="154" t="s">
        <v>837</v>
      </c>
      <c r="C73" s="154" t="s">
        <v>2166</v>
      </c>
      <c r="D73" s="154" t="s">
        <v>2178</v>
      </c>
      <c r="E73" s="154" t="s">
        <v>2186</v>
      </c>
      <c r="F73" s="154" t="s">
        <v>859</v>
      </c>
      <c r="G73" s="154"/>
      <c r="H73" s="154"/>
      <c r="I73" s="154"/>
      <c r="J73" s="154">
        <v>1</v>
      </c>
      <c r="K73" s="154" t="s">
        <v>1994</v>
      </c>
      <c r="L73" s="154" t="s">
        <v>2086</v>
      </c>
      <c r="M73" s="154" t="s">
        <v>1996</v>
      </c>
      <c r="N73" s="154" t="s">
        <v>2087</v>
      </c>
      <c r="O73" s="155"/>
      <c r="P73" s="154" t="s">
        <v>1998</v>
      </c>
      <c r="Q73" s="154"/>
      <c r="R73" s="156"/>
    </row>
    <row r="74" spans="1:25" s="140" customFormat="1" ht="16.5" customHeight="1">
      <c r="A74" s="174" t="s">
        <v>860</v>
      </c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6"/>
      <c r="P74" s="175"/>
      <c r="Q74" s="175"/>
    </row>
    <row r="75" spans="1:25" s="157" customFormat="1" ht="16.5" customHeight="1">
      <c r="A75" s="153" t="s">
        <v>1257</v>
      </c>
      <c r="B75" s="154" t="s">
        <v>837</v>
      </c>
      <c r="C75" s="154" t="s">
        <v>2166</v>
      </c>
      <c r="D75" s="154" t="s">
        <v>2178</v>
      </c>
      <c r="E75" s="154" t="s">
        <v>2187</v>
      </c>
      <c r="F75" s="154" t="s">
        <v>1265</v>
      </c>
      <c r="G75" s="154"/>
      <c r="H75" s="154"/>
      <c r="I75" s="154"/>
      <c r="J75" s="154"/>
      <c r="K75" s="154"/>
      <c r="L75" s="154"/>
      <c r="M75" s="154"/>
      <c r="N75" s="154"/>
      <c r="O75" s="155"/>
      <c r="P75" s="154"/>
      <c r="Q75" s="154"/>
      <c r="R75" s="156"/>
    </row>
    <row r="76" spans="1:25" ht="16.5" customHeight="1">
      <c r="A76" s="167" t="s">
        <v>862</v>
      </c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9"/>
      <c r="P76" s="168"/>
      <c r="Q76" s="168"/>
    </row>
    <row r="77" spans="1:25" s="140" customFormat="1" ht="16.5" customHeight="1">
      <c r="A77" s="174" t="s">
        <v>1258</v>
      </c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6"/>
      <c r="P77" s="175"/>
      <c r="Q77" s="175"/>
    </row>
    <row r="78" spans="1:25" s="157" customFormat="1" ht="16.5" customHeight="1">
      <c r="A78" s="170" t="s">
        <v>863</v>
      </c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2"/>
      <c r="P78" s="171"/>
      <c r="Q78" s="171"/>
    </row>
    <row r="79" spans="1:25" ht="16.5" customHeight="1">
      <c r="A79" s="167" t="s">
        <v>864</v>
      </c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9"/>
      <c r="P79" s="168"/>
      <c r="Q79" s="168"/>
    </row>
    <row r="80" spans="1:25" ht="16.5" customHeight="1">
      <c r="A80" s="167" t="s">
        <v>865</v>
      </c>
      <c r="B80" s="168" t="s">
        <v>837</v>
      </c>
      <c r="C80" s="168" t="s">
        <v>2166</v>
      </c>
      <c r="D80" s="168" t="s">
        <v>2178</v>
      </c>
      <c r="E80" s="168" t="s">
        <v>2188</v>
      </c>
      <c r="F80" s="168"/>
      <c r="G80" s="168"/>
      <c r="H80" s="168"/>
      <c r="I80" s="168"/>
      <c r="J80" s="168">
        <v>1</v>
      </c>
      <c r="K80" s="168" t="s">
        <v>1994</v>
      </c>
      <c r="L80" s="168" t="s">
        <v>1995</v>
      </c>
      <c r="M80" s="168" t="s">
        <v>1996</v>
      </c>
      <c r="N80" s="168" t="s">
        <v>2150</v>
      </c>
      <c r="O80" s="169"/>
      <c r="P80" s="168" t="s">
        <v>1998</v>
      </c>
      <c r="Q80" s="168"/>
    </row>
    <row r="81" spans="1:17" ht="16.5" customHeight="1">
      <c r="A81" s="167" t="s">
        <v>858</v>
      </c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9"/>
      <c r="P81" s="168"/>
      <c r="Q81" s="168"/>
    </row>
    <row r="82" spans="1:17" ht="16.5" customHeight="1">
      <c r="A82" s="167" t="s">
        <v>860</v>
      </c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9"/>
      <c r="P82" s="168"/>
      <c r="Q82" s="168"/>
    </row>
    <row r="83" spans="1:17" ht="16.5" customHeight="1">
      <c r="A83" s="167" t="s">
        <v>861</v>
      </c>
      <c r="B83" s="168" t="s">
        <v>837</v>
      </c>
      <c r="C83" s="168" t="s">
        <v>2189</v>
      </c>
      <c r="D83" s="168" t="s">
        <v>2190</v>
      </c>
      <c r="E83" s="168" t="s">
        <v>2191</v>
      </c>
      <c r="F83" s="168"/>
      <c r="G83" s="168"/>
      <c r="H83" s="168" t="s">
        <v>2192</v>
      </c>
      <c r="I83" s="168" t="s">
        <v>866</v>
      </c>
      <c r="J83" s="168">
        <v>1</v>
      </c>
      <c r="K83" s="168" t="s">
        <v>1994</v>
      </c>
      <c r="L83" s="168" t="s">
        <v>1995</v>
      </c>
      <c r="M83" s="168" t="s">
        <v>1996</v>
      </c>
      <c r="N83" s="168" t="s">
        <v>2193</v>
      </c>
      <c r="O83" s="169"/>
      <c r="P83" s="168" t="s">
        <v>1998</v>
      </c>
      <c r="Q83" s="168"/>
    </row>
    <row r="84" spans="1:17" ht="16.5" customHeight="1">
      <c r="A84" s="167" t="s">
        <v>1276</v>
      </c>
      <c r="B84" s="168" t="s">
        <v>718</v>
      </c>
      <c r="C84" s="168" t="s">
        <v>2189</v>
      </c>
      <c r="D84" s="173" t="s">
        <v>2194</v>
      </c>
      <c r="E84" s="168" t="s">
        <v>2195</v>
      </c>
      <c r="F84" s="173" t="s">
        <v>2196</v>
      </c>
      <c r="G84" s="168"/>
      <c r="H84" s="173" t="s">
        <v>2197</v>
      </c>
      <c r="I84" s="168"/>
      <c r="J84" s="168">
        <v>1</v>
      </c>
      <c r="K84" s="168" t="s">
        <v>1994</v>
      </c>
      <c r="L84" s="168" t="s">
        <v>1995</v>
      </c>
      <c r="M84" s="168" t="s">
        <v>1996</v>
      </c>
      <c r="N84" s="168" t="s">
        <v>2198</v>
      </c>
      <c r="O84" s="169"/>
      <c r="P84" s="168" t="s">
        <v>1998</v>
      </c>
      <c r="Q84" s="168" t="s">
        <v>2199</v>
      </c>
    </row>
    <row r="85" spans="1:17" ht="16.5" customHeight="1">
      <c r="A85" s="167" t="s">
        <v>867</v>
      </c>
      <c r="B85" s="168" t="s">
        <v>718</v>
      </c>
      <c r="C85" s="168" t="s">
        <v>2189</v>
      </c>
      <c r="D85" s="168" t="s">
        <v>2200</v>
      </c>
      <c r="E85" s="168" t="s">
        <v>2201</v>
      </c>
      <c r="F85" s="168" t="s">
        <v>868</v>
      </c>
      <c r="G85" s="168" t="s">
        <v>869</v>
      </c>
      <c r="H85" s="168" t="s">
        <v>2202</v>
      </c>
      <c r="I85" s="168"/>
      <c r="J85" s="168">
        <v>1</v>
      </c>
      <c r="K85" s="168" t="s">
        <v>1994</v>
      </c>
      <c r="L85" s="168" t="s">
        <v>1995</v>
      </c>
      <c r="M85" s="168" t="s">
        <v>1996</v>
      </c>
      <c r="N85" s="168" t="s">
        <v>2193</v>
      </c>
      <c r="O85" s="169"/>
      <c r="P85" s="168" t="s">
        <v>1998</v>
      </c>
      <c r="Q85" s="168" t="s">
        <v>2203</v>
      </c>
    </row>
    <row r="86" spans="1:17" s="157" customFormat="1" ht="16.5" customHeight="1">
      <c r="A86" s="178" t="s">
        <v>870</v>
      </c>
      <c r="B86" s="171" t="s">
        <v>718</v>
      </c>
      <c r="C86" s="179" t="s">
        <v>2204</v>
      </c>
      <c r="D86" s="171" t="s">
        <v>2205</v>
      </c>
      <c r="E86" s="179" t="s">
        <v>2206</v>
      </c>
      <c r="F86" s="179" t="s">
        <v>868</v>
      </c>
      <c r="G86" s="179" t="s">
        <v>869</v>
      </c>
      <c r="H86" s="179" t="s">
        <v>2207</v>
      </c>
      <c r="I86" s="179"/>
      <c r="J86" s="179">
        <v>1</v>
      </c>
      <c r="K86" s="179" t="s">
        <v>2208</v>
      </c>
      <c r="L86" s="168" t="s">
        <v>1995</v>
      </c>
      <c r="M86" s="168" t="s">
        <v>1996</v>
      </c>
      <c r="N86" s="168" t="s">
        <v>2193</v>
      </c>
      <c r="O86" s="180"/>
      <c r="P86" s="179" t="s">
        <v>2067</v>
      </c>
      <c r="Q86" s="179" t="s">
        <v>2209</v>
      </c>
    </row>
    <row r="87" spans="1:17" s="157" customFormat="1" ht="16.5" customHeight="1">
      <c r="A87" s="178" t="s">
        <v>871</v>
      </c>
      <c r="B87" s="171" t="s">
        <v>718</v>
      </c>
      <c r="C87" s="179" t="s">
        <v>2204</v>
      </c>
      <c r="D87" s="179" t="s">
        <v>2210</v>
      </c>
      <c r="E87" s="179" t="s">
        <v>2211</v>
      </c>
      <c r="F87" s="179" t="s">
        <v>868</v>
      </c>
      <c r="G87" s="179" t="s">
        <v>869</v>
      </c>
      <c r="H87" s="179" t="s">
        <v>2212</v>
      </c>
      <c r="I87" s="179"/>
      <c r="J87" s="179">
        <v>1</v>
      </c>
      <c r="K87" s="179" t="s">
        <v>2208</v>
      </c>
      <c r="L87" s="168" t="s">
        <v>1995</v>
      </c>
      <c r="M87" s="168" t="s">
        <v>1996</v>
      </c>
      <c r="N87" s="168" t="s">
        <v>2193</v>
      </c>
      <c r="O87" s="180"/>
      <c r="P87" s="179" t="s">
        <v>2067</v>
      </c>
      <c r="Q87" s="179" t="s">
        <v>2213</v>
      </c>
    </row>
    <row r="88" spans="1:17" s="157" customFormat="1" ht="16.5" customHeight="1">
      <c r="A88" s="178" t="s">
        <v>872</v>
      </c>
      <c r="B88" s="171" t="s">
        <v>718</v>
      </c>
      <c r="C88" s="179" t="s">
        <v>2204</v>
      </c>
      <c r="D88" s="171" t="s">
        <v>2214</v>
      </c>
      <c r="E88" s="179" t="s">
        <v>2215</v>
      </c>
      <c r="F88" s="179" t="s">
        <v>873</v>
      </c>
      <c r="G88" s="179" t="s">
        <v>874</v>
      </c>
      <c r="H88" s="179" t="s">
        <v>2216</v>
      </c>
      <c r="I88" s="179"/>
      <c r="J88" s="179">
        <v>1</v>
      </c>
      <c r="K88" s="179" t="s">
        <v>2208</v>
      </c>
      <c r="L88" s="168" t="s">
        <v>1995</v>
      </c>
      <c r="M88" s="168" t="s">
        <v>1996</v>
      </c>
      <c r="N88" s="168" t="s">
        <v>2193</v>
      </c>
      <c r="O88" s="180"/>
      <c r="P88" s="179" t="s">
        <v>2067</v>
      </c>
      <c r="Q88" s="179" t="s">
        <v>2217</v>
      </c>
    </row>
    <row r="89" spans="1:17" s="157" customFormat="1" ht="16.5" customHeight="1">
      <c r="A89" s="178" t="s">
        <v>875</v>
      </c>
      <c r="B89" s="171" t="s">
        <v>718</v>
      </c>
      <c r="C89" s="179" t="s">
        <v>2204</v>
      </c>
      <c r="D89" s="179" t="s">
        <v>2218</v>
      </c>
      <c r="E89" s="179" t="s">
        <v>2219</v>
      </c>
      <c r="F89" s="179" t="s">
        <v>876</v>
      </c>
      <c r="G89" s="179" t="s">
        <v>877</v>
      </c>
      <c r="H89" s="179" t="s">
        <v>2220</v>
      </c>
      <c r="I89" s="179"/>
      <c r="J89" s="179">
        <v>1</v>
      </c>
      <c r="K89" s="179" t="s">
        <v>2208</v>
      </c>
      <c r="L89" s="168" t="s">
        <v>1995</v>
      </c>
      <c r="M89" s="168" t="s">
        <v>1996</v>
      </c>
      <c r="N89" s="168" t="s">
        <v>2193</v>
      </c>
      <c r="O89" s="180"/>
      <c r="P89" s="179" t="s">
        <v>2067</v>
      </c>
      <c r="Q89" s="179" t="s">
        <v>2217</v>
      </c>
    </row>
    <row r="90" spans="1:17" s="157" customFormat="1" ht="16.5" customHeight="1">
      <c r="A90" s="178" t="s">
        <v>878</v>
      </c>
      <c r="B90" s="171" t="s">
        <v>718</v>
      </c>
      <c r="C90" s="179" t="s">
        <v>2204</v>
      </c>
      <c r="D90" s="179" t="s">
        <v>2218</v>
      </c>
      <c r="E90" s="179" t="s">
        <v>2221</v>
      </c>
      <c r="F90" s="179" t="s">
        <v>868</v>
      </c>
      <c r="G90" s="179" t="s">
        <v>879</v>
      </c>
      <c r="H90" s="179" t="s">
        <v>2222</v>
      </c>
      <c r="I90" s="179"/>
      <c r="J90" s="179">
        <v>1</v>
      </c>
      <c r="K90" s="179" t="s">
        <v>2208</v>
      </c>
      <c r="L90" s="168" t="s">
        <v>1995</v>
      </c>
      <c r="M90" s="168" t="s">
        <v>1996</v>
      </c>
      <c r="N90" s="168" t="s">
        <v>2193</v>
      </c>
      <c r="O90" s="180"/>
      <c r="P90" s="179" t="s">
        <v>2067</v>
      </c>
      <c r="Q90" s="179" t="s">
        <v>2223</v>
      </c>
    </row>
    <row r="91" spans="1:17" s="157" customFormat="1" ht="16.5" customHeight="1">
      <c r="A91" s="178" t="s">
        <v>880</v>
      </c>
      <c r="B91" s="171" t="s">
        <v>718</v>
      </c>
      <c r="C91" s="179" t="s">
        <v>2204</v>
      </c>
      <c r="D91" s="179" t="s">
        <v>2224</v>
      </c>
      <c r="E91" s="179" t="s">
        <v>2225</v>
      </c>
      <c r="F91" s="179" t="s">
        <v>873</v>
      </c>
      <c r="G91" s="179" t="s">
        <v>881</v>
      </c>
      <c r="H91" s="179" t="s">
        <v>2226</v>
      </c>
      <c r="I91" s="179"/>
      <c r="J91" s="179">
        <v>1</v>
      </c>
      <c r="K91" s="179" t="s">
        <v>2208</v>
      </c>
      <c r="L91" s="168" t="s">
        <v>1995</v>
      </c>
      <c r="M91" s="168" t="s">
        <v>1996</v>
      </c>
      <c r="N91" s="168" t="s">
        <v>2193</v>
      </c>
      <c r="O91" s="180"/>
      <c r="P91" s="179" t="s">
        <v>2067</v>
      </c>
      <c r="Q91" s="179" t="s">
        <v>2227</v>
      </c>
    </row>
    <row r="92" spans="1:17" s="157" customFormat="1" ht="16.5" customHeight="1">
      <c r="A92" s="178" t="s">
        <v>882</v>
      </c>
      <c r="B92" s="171" t="s">
        <v>718</v>
      </c>
      <c r="C92" s="179" t="s">
        <v>2204</v>
      </c>
      <c r="D92" s="179" t="s">
        <v>2224</v>
      </c>
      <c r="E92" s="179" t="s">
        <v>2228</v>
      </c>
      <c r="F92" s="179" t="s">
        <v>868</v>
      </c>
      <c r="G92" s="179" t="s">
        <v>883</v>
      </c>
      <c r="H92" s="179" t="s">
        <v>2229</v>
      </c>
      <c r="I92" s="179"/>
      <c r="J92" s="179">
        <v>1</v>
      </c>
      <c r="K92" s="179" t="s">
        <v>2208</v>
      </c>
      <c r="L92" s="168" t="s">
        <v>1995</v>
      </c>
      <c r="M92" s="168" t="s">
        <v>1996</v>
      </c>
      <c r="N92" s="168" t="s">
        <v>2193</v>
      </c>
      <c r="O92" s="180"/>
      <c r="P92" s="179" t="s">
        <v>2067</v>
      </c>
      <c r="Q92" s="179" t="s">
        <v>2230</v>
      </c>
    </row>
    <row r="93" spans="1:17" s="157" customFormat="1" ht="16.5" customHeight="1">
      <c r="A93" s="178" t="s">
        <v>884</v>
      </c>
      <c r="B93" s="171" t="s">
        <v>718</v>
      </c>
      <c r="C93" s="179" t="s">
        <v>2204</v>
      </c>
      <c r="D93" s="179" t="s">
        <v>2224</v>
      </c>
      <c r="E93" s="179" t="s">
        <v>2231</v>
      </c>
      <c r="F93" s="179" t="s">
        <v>868</v>
      </c>
      <c r="G93" s="179" t="s">
        <v>885</v>
      </c>
      <c r="H93" s="179" t="s">
        <v>2232</v>
      </c>
      <c r="I93" s="179"/>
      <c r="J93" s="179">
        <v>1</v>
      </c>
      <c r="K93" s="179" t="s">
        <v>2208</v>
      </c>
      <c r="L93" s="168" t="s">
        <v>1995</v>
      </c>
      <c r="M93" s="168" t="s">
        <v>1996</v>
      </c>
      <c r="N93" s="168" t="s">
        <v>2193</v>
      </c>
      <c r="O93" s="180"/>
      <c r="P93" s="179" t="s">
        <v>2067</v>
      </c>
      <c r="Q93" s="179" t="s">
        <v>2233</v>
      </c>
    </row>
    <row r="94" spans="1:17" s="157" customFormat="1" ht="16.5" customHeight="1">
      <c r="A94" s="178" t="s">
        <v>886</v>
      </c>
      <c r="B94" s="179" t="s">
        <v>718</v>
      </c>
      <c r="C94" s="179" t="s">
        <v>2234</v>
      </c>
      <c r="D94" s="179" t="s">
        <v>2235</v>
      </c>
      <c r="E94" s="179" t="s">
        <v>2236</v>
      </c>
      <c r="F94" s="179" t="s">
        <v>887</v>
      </c>
      <c r="G94" s="179" t="s">
        <v>888</v>
      </c>
      <c r="H94" s="179"/>
      <c r="I94" s="179"/>
      <c r="J94" s="179">
        <v>1</v>
      </c>
      <c r="K94" s="179" t="s">
        <v>2208</v>
      </c>
      <c r="L94" s="168" t="s">
        <v>1995</v>
      </c>
      <c r="M94" s="168" t="s">
        <v>1996</v>
      </c>
      <c r="N94" s="168" t="s">
        <v>2237</v>
      </c>
      <c r="O94" s="180"/>
      <c r="P94" s="179" t="s">
        <v>2067</v>
      </c>
      <c r="Q94" s="179" t="s">
        <v>2238</v>
      </c>
    </row>
    <row r="95" spans="1:17" s="157" customFormat="1" ht="16.5" customHeight="1">
      <c r="A95" s="178" t="s">
        <v>889</v>
      </c>
      <c r="B95" s="179" t="s">
        <v>718</v>
      </c>
      <c r="C95" s="179" t="s">
        <v>2234</v>
      </c>
      <c r="D95" s="179" t="s">
        <v>2235</v>
      </c>
      <c r="E95" s="179" t="s">
        <v>2239</v>
      </c>
      <c r="F95" s="179" t="s">
        <v>750</v>
      </c>
      <c r="G95" s="179" t="s">
        <v>890</v>
      </c>
      <c r="H95" s="179"/>
      <c r="I95" s="179"/>
      <c r="J95" s="179">
        <v>1</v>
      </c>
      <c r="K95" s="179" t="s">
        <v>2208</v>
      </c>
      <c r="L95" s="168" t="s">
        <v>1995</v>
      </c>
      <c r="M95" s="168" t="s">
        <v>1996</v>
      </c>
      <c r="N95" s="168" t="s">
        <v>2237</v>
      </c>
      <c r="O95" s="180"/>
      <c r="P95" s="179" t="s">
        <v>2067</v>
      </c>
      <c r="Q95" s="179" t="s">
        <v>2240</v>
      </c>
    </row>
    <row r="96" spans="1:17" s="157" customFormat="1" ht="16.5" customHeight="1">
      <c r="A96" s="178" t="s">
        <v>1962</v>
      </c>
      <c r="B96" s="179" t="s">
        <v>718</v>
      </c>
      <c r="C96" s="179" t="s">
        <v>2241</v>
      </c>
      <c r="D96" s="179" t="s">
        <v>2242</v>
      </c>
      <c r="E96" s="179" t="s">
        <v>2243</v>
      </c>
      <c r="F96" s="179" t="s">
        <v>1964</v>
      </c>
      <c r="G96" s="179" t="s">
        <v>1903</v>
      </c>
      <c r="H96" s="179" t="s">
        <v>2244</v>
      </c>
      <c r="I96" s="179"/>
      <c r="J96" s="179">
        <v>1</v>
      </c>
      <c r="K96" s="179" t="s">
        <v>2208</v>
      </c>
      <c r="L96" s="168" t="s">
        <v>2245</v>
      </c>
      <c r="M96" s="168" t="s">
        <v>2246</v>
      </c>
      <c r="N96" s="168" t="s">
        <v>2193</v>
      </c>
      <c r="O96" s="180"/>
      <c r="P96" s="179" t="s">
        <v>2067</v>
      </c>
      <c r="Q96" s="179"/>
    </row>
    <row r="97" spans="1:16" s="157" customFormat="1" ht="16.5" customHeight="1">
      <c r="A97" s="181" t="s">
        <v>1966</v>
      </c>
      <c r="B97" s="157" t="s">
        <v>1967</v>
      </c>
      <c r="C97" s="179" t="s">
        <v>2241</v>
      </c>
      <c r="D97" s="157" t="s">
        <v>2247</v>
      </c>
      <c r="E97" s="157" t="s">
        <v>2248</v>
      </c>
      <c r="F97" s="157" t="s">
        <v>1969</v>
      </c>
      <c r="G97" s="157" t="s">
        <v>1965</v>
      </c>
      <c r="H97" s="179" t="s">
        <v>2249</v>
      </c>
      <c r="J97" s="179">
        <v>2</v>
      </c>
      <c r="K97" s="179" t="s">
        <v>2208</v>
      </c>
      <c r="L97" s="168" t="s">
        <v>2245</v>
      </c>
      <c r="M97" s="168" t="s">
        <v>2246</v>
      </c>
      <c r="N97" s="168" t="s">
        <v>2193</v>
      </c>
      <c r="P97" s="179" t="s">
        <v>2067</v>
      </c>
    </row>
  </sheetData>
  <phoneticPr fontId="3" type="noConversion"/>
  <conditionalFormatting sqref="K2:K85">
    <cfRule type="expression" dxfId="3" priority="1">
      <formula>ISNUMBER(SEARCH("自有",K2))</formula>
    </cfRule>
    <cfRule type="expression" dxfId="2" priority="2">
      <formula>ISNUMBER(SEARCH("電信商",K2))</formula>
    </cfRule>
  </conditionalFormatting>
  <conditionalFormatting sqref="P2:P85">
    <cfRule type="expression" dxfId="1" priority="3">
      <formula>ISNUMBER(SEARCH("借用",P2))</formula>
    </cfRule>
    <cfRule type="expression" dxfId="0" priority="4">
      <formula>ISNUMBER(SEARCH("備用",P2))</formula>
    </cfRule>
  </conditionalFormatting>
  <dataValidations count="2">
    <dataValidation type="list" sqref="P2:P85" xr:uid="{00000000-0002-0000-0200-000000000000}">
      <formula1>"正常使用,正常使用(借用中),正常使用(目前 Jack 使用),備用(目前無使用),待確認,待報廢"</formula1>
    </dataValidation>
    <dataValidation type="list" sqref="K2:K85" xr:uid="{00000000-0002-0000-0200-000001000000}">
      <formula1>"公司,自有(BYOD),自有／待確認,電信商提供／待確認,待確認"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3FAC-ECC1-4126-8F0F-834004200438}">
  <dimension ref="A1:O202"/>
  <sheetViews>
    <sheetView workbookViewId="0">
      <selection activeCell="E3" sqref="E3"/>
    </sheetView>
  </sheetViews>
  <sheetFormatPr defaultRowHeight="15.75"/>
  <cols>
    <col min="1" max="1" width="10" style="113" customWidth="1"/>
    <col min="2" max="2" width="13.5" style="102" bestFit="1" customWidth="1"/>
    <col min="3" max="3" width="9.875" style="102" customWidth="1"/>
    <col min="4" max="4" width="18.25" style="113" customWidth="1"/>
    <col min="5" max="5" width="21.125" style="102" customWidth="1"/>
    <col min="6" max="6" width="7.125" style="102" customWidth="1"/>
    <col min="7" max="7" width="10.875" style="102" customWidth="1"/>
    <col min="8" max="8" width="11.375" style="102" customWidth="1"/>
    <col min="9" max="9" width="9.375" style="102" customWidth="1"/>
    <col min="10" max="10" width="7.125" style="102" bestFit="1" customWidth="1"/>
    <col min="11" max="11" width="5.5" style="102" bestFit="1" customWidth="1"/>
    <col min="12" max="12" width="8.25" style="123" customWidth="1"/>
    <col min="13" max="13" width="11.25" style="102" customWidth="1"/>
    <col min="14" max="14" width="10.875" style="101" customWidth="1"/>
    <col min="15" max="15" width="6.875" style="101" customWidth="1"/>
    <col min="16" max="16384" width="9" style="101"/>
  </cols>
  <sheetData>
    <row r="1" spans="1:15" s="112" customFormat="1">
      <c r="A1" s="120" t="s">
        <v>1795</v>
      </c>
      <c r="B1" s="120" t="s">
        <v>1770</v>
      </c>
      <c r="C1" s="120" t="s">
        <v>1771</v>
      </c>
      <c r="D1" s="120" t="s">
        <v>1772</v>
      </c>
      <c r="E1" s="120" t="s">
        <v>1773</v>
      </c>
      <c r="F1" s="120" t="s">
        <v>1774</v>
      </c>
      <c r="G1" s="120" t="s">
        <v>1796</v>
      </c>
      <c r="H1" s="120" t="s">
        <v>1797</v>
      </c>
      <c r="I1" s="120" t="s">
        <v>1798</v>
      </c>
      <c r="J1" s="120" t="s">
        <v>1799</v>
      </c>
      <c r="K1" s="120" t="s">
        <v>1800</v>
      </c>
      <c r="L1" s="124" t="s">
        <v>1801</v>
      </c>
      <c r="M1" s="120" t="s">
        <v>1802</v>
      </c>
      <c r="N1" s="120" t="s">
        <v>1834</v>
      </c>
      <c r="O1" s="120" t="s">
        <v>1803</v>
      </c>
    </row>
    <row r="2" spans="1:15" s="116" customFormat="1" ht="15">
      <c r="A2" s="121">
        <v>46310</v>
      </c>
      <c r="B2" s="115" t="s">
        <v>1768</v>
      </c>
      <c r="C2" s="116" t="s">
        <v>1782</v>
      </c>
      <c r="D2" s="115" t="s">
        <v>1783</v>
      </c>
      <c r="E2" s="115" t="s">
        <v>1781</v>
      </c>
      <c r="F2" s="116">
        <v>2</v>
      </c>
      <c r="H2" s="114"/>
      <c r="K2" s="116" t="s">
        <v>1807</v>
      </c>
      <c r="L2" s="122"/>
    </row>
    <row r="3" spans="1:15" s="116" customFormat="1" ht="15">
      <c r="A3" s="121">
        <v>46310</v>
      </c>
      <c r="B3" s="115" t="s">
        <v>1768</v>
      </c>
      <c r="C3" s="116" t="s">
        <v>1782</v>
      </c>
      <c r="D3" s="115" t="s">
        <v>1783</v>
      </c>
      <c r="E3" s="115" t="s">
        <v>1781</v>
      </c>
      <c r="F3" s="116">
        <v>1</v>
      </c>
      <c r="H3" s="114">
        <v>46310</v>
      </c>
      <c r="I3" s="116" t="s">
        <v>1864</v>
      </c>
      <c r="J3" s="116" t="s">
        <v>1272</v>
      </c>
      <c r="K3" s="116" t="s">
        <v>1812</v>
      </c>
      <c r="L3" s="122"/>
      <c r="N3" s="116" t="s">
        <v>1788</v>
      </c>
    </row>
    <row r="4" spans="1:15" s="112" customFormat="1">
      <c r="A4" s="121">
        <v>46310</v>
      </c>
      <c r="B4" s="115" t="s">
        <v>1778</v>
      </c>
      <c r="C4" s="118" t="s">
        <v>1816</v>
      </c>
      <c r="D4" s="119" t="s">
        <v>1817</v>
      </c>
      <c r="E4" s="115" t="s">
        <v>2256</v>
      </c>
      <c r="F4" s="116">
        <v>3</v>
      </c>
      <c r="H4" s="114"/>
      <c r="I4" s="116"/>
      <c r="J4" s="116"/>
      <c r="K4" s="116" t="s">
        <v>1807</v>
      </c>
      <c r="L4" s="122">
        <v>16500</v>
      </c>
      <c r="M4" s="116"/>
      <c r="N4" s="116"/>
      <c r="O4" s="116"/>
    </row>
    <row r="5" spans="1:15" s="112" customFormat="1">
      <c r="A5" s="121">
        <v>46309</v>
      </c>
      <c r="B5" s="115" t="s">
        <v>2254</v>
      </c>
      <c r="C5" s="116" t="s">
        <v>2257</v>
      </c>
      <c r="D5" s="119" t="s">
        <v>2258</v>
      </c>
      <c r="E5" s="115" t="s">
        <v>2259</v>
      </c>
      <c r="F5" s="116" t="s">
        <v>2255</v>
      </c>
      <c r="H5" s="114"/>
      <c r="I5" s="116"/>
      <c r="J5" s="116"/>
      <c r="K5" s="116" t="s">
        <v>1807</v>
      </c>
      <c r="L5" s="122">
        <v>135000</v>
      </c>
      <c r="M5" s="116"/>
      <c r="N5" s="116"/>
      <c r="O5" s="116"/>
    </row>
    <row r="6" spans="1:15" s="112" customFormat="1">
      <c r="A6" s="121">
        <v>46309</v>
      </c>
      <c r="B6" s="115" t="s">
        <v>2253</v>
      </c>
      <c r="C6" s="116" t="s">
        <v>2260</v>
      </c>
      <c r="D6" s="115" t="s">
        <v>2261</v>
      </c>
      <c r="E6" s="115" t="s">
        <v>2262</v>
      </c>
      <c r="F6" s="116">
        <v>11</v>
      </c>
      <c r="H6" s="114"/>
      <c r="I6" s="116"/>
      <c r="J6" s="116"/>
      <c r="K6" s="116" t="s">
        <v>1807</v>
      </c>
      <c r="L6" s="122">
        <v>33000</v>
      </c>
      <c r="M6" s="116"/>
      <c r="N6" s="116"/>
      <c r="O6" s="116"/>
    </row>
    <row r="7" spans="1:15" s="112" customFormat="1">
      <c r="A7" s="121">
        <v>46309</v>
      </c>
      <c r="B7" s="115" t="s">
        <v>1793</v>
      </c>
      <c r="C7" s="116" t="s">
        <v>1804</v>
      </c>
      <c r="D7" s="115" t="s">
        <v>1805</v>
      </c>
      <c r="E7" s="115" t="s">
        <v>1806</v>
      </c>
      <c r="F7" s="116">
        <v>1</v>
      </c>
      <c r="G7" s="114">
        <v>46310</v>
      </c>
      <c r="H7" s="114"/>
      <c r="I7" s="116"/>
      <c r="J7" s="116"/>
      <c r="K7" s="116" t="s">
        <v>1807</v>
      </c>
      <c r="L7" s="122">
        <v>3125</v>
      </c>
      <c r="M7" s="116"/>
      <c r="N7" s="116"/>
      <c r="O7" s="116"/>
    </row>
    <row r="8" spans="1:15" s="112" customFormat="1">
      <c r="A8" s="121">
        <v>46309</v>
      </c>
      <c r="B8" s="115" t="s">
        <v>1793</v>
      </c>
      <c r="C8" s="116" t="s">
        <v>1804</v>
      </c>
      <c r="D8" s="115" t="s">
        <v>1805</v>
      </c>
      <c r="E8" s="115" t="s">
        <v>2268</v>
      </c>
      <c r="F8" s="116">
        <v>1</v>
      </c>
      <c r="G8" s="114">
        <v>46310</v>
      </c>
      <c r="H8" s="114"/>
      <c r="I8" s="116"/>
      <c r="J8" s="116"/>
      <c r="K8" s="116" t="s">
        <v>1807</v>
      </c>
      <c r="L8" s="122"/>
      <c r="M8" s="116"/>
      <c r="N8" s="116"/>
      <c r="O8" s="116"/>
    </row>
    <row r="9" spans="1:15" s="112" customFormat="1">
      <c r="A9" s="121">
        <v>46309</v>
      </c>
      <c r="B9" s="115" t="s">
        <v>1794</v>
      </c>
      <c r="C9" s="118" t="s">
        <v>1808</v>
      </c>
      <c r="D9" s="119" t="s">
        <v>1809</v>
      </c>
      <c r="E9" s="115" t="s">
        <v>1810</v>
      </c>
      <c r="F9" s="116">
        <v>12</v>
      </c>
      <c r="H9" s="114"/>
      <c r="I9" s="116"/>
      <c r="J9" s="116"/>
      <c r="K9" s="116" t="s">
        <v>1807</v>
      </c>
      <c r="L9" s="122">
        <v>3570</v>
      </c>
      <c r="M9" s="116"/>
      <c r="N9" s="116"/>
      <c r="O9" s="116"/>
    </row>
    <row r="10" spans="1:15" s="112" customFormat="1">
      <c r="A10" s="121">
        <v>46309</v>
      </c>
      <c r="B10" s="115"/>
      <c r="C10" s="116"/>
      <c r="D10" s="115"/>
      <c r="E10" s="115" t="s">
        <v>1811</v>
      </c>
      <c r="F10" s="116">
        <v>40</v>
      </c>
      <c r="H10" s="114"/>
      <c r="I10" s="116"/>
      <c r="J10" s="116"/>
      <c r="K10" s="116" t="s">
        <v>1807</v>
      </c>
      <c r="L10" s="122">
        <v>8800</v>
      </c>
      <c r="M10" s="116"/>
      <c r="N10" s="116"/>
      <c r="O10" s="116"/>
    </row>
    <row r="11" spans="1:15" s="112" customFormat="1">
      <c r="A11" s="121">
        <v>46309</v>
      </c>
      <c r="B11" s="115" t="s">
        <v>1768</v>
      </c>
      <c r="C11" s="116" t="s">
        <v>1782</v>
      </c>
      <c r="D11" s="115" t="s">
        <v>1783</v>
      </c>
      <c r="E11" s="115" t="s">
        <v>1789</v>
      </c>
      <c r="F11" s="116">
        <v>2</v>
      </c>
      <c r="H11" s="114">
        <v>46309</v>
      </c>
      <c r="I11" s="116" t="s">
        <v>1864</v>
      </c>
      <c r="J11" s="116" t="s">
        <v>1790</v>
      </c>
      <c r="K11" s="116" t="s">
        <v>1812</v>
      </c>
      <c r="L11" s="122"/>
      <c r="M11" s="116"/>
      <c r="N11" s="116" t="s">
        <v>1788</v>
      </c>
      <c r="O11" s="116"/>
    </row>
    <row r="12" spans="1:15" s="116" customFormat="1" ht="15">
      <c r="A12" s="121">
        <v>46309</v>
      </c>
      <c r="B12" s="115" t="s">
        <v>1768</v>
      </c>
      <c r="C12" s="116" t="s">
        <v>1782</v>
      </c>
      <c r="D12" s="115" t="s">
        <v>1783</v>
      </c>
      <c r="E12" s="115" t="s">
        <v>1781</v>
      </c>
      <c r="F12" s="116">
        <v>2</v>
      </c>
      <c r="H12" s="114">
        <v>46309</v>
      </c>
      <c r="I12" s="116" t="s">
        <v>1864</v>
      </c>
      <c r="J12" s="116" t="s">
        <v>1786</v>
      </c>
      <c r="K12" s="116" t="s">
        <v>1812</v>
      </c>
      <c r="L12" s="122"/>
      <c r="M12" s="129" t="s">
        <v>2269</v>
      </c>
      <c r="N12" s="116" t="s">
        <v>1788</v>
      </c>
    </row>
    <row r="13" spans="1:15" s="117" customFormat="1" ht="15">
      <c r="A13" s="121">
        <v>46309</v>
      </c>
      <c r="B13" s="115" t="s">
        <v>1768</v>
      </c>
      <c r="C13" s="116" t="s">
        <v>1782</v>
      </c>
      <c r="D13" s="115" t="s">
        <v>1783</v>
      </c>
      <c r="E13" s="115" t="s">
        <v>1769</v>
      </c>
      <c r="F13" s="116">
        <v>2</v>
      </c>
      <c r="G13" s="114">
        <v>46308</v>
      </c>
      <c r="H13" s="114">
        <v>46309</v>
      </c>
      <c r="I13" s="116" t="s">
        <v>1864</v>
      </c>
      <c r="J13" s="116"/>
      <c r="K13" s="116" t="s">
        <v>1807</v>
      </c>
      <c r="L13" s="122"/>
      <c r="M13" s="116"/>
    </row>
    <row r="14" spans="1:15" s="117" customFormat="1" ht="15">
      <c r="A14" s="121">
        <v>46308</v>
      </c>
      <c r="B14" s="115" t="s">
        <v>1775</v>
      </c>
      <c r="C14" s="116" t="s">
        <v>1784</v>
      </c>
      <c r="D14" s="115" t="s">
        <v>1785</v>
      </c>
      <c r="E14" s="115" t="s">
        <v>1777</v>
      </c>
      <c r="F14" s="116">
        <v>3</v>
      </c>
      <c r="G14" s="114">
        <v>46308</v>
      </c>
      <c r="H14" s="116"/>
      <c r="I14" s="116"/>
      <c r="J14" s="116" t="s">
        <v>1787</v>
      </c>
      <c r="K14" s="116" t="s">
        <v>1807</v>
      </c>
      <c r="L14" s="122"/>
      <c r="M14" s="116"/>
    </row>
    <row r="15" spans="1:15" s="117" customFormat="1" ht="15">
      <c r="A15" s="121">
        <v>46308</v>
      </c>
      <c r="B15" s="115" t="s">
        <v>1776</v>
      </c>
      <c r="C15" s="118" t="s">
        <v>1813</v>
      </c>
      <c r="D15" s="115" t="s">
        <v>1814</v>
      </c>
      <c r="E15" s="115" t="s">
        <v>1815</v>
      </c>
      <c r="F15" s="116">
        <v>6</v>
      </c>
      <c r="G15" s="114">
        <v>46308</v>
      </c>
      <c r="H15" s="116"/>
      <c r="I15" s="116"/>
      <c r="J15" s="116"/>
      <c r="K15" s="116" t="s">
        <v>1807</v>
      </c>
      <c r="L15" s="122"/>
      <c r="M15" s="116"/>
    </row>
    <row r="16" spans="1:15" s="117" customFormat="1" ht="15">
      <c r="A16" s="121">
        <v>46308</v>
      </c>
      <c r="B16" s="115" t="s">
        <v>1778</v>
      </c>
      <c r="C16" s="118" t="s">
        <v>1816</v>
      </c>
      <c r="D16" s="119" t="s">
        <v>1817</v>
      </c>
      <c r="E16" s="115" t="s">
        <v>1818</v>
      </c>
      <c r="F16" s="116">
        <v>2</v>
      </c>
      <c r="G16" s="114">
        <v>46308</v>
      </c>
      <c r="H16" s="116"/>
      <c r="I16" s="116"/>
      <c r="J16" s="116"/>
      <c r="K16" s="116" t="s">
        <v>1807</v>
      </c>
      <c r="L16" s="122"/>
      <c r="M16" s="116"/>
    </row>
    <row r="17" spans="1:14" s="117" customFormat="1" ht="15">
      <c r="A17" s="121">
        <v>46308</v>
      </c>
      <c r="B17" s="115" t="s">
        <v>1779</v>
      </c>
      <c r="C17" s="118" t="s">
        <v>1808</v>
      </c>
      <c r="D17" s="119" t="s">
        <v>1809</v>
      </c>
      <c r="E17" s="115" t="s">
        <v>1780</v>
      </c>
      <c r="F17" s="116">
        <v>1</v>
      </c>
      <c r="G17" s="114">
        <v>46308</v>
      </c>
      <c r="H17" s="116"/>
      <c r="I17" s="116"/>
      <c r="J17" s="116"/>
      <c r="K17" s="116" t="s">
        <v>1807</v>
      </c>
      <c r="L17" s="122"/>
      <c r="M17" s="116"/>
    </row>
    <row r="18" spans="1:14" s="117" customFormat="1" ht="15">
      <c r="A18" s="121">
        <v>46301</v>
      </c>
      <c r="B18" s="115" t="s">
        <v>1947</v>
      </c>
      <c r="C18" s="118" t="s">
        <v>1916</v>
      </c>
      <c r="D18" s="119" t="s">
        <v>1950</v>
      </c>
      <c r="E18" s="115" t="s">
        <v>1948</v>
      </c>
      <c r="F18" s="116">
        <v>1</v>
      </c>
      <c r="G18" s="114"/>
      <c r="H18" s="114">
        <v>46301</v>
      </c>
      <c r="I18" s="116" t="s">
        <v>1908</v>
      </c>
      <c r="J18" s="116" t="s">
        <v>1949</v>
      </c>
      <c r="K18" s="116" t="s">
        <v>1812</v>
      </c>
      <c r="L18" s="122"/>
      <c r="M18" s="116"/>
      <c r="N18" s="116" t="s">
        <v>1788</v>
      </c>
    </row>
    <row r="19" spans="1:14" s="117" customFormat="1" ht="15">
      <c r="A19" s="121">
        <v>46301</v>
      </c>
      <c r="B19" s="115" t="s">
        <v>1947</v>
      </c>
      <c r="C19" s="118" t="s">
        <v>1916</v>
      </c>
      <c r="D19" s="119" t="s">
        <v>1950</v>
      </c>
      <c r="E19" s="115" t="s">
        <v>1826</v>
      </c>
      <c r="F19" s="116">
        <v>1</v>
      </c>
      <c r="G19" s="114"/>
      <c r="H19" s="114">
        <v>46301</v>
      </c>
      <c r="I19" s="116" t="s">
        <v>1908</v>
      </c>
      <c r="J19" s="116" t="s">
        <v>1827</v>
      </c>
      <c r="K19" s="116" t="s">
        <v>1812</v>
      </c>
      <c r="L19" s="122"/>
      <c r="M19" s="116"/>
      <c r="N19" s="116" t="s">
        <v>1788</v>
      </c>
    </row>
    <row r="20" spans="1:14" s="117" customFormat="1" ht="15">
      <c r="A20" s="121">
        <v>46301</v>
      </c>
      <c r="B20" s="115" t="s">
        <v>1947</v>
      </c>
      <c r="C20" s="118" t="s">
        <v>1916</v>
      </c>
      <c r="D20" s="119" t="s">
        <v>1950</v>
      </c>
      <c r="E20" s="115" t="s">
        <v>1828</v>
      </c>
      <c r="F20" s="116">
        <v>1</v>
      </c>
      <c r="G20" s="114"/>
      <c r="H20" s="114">
        <v>46301</v>
      </c>
      <c r="I20" s="116" t="s">
        <v>1908</v>
      </c>
      <c r="J20" s="116" t="s">
        <v>1792</v>
      </c>
      <c r="K20" s="116" t="s">
        <v>1812</v>
      </c>
      <c r="L20" s="122"/>
      <c r="M20" s="116"/>
      <c r="N20" s="116" t="s">
        <v>1788</v>
      </c>
    </row>
    <row r="21" spans="1:14" s="117" customFormat="1" ht="15">
      <c r="A21" s="121">
        <v>46301</v>
      </c>
      <c r="B21" s="115" t="s">
        <v>1947</v>
      </c>
      <c r="C21" s="118" t="s">
        <v>1916</v>
      </c>
      <c r="D21" s="119" t="s">
        <v>1950</v>
      </c>
      <c r="E21" s="115" t="s">
        <v>1829</v>
      </c>
      <c r="F21" s="116">
        <v>1</v>
      </c>
      <c r="G21" s="114"/>
      <c r="H21" s="114">
        <v>46301</v>
      </c>
      <c r="I21" s="116" t="s">
        <v>1908</v>
      </c>
      <c r="J21" s="116" t="s">
        <v>1792</v>
      </c>
      <c r="K21" s="116" t="s">
        <v>1812</v>
      </c>
      <c r="L21" s="122"/>
      <c r="M21" s="116"/>
      <c r="N21" s="116" t="s">
        <v>1788</v>
      </c>
    </row>
    <row r="22" spans="1:14" s="117" customFormat="1" ht="15">
      <c r="A22" s="121">
        <v>46301</v>
      </c>
      <c r="B22" s="115" t="s">
        <v>1947</v>
      </c>
      <c r="C22" s="118" t="s">
        <v>1916</v>
      </c>
      <c r="D22" s="119" t="s">
        <v>1950</v>
      </c>
      <c r="E22" s="115" t="s">
        <v>1830</v>
      </c>
      <c r="F22" s="116">
        <v>1</v>
      </c>
      <c r="G22" s="114"/>
      <c r="H22" s="114">
        <v>46301</v>
      </c>
      <c r="I22" s="116" t="s">
        <v>1908</v>
      </c>
      <c r="J22" s="116" t="s">
        <v>1792</v>
      </c>
      <c r="K22" s="116" t="s">
        <v>1812</v>
      </c>
      <c r="L22" s="122"/>
      <c r="M22" s="116"/>
      <c r="N22" s="116" t="s">
        <v>1788</v>
      </c>
    </row>
    <row r="23" spans="1:14" s="117" customFormat="1" ht="15">
      <c r="A23" s="121">
        <v>46301</v>
      </c>
      <c r="B23" s="115" t="s">
        <v>1947</v>
      </c>
      <c r="C23" s="118" t="s">
        <v>1916</v>
      </c>
      <c r="D23" s="119" t="s">
        <v>1950</v>
      </c>
      <c r="E23" s="115" t="s">
        <v>1831</v>
      </c>
      <c r="F23" s="116">
        <v>1</v>
      </c>
      <c r="G23" s="114"/>
      <c r="H23" s="114">
        <v>46301</v>
      </c>
      <c r="I23" s="116" t="s">
        <v>1908</v>
      </c>
      <c r="J23" s="116" t="s">
        <v>1827</v>
      </c>
      <c r="K23" s="116" t="s">
        <v>1812</v>
      </c>
      <c r="L23" s="122"/>
      <c r="M23" s="116"/>
      <c r="N23" s="116" t="s">
        <v>1788</v>
      </c>
    </row>
    <row r="24" spans="1:14" s="117" customFormat="1" ht="15">
      <c r="A24" s="121">
        <v>46301</v>
      </c>
      <c r="B24" s="115" t="s">
        <v>1939</v>
      </c>
      <c r="C24" s="118" t="s">
        <v>1941</v>
      </c>
      <c r="D24" s="119" t="s">
        <v>1942</v>
      </c>
      <c r="E24" s="115" t="s">
        <v>1791</v>
      </c>
      <c r="F24" s="116">
        <v>1</v>
      </c>
      <c r="G24" s="114"/>
      <c r="H24" s="114">
        <v>46301</v>
      </c>
      <c r="I24" s="116" t="s">
        <v>1908</v>
      </c>
      <c r="J24" s="116" t="s">
        <v>1792</v>
      </c>
      <c r="K24" s="116" t="s">
        <v>1812</v>
      </c>
      <c r="L24" s="122"/>
      <c r="M24" s="116"/>
      <c r="N24" s="116" t="s">
        <v>1788</v>
      </c>
    </row>
    <row r="25" spans="1:14" s="117" customFormat="1" ht="15">
      <c r="A25" s="121">
        <v>46301</v>
      </c>
      <c r="B25" s="115" t="s">
        <v>1939</v>
      </c>
      <c r="C25" s="118" t="s">
        <v>1941</v>
      </c>
      <c r="D25" s="119" t="s">
        <v>1942</v>
      </c>
      <c r="E25" s="115" t="s">
        <v>1826</v>
      </c>
      <c r="F25" s="116">
        <v>1</v>
      </c>
      <c r="G25" s="114"/>
      <c r="H25" s="114">
        <v>46301</v>
      </c>
      <c r="I25" s="116" t="s">
        <v>1908</v>
      </c>
      <c r="J25" s="116" t="s">
        <v>1827</v>
      </c>
      <c r="K25" s="116" t="s">
        <v>1812</v>
      </c>
      <c r="L25" s="122"/>
      <c r="M25" s="116"/>
      <c r="N25" s="116" t="s">
        <v>1788</v>
      </c>
    </row>
    <row r="26" spans="1:14" s="117" customFormat="1" ht="15">
      <c r="A26" s="121">
        <v>46301</v>
      </c>
      <c r="B26" s="115" t="s">
        <v>1939</v>
      </c>
      <c r="C26" s="118" t="s">
        <v>1941</v>
      </c>
      <c r="D26" s="119" t="s">
        <v>1942</v>
      </c>
      <c r="E26" s="115" t="s">
        <v>1828</v>
      </c>
      <c r="F26" s="116">
        <v>1</v>
      </c>
      <c r="G26" s="114"/>
      <c r="H26" s="114">
        <v>46301</v>
      </c>
      <c r="I26" s="116" t="s">
        <v>1908</v>
      </c>
      <c r="J26" s="116" t="s">
        <v>1792</v>
      </c>
      <c r="K26" s="116" t="s">
        <v>1812</v>
      </c>
      <c r="L26" s="122"/>
      <c r="M26" s="116"/>
      <c r="N26" s="116" t="s">
        <v>1788</v>
      </c>
    </row>
    <row r="27" spans="1:14" s="117" customFormat="1" ht="15">
      <c r="A27" s="121">
        <v>46301</v>
      </c>
      <c r="B27" s="115" t="s">
        <v>1939</v>
      </c>
      <c r="C27" s="118" t="s">
        <v>1941</v>
      </c>
      <c r="D27" s="119" t="s">
        <v>1942</v>
      </c>
      <c r="E27" s="115" t="s">
        <v>1829</v>
      </c>
      <c r="F27" s="116">
        <v>1</v>
      </c>
      <c r="G27" s="114"/>
      <c r="H27" s="114">
        <v>46301</v>
      </c>
      <c r="I27" s="116" t="s">
        <v>1908</v>
      </c>
      <c r="J27" s="116" t="s">
        <v>1792</v>
      </c>
      <c r="K27" s="116" t="s">
        <v>1812</v>
      </c>
      <c r="L27" s="122"/>
      <c r="M27" s="116"/>
      <c r="N27" s="116" t="s">
        <v>1788</v>
      </c>
    </row>
    <row r="28" spans="1:14" s="117" customFormat="1" ht="15">
      <c r="A28" s="121">
        <v>46301</v>
      </c>
      <c r="B28" s="115" t="s">
        <v>1939</v>
      </c>
      <c r="C28" s="118" t="s">
        <v>1941</v>
      </c>
      <c r="D28" s="119" t="s">
        <v>1942</v>
      </c>
      <c r="E28" s="115" t="s">
        <v>1830</v>
      </c>
      <c r="F28" s="116">
        <v>1</v>
      </c>
      <c r="G28" s="114"/>
      <c r="H28" s="114">
        <v>46301</v>
      </c>
      <c r="I28" s="116" t="s">
        <v>1908</v>
      </c>
      <c r="J28" s="116" t="s">
        <v>1792</v>
      </c>
      <c r="K28" s="116" t="s">
        <v>1812</v>
      </c>
      <c r="L28" s="122"/>
      <c r="M28" s="116"/>
      <c r="N28" s="116" t="s">
        <v>1788</v>
      </c>
    </row>
    <row r="29" spans="1:14" s="117" customFormat="1" ht="15">
      <c r="A29" s="121">
        <v>46301</v>
      </c>
      <c r="B29" s="115" t="s">
        <v>1939</v>
      </c>
      <c r="C29" s="118" t="s">
        <v>1941</v>
      </c>
      <c r="D29" s="119" t="s">
        <v>1942</v>
      </c>
      <c r="E29" s="115" t="s">
        <v>1831</v>
      </c>
      <c r="F29" s="116">
        <v>1</v>
      </c>
      <c r="G29" s="114"/>
      <c r="H29" s="114">
        <v>46301</v>
      </c>
      <c r="I29" s="116" t="s">
        <v>1908</v>
      </c>
      <c r="J29" s="116" t="s">
        <v>1827</v>
      </c>
      <c r="K29" s="116" t="s">
        <v>1812</v>
      </c>
      <c r="L29" s="122"/>
      <c r="M29" s="116"/>
      <c r="N29" s="116" t="s">
        <v>1788</v>
      </c>
    </row>
    <row r="30" spans="1:14" s="117" customFormat="1" ht="15">
      <c r="A30" s="121">
        <v>46301</v>
      </c>
      <c r="B30" s="115" t="s">
        <v>1940</v>
      </c>
      <c r="C30" s="118" t="s">
        <v>1941</v>
      </c>
      <c r="D30" s="119" t="s">
        <v>1943</v>
      </c>
      <c r="E30" s="115" t="s">
        <v>1791</v>
      </c>
      <c r="F30" s="116">
        <v>1</v>
      </c>
      <c r="G30" s="114"/>
      <c r="H30" s="114">
        <v>46301</v>
      </c>
      <c r="I30" s="116" t="s">
        <v>1908</v>
      </c>
      <c r="J30" s="116" t="s">
        <v>1792</v>
      </c>
      <c r="K30" s="116" t="s">
        <v>1812</v>
      </c>
      <c r="L30" s="122"/>
      <c r="M30" s="116"/>
      <c r="N30" s="116" t="s">
        <v>1788</v>
      </c>
    </row>
    <row r="31" spans="1:14" s="117" customFormat="1" ht="15">
      <c r="A31" s="121">
        <v>46301</v>
      </c>
      <c r="B31" s="115" t="s">
        <v>1940</v>
      </c>
      <c r="C31" s="118" t="s">
        <v>1941</v>
      </c>
      <c r="D31" s="119" t="s">
        <v>1943</v>
      </c>
      <c r="E31" s="115" t="s">
        <v>1826</v>
      </c>
      <c r="F31" s="116">
        <v>1</v>
      </c>
      <c r="G31" s="114"/>
      <c r="H31" s="114">
        <v>46301</v>
      </c>
      <c r="I31" s="116" t="s">
        <v>1908</v>
      </c>
      <c r="J31" s="116" t="s">
        <v>1827</v>
      </c>
      <c r="K31" s="116" t="s">
        <v>1812</v>
      </c>
      <c r="L31" s="122"/>
      <c r="M31" s="116"/>
      <c r="N31" s="116" t="s">
        <v>1788</v>
      </c>
    </row>
    <row r="32" spans="1:14" s="117" customFormat="1" ht="15">
      <c r="A32" s="121">
        <v>46301</v>
      </c>
      <c r="B32" s="115" t="s">
        <v>1940</v>
      </c>
      <c r="C32" s="118" t="s">
        <v>1941</v>
      </c>
      <c r="D32" s="119" t="s">
        <v>1943</v>
      </c>
      <c r="E32" s="115" t="s">
        <v>1828</v>
      </c>
      <c r="F32" s="116">
        <v>1</v>
      </c>
      <c r="G32" s="114"/>
      <c r="H32" s="114">
        <v>46301</v>
      </c>
      <c r="I32" s="116" t="s">
        <v>1908</v>
      </c>
      <c r="J32" s="116" t="s">
        <v>1792</v>
      </c>
      <c r="K32" s="116" t="s">
        <v>1812</v>
      </c>
      <c r="L32" s="122"/>
      <c r="M32" s="116"/>
      <c r="N32" s="116" t="s">
        <v>1788</v>
      </c>
    </row>
    <row r="33" spans="1:14" s="117" customFormat="1" ht="15">
      <c r="A33" s="121">
        <v>46301</v>
      </c>
      <c r="B33" s="115" t="s">
        <v>1940</v>
      </c>
      <c r="C33" s="118" t="s">
        <v>1941</v>
      </c>
      <c r="D33" s="119" t="s">
        <v>1943</v>
      </c>
      <c r="E33" s="115" t="s">
        <v>1829</v>
      </c>
      <c r="F33" s="116">
        <v>1</v>
      </c>
      <c r="G33" s="114"/>
      <c r="H33" s="114">
        <v>46301</v>
      </c>
      <c r="I33" s="116" t="s">
        <v>1908</v>
      </c>
      <c r="J33" s="116" t="s">
        <v>1792</v>
      </c>
      <c r="K33" s="116" t="s">
        <v>1812</v>
      </c>
      <c r="L33" s="122"/>
      <c r="M33" s="116"/>
      <c r="N33" s="116" t="s">
        <v>1788</v>
      </c>
    </row>
    <row r="34" spans="1:14" s="117" customFormat="1" ht="15">
      <c r="A34" s="121">
        <v>46301</v>
      </c>
      <c r="B34" s="115" t="s">
        <v>1940</v>
      </c>
      <c r="C34" s="118" t="s">
        <v>1941</v>
      </c>
      <c r="D34" s="119" t="s">
        <v>1943</v>
      </c>
      <c r="E34" s="115" t="s">
        <v>1830</v>
      </c>
      <c r="F34" s="116">
        <v>1</v>
      </c>
      <c r="G34" s="114"/>
      <c r="H34" s="114">
        <v>46301</v>
      </c>
      <c r="I34" s="116" t="s">
        <v>1908</v>
      </c>
      <c r="J34" s="116" t="s">
        <v>1792</v>
      </c>
      <c r="K34" s="116" t="s">
        <v>1812</v>
      </c>
      <c r="L34" s="122"/>
      <c r="M34" s="116"/>
      <c r="N34" s="116" t="s">
        <v>1788</v>
      </c>
    </row>
    <row r="35" spans="1:14" s="117" customFormat="1" ht="15">
      <c r="A35" s="121">
        <v>46301</v>
      </c>
      <c r="B35" s="115" t="s">
        <v>1940</v>
      </c>
      <c r="C35" s="118" t="s">
        <v>1941</v>
      </c>
      <c r="D35" s="119" t="s">
        <v>1943</v>
      </c>
      <c r="E35" s="115" t="s">
        <v>1831</v>
      </c>
      <c r="F35" s="116">
        <v>1</v>
      </c>
      <c r="G35" s="114"/>
      <c r="H35" s="114">
        <v>46301</v>
      </c>
      <c r="I35" s="116" t="s">
        <v>1908</v>
      </c>
      <c r="J35" s="116" t="s">
        <v>1827</v>
      </c>
      <c r="K35" s="116" t="s">
        <v>1812</v>
      </c>
      <c r="L35" s="122"/>
      <c r="M35" s="116"/>
      <c r="N35" s="116" t="s">
        <v>1788</v>
      </c>
    </row>
    <row r="36" spans="1:14" s="117" customFormat="1" ht="15">
      <c r="A36" s="121">
        <v>46301</v>
      </c>
      <c r="B36" s="115" t="s">
        <v>1932</v>
      </c>
      <c r="C36" s="118" t="s">
        <v>1934</v>
      </c>
      <c r="D36" s="119" t="s">
        <v>1935</v>
      </c>
      <c r="E36" s="115" t="s">
        <v>1791</v>
      </c>
      <c r="F36" s="116">
        <v>1</v>
      </c>
      <c r="G36" s="114"/>
      <c r="H36" s="114">
        <v>46301</v>
      </c>
      <c r="I36" s="116" t="s">
        <v>1908</v>
      </c>
      <c r="J36" s="116" t="s">
        <v>1792</v>
      </c>
      <c r="K36" s="116" t="s">
        <v>1812</v>
      </c>
      <c r="L36" s="122"/>
      <c r="M36" s="116"/>
      <c r="N36" s="116" t="s">
        <v>1788</v>
      </c>
    </row>
    <row r="37" spans="1:14" s="117" customFormat="1" ht="15">
      <c r="A37" s="121">
        <v>46301</v>
      </c>
      <c r="B37" s="115" t="s">
        <v>1932</v>
      </c>
      <c r="C37" s="118" t="s">
        <v>1934</v>
      </c>
      <c r="D37" s="119" t="s">
        <v>1935</v>
      </c>
      <c r="E37" s="115" t="s">
        <v>1826</v>
      </c>
      <c r="F37" s="116">
        <v>1</v>
      </c>
      <c r="G37" s="114"/>
      <c r="H37" s="114">
        <v>46301</v>
      </c>
      <c r="I37" s="116" t="s">
        <v>1908</v>
      </c>
      <c r="J37" s="116" t="s">
        <v>1827</v>
      </c>
      <c r="K37" s="116" t="s">
        <v>1812</v>
      </c>
      <c r="L37" s="122"/>
      <c r="M37" s="116"/>
      <c r="N37" s="116" t="s">
        <v>1788</v>
      </c>
    </row>
    <row r="38" spans="1:14" s="117" customFormat="1" ht="15">
      <c r="A38" s="121">
        <v>46301</v>
      </c>
      <c r="B38" s="115" t="s">
        <v>1932</v>
      </c>
      <c r="C38" s="118" t="s">
        <v>1934</v>
      </c>
      <c r="D38" s="119" t="s">
        <v>1935</v>
      </c>
      <c r="E38" s="115" t="s">
        <v>1828</v>
      </c>
      <c r="F38" s="116">
        <v>1</v>
      </c>
      <c r="G38" s="114"/>
      <c r="H38" s="114">
        <v>46301</v>
      </c>
      <c r="I38" s="116" t="s">
        <v>1908</v>
      </c>
      <c r="J38" s="116" t="s">
        <v>1792</v>
      </c>
      <c r="K38" s="116" t="s">
        <v>1812</v>
      </c>
      <c r="L38" s="122"/>
      <c r="M38" s="116"/>
      <c r="N38" s="116" t="s">
        <v>1788</v>
      </c>
    </row>
    <row r="39" spans="1:14" s="117" customFormat="1" ht="15">
      <c r="A39" s="121">
        <v>46301</v>
      </c>
      <c r="B39" s="115" t="s">
        <v>1932</v>
      </c>
      <c r="C39" s="118" t="s">
        <v>1934</v>
      </c>
      <c r="D39" s="119" t="s">
        <v>1935</v>
      </c>
      <c r="E39" s="115" t="s">
        <v>1829</v>
      </c>
      <c r="F39" s="116">
        <v>1</v>
      </c>
      <c r="G39" s="114"/>
      <c r="H39" s="114">
        <v>46301</v>
      </c>
      <c r="I39" s="116" t="s">
        <v>1908</v>
      </c>
      <c r="J39" s="116" t="s">
        <v>1792</v>
      </c>
      <c r="K39" s="116" t="s">
        <v>1812</v>
      </c>
      <c r="L39" s="122"/>
      <c r="M39" s="116"/>
      <c r="N39" s="116" t="s">
        <v>1788</v>
      </c>
    </row>
    <row r="40" spans="1:14" s="117" customFormat="1" ht="15">
      <c r="A40" s="121">
        <v>46301</v>
      </c>
      <c r="B40" s="115" t="s">
        <v>1932</v>
      </c>
      <c r="C40" s="118" t="s">
        <v>1934</v>
      </c>
      <c r="D40" s="119" t="s">
        <v>1935</v>
      </c>
      <c r="E40" s="115" t="s">
        <v>1830</v>
      </c>
      <c r="F40" s="116">
        <v>1</v>
      </c>
      <c r="G40" s="114"/>
      <c r="H40" s="114">
        <v>46301</v>
      </c>
      <c r="I40" s="116" t="s">
        <v>1908</v>
      </c>
      <c r="J40" s="116" t="s">
        <v>1792</v>
      </c>
      <c r="K40" s="116" t="s">
        <v>1812</v>
      </c>
      <c r="L40" s="122"/>
      <c r="M40" s="116"/>
      <c r="N40" s="116" t="s">
        <v>1788</v>
      </c>
    </row>
    <row r="41" spans="1:14" s="117" customFormat="1" ht="15">
      <c r="A41" s="121">
        <v>46301</v>
      </c>
      <c r="B41" s="115" t="s">
        <v>1932</v>
      </c>
      <c r="C41" s="118" t="s">
        <v>1934</v>
      </c>
      <c r="D41" s="119" t="s">
        <v>1935</v>
      </c>
      <c r="E41" s="115" t="s">
        <v>1831</v>
      </c>
      <c r="F41" s="116">
        <v>1</v>
      </c>
      <c r="G41" s="114"/>
      <c r="H41" s="114">
        <v>46301</v>
      </c>
      <c r="I41" s="116" t="s">
        <v>1908</v>
      </c>
      <c r="J41" s="116" t="s">
        <v>1827</v>
      </c>
      <c r="K41" s="116" t="s">
        <v>1812</v>
      </c>
      <c r="L41" s="122"/>
      <c r="M41" s="116"/>
      <c r="N41" s="116" t="s">
        <v>1788</v>
      </c>
    </row>
    <row r="42" spans="1:14" s="117" customFormat="1" ht="15">
      <c r="A42" s="121">
        <v>46301</v>
      </c>
      <c r="B42" s="115" t="s">
        <v>1933</v>
      </c>
      <c r="C42" s="118" t="s">
        <v>1934</v>
      </c>
      <c r="D42" s="119" t="s">
        <v>1936</v>
      </c>
      <c r="E42" s="115" t="s">
        <v>1791</v>
      </c>
      <c r="F42" s="116">
        <v>1</v>
      </c>
      <c r="G42" s="114"/>
      <c r="H42" s="114">
        <v>46301</v>
      </c>
      <c r="I42" s="116" t="s">
        <v>1908</v>
      </c>
      <c r="J42" s="116" t="s">
        <v>1792</v>
      </c>
      <c r="K42" s="116" t="s">
        <v>1812</v>
      </c>
      <c r="L42" s="122"/>
      <c r="M42" s="116"/>
      <c r="N42" s="116" t="s">
        <v>1788</v>
      </c>
    </row>
    <row r="43" spans="1:14" s="117" customFormat="1" ht="15">
      <c r="A43" s="121">
        <v>46301</v>
      </c>
      <c r="B43" s="115" t="s">
        <v>1933</v>
      </c>
      <c r="C43" s="118" t="s">
        <v>1934</v>
      </c>
      <c r="D43" s="119" t="s">
        <v>1936</v>
      </c>
      <c r="E43" s="115" t="s">
        <v>1826</v>
      </c>
      <c r="F43" s="116">
        <v>1</v>
      </c>
      <c r="G43" s="114"/>
      <c r="H43" s="114">
        <v>46301</v>
      </c>
      <c r="I43" s="116" t="s">
        <v>1908</v>
      </c>
      <c r="J43" s="116" t="s">
        <v>1827</v>
      </c>
      <c r="K43" s="116" t="s">
        <v>1812</v>
      </c>
      <c r="L43" s="122"/>
      <c r="M43" s="116"/>
      <c r="N43" s="116" t="s">
        <v>1788</v>
      </c>
    </row>
    <row r="44" spans="1:14" s="117" customFormat="1" ht="15">
      <c r="A44" s="121">
        <v>46301</v>
      </c>
      <c r="B44" s="115" t="s">
        <v>1933</v>
      </c>
      <c r="C44" s="118" t="s">
        <v>1934</v>
      </c>
      <c r="D44" s="119" t="s">
        <v>1936</v>
      </c>
      <c r="E44" s="115" t="s">
        <v>1828</v>
      </c>
      <c r="F44" s="116">
        <v>1</v>
      </c>
      <c r="G44" s="114"/>
      <c r="H44" s="114">
        <v>46301</v>
      </c>
      <c r="I44" s="116" t="s">
        <v>1908</v>
      </c>
      <c r="J44" s="116" t="s">
        <v>1792</v>
      </c>
      <c r="K44" s="116" t="s">
        <v>1812</v>
      </c>
      <c r="L44" s="122"/>
      <c r="M44" s="116"/>
      <c r="N44" s="116" t="s">
        <v>1788</v>
      </c>
    </row>
    <row r="45" spans="1:14" s="117" customFormat="1" ht="15">
      <c r="A45" s="121">
        <v>46301</v>
      </c>
      <c r="B45" s="115" t="s">
        <v>1933</v>
      </c>
      <c r="C45" s="118" t="s">
        <v>1934</v>
      </c>
      <c r="D45" s="119" t="s">
        <v>1936</v>
      </c>
      <c r="E45" s="115" t="s">
        <v>1919</v>
      </c>
      <c r="F45" s="116">
        <v>1</v>
      </c>
      <c r="G45" s="114"/>
      <c r="H45" s="114">
        <v>46301</v>
      </c>
      <c r="I45" s="116" t="s">
        <v>1908</v>
      </c>
      <c r="J45" s="116" t="s">
        <v>1792</v>
      </c>
      <c r="K45" s="116" t="s">
        <v>1812</v>
      </c>
      <c r="L45" s="122"/>
      <c r="M45" s="116"/>
      <c r="N45" s="116" t="s">
        <v>1788</v>
      </c>
    </row>
    <row r="46" spans="1:14" s="132" customFormat="1" ht="15">
      <c r="A46" s="126">
        <v>46296</v>
      </c>
      <c r="B46" s="127"/>
      <c r="C46" s="128"/>
      <c r="D46" s="127" t="s">
        <v>2263</v>
      </c>
      <c r="E46" s="127" t="s">
        <v>1958</v>
      </c>
      <c r="F46" s="129">
        <v>1</v>
      </c>
      <c r="G46" s="130"/>
      <c r="H46" s="130">
        <v>46296</v>
      </c>
      <c r="I46" s="129" t="s">
        <v>1959</v>
      </c>
      <c r="J46" s="129" t="s">
        <v>1960</v>
      </c>
      <c r="K46" s="129" t="s">
        <v>2264</v>
      </c>
      <c r="L46" s="131"/>
      <c r="M46" s="129"/>
      <c r="N46" s="129" t="s">
        <v>1788</v>
      </c>
    </row>
    <row r="47" spans="1:14" s="132" customFormat="1" ht="15">
      <c r="A47" s="126">
        <v>46296</v>
      </c>
      <c r="B47" s="127"/>
      <c r="C47" s="128"/>
      <c r="D47" s="127" t="s">
        <v>2265</v>
      </c>
      <c r="E47" s="127" t="s">
        <v>1961</v>
      </c>
      <c r="F47" s="129">
        <v>1</v>
      </c>
      <c r="G47" s="130"/>
      <c r="H47" s="130">
        <v>46296</v>
      </c>
      <c r="I47" s="129" t="s">
        <v>2266</v>
      </c>
      <c r="J47" s="129" t="s">
        <v>1960</v>
      </c>
      <c r="K47" s="129" t="s">
        <v>2264</v>
      </c>
      <c r="L47" s="131"/>
      <c r="M47" s="129"/>
      <c r="N47" s="129" t="s">
        <v>1788</v>
      </c>
    </row>
    <row r="48" spans="1:14" s="117" customFormat="1" ht="15">
      <c r="A48" s="121">
        <v>46294</v>
      </c>
      <c r="B48" s="115" t="s">
        <v>1931</v>
      </c>
      <c r="C48" s="118" t="s">
        <v>1937</v>
      </c>
      <c r="D48" s="119" t="s">
        <v>1936</v>
      </c>
      <c r="E48" s="115" t="s">
        <v>1898</v>
      </c>
      <c r="F48" s="116">
        <v>2</v>
      </c>
      <c r="G48" s="114"/>
      <c r="H48" s="114">
        <v>46294</v>
      </c>
      <c r="I48" s="116" t="s">
        <v>1878</v>
      </c>
      <c r="J48" s="116" t="s">
        <v>1897</v>
      </c>
      <c r="K48" s="116" t="s">
        <v>1812</v>
      </c>
      <c r="L48" s="122"/>
      <c r="M48" s="116"/>
      <c r="N48" s="116" t="s">
        <v>1788</v>
      </c>
    </row>
    <row r="49" spans="1:15" s="117" customFormat="1" ht="15">
      <c r="A49" s="121">
        <v>46289</v>
      </c>
      <c r="B49" s="115" t="s">
        <v>1902</v>
      </c>
      <c r="C49" s="118" t="s">
        <v>1923</v>
      </c>
      <c r="D49" s="119" t="s">
        <v>1910</v>
      </c>
      <c r="E49" s="115" t="s">
        <v>1929</v>
      </c>
      <c r="F49" s="116">
        <v>8</v>
      </c>
      <c r="G49" s="114"/>
      <c r="H49" s="114">
        <v>46289</v>
      </c>
      <c r="I49" s="116" t="s">
        <v>1864</v>
      </c>
      <c r="J49" s="116" t="s">
        <v>1930</v>
      </c>
      <c r="K49" s="116" t="s">
        <v>1812</v>
      </c>
      <c r="L49" s="122"/>
      <c r="M49" s="116"/>
      <c r="N49" s="116" t="s">
        <v>1788</v>
      </c>
    </row>
    <row r="50" spans="1:15" s="117" customFormat="1" ht="15">
      <c r="A50" s="121">
        <v>46289</v>
      </c>
      <c r="B50" s="115" t="s">
        <v>1775</v>
      </c>
      <c r="C50" s="116" t="s">
        <v>1784</v>
      </c>
      <c r="D50" s="115" t="s">
        <v>1785</v>
      </c>
      <c r="E50" s="115" t="s">
        <v>1823</v>
      </c>
      <c r="F50" s="116">
        <v>1</v>
      </c>
      <c r="G50" s="114"/>
      <c r="H50" s="114">
        <v>46289</v>
      </c>
      <c r="I50" s="116" t="s">
        <v>1864</v>
      </c>
      <c r="J50" s="116" t="s">
        <v>1790</v>
      </c>
      <c r="K50" s="116" t="s">
        <v>1812</v>
      </c>
      <c r="L50" s="122"/>
      <c r="M50" s="116"/>
      <c r="N50" s="116" t="s">
        <v>1788</v>
      </c>
    </row>
    <row r="51" spans="1:15" s="117" customFormat="1" ht="15">
      <c r="A51" s="121">
        <v>46289</v>
      </c>
      <c r="B51" s="115" t="s">
        <v>1902</v>
      </c>
      <c r="C51" s="118" t="s">
        <v>1923</v>
      </c>
      <c r="D51" s="119" t="s">
        <v>1910</v>
      </c>
      <c r="E51" s="115" t="s">
        <v>1922</v>
      </c>
      <c r="F51" s="116">
        <v>1</v>
      </c>
      <c r="G51" s="114"/>
      <c r="H51" s="114">
        <v>46289</v>
      </c>
      <c r="I51" s="116" t="s">
        <v>1864</v>
      </c>
      <c r="J51" s="116" t="s">
        <v>1790</v>
      </c>
      <c r="K51" s="116" t="s">
        <v>1812</v>
      </c>
      <c r="L51" s="122"/>
      <c r="M51" s="116"/>
      <c r="N51" s="116" t="s">
        <v>1788</v>
      </c>
    </row>
    <row r="52" spans="1:15" s="117" customFormat="1" ht="15">
      <c r="A52" s="121">
        <v>46288</v>
      </c>
      <c r="B52" s="115" t="s">
        <v>1926</v>
      </c>
      <c r="C52" s="118" t="s">
        <v>1927</v>
      </c>
      <c r="D52" s="119" t="s">
        <v>1938</v>
      </c>
      <c r="E52" s="115" t="s">
        <v>1791</v>
      </c>
      <c r="F52" s="116">
        <v>1</v>
      </c>
      <c r="G52" s="114"/>
      <c r="H52" s="114">
        <v>46288</v>
      </c>
      <c r="I52" s="116" t="s">
        <v>1908</v>
      </c>
      <c r="J52" s="116" t="s">
        <v>1792</v>
      </c>
      <c r="K52" s="116" t="s">
        <v>1812</v>
      </c>
      <c r="L52" s="122"/>
      <c r="M52" s="116"/>
      <c r="N52" s="116" t="s">
        <v>1788</v>
      </c>
    </row>
    <row r="53" spans="1:15" s="117" customFormat="1" ht="15">
      <c r="A53" s="121">
        <v>46288</v>
      </c>
      <c r="B53" s="115" t="s">
        <v>1926</v>
      </c>
      <c r="C53" s="118" t="s">
        <v>1927</v>
      </c>
      <c r="D53" s="119" t="s">
        <v>1938</v>
      </c>
      <c r="E53" s="115" t="s">
        <v>1826</v>
      </c>
      <c r="F53" s="116">
        <v>1</v>
      </c>
      <c r="G53" s="114"/>
      <c r="H53" s="114">
        <v>46288</v>
      </c>
      <c r="I53" s="116" t="s">
        <v>1908</v>
      </c>
      <c r="J53" s="116" t="s">
        <v>1827</v>
      </c>
      <c r="K53" s="116" t="s">
        <v>1812</v>
      </c>
      <c r="L53" s="122"/>
      <c r="M53" s="116"/>
      <c r="N53" s="116" t="s">
        <v>1788</v>
      </c>
    </row>
    <row r="54" spans="1:15" s="117" customFormat="1" ht="15">
      <c r="A54" s="121">
        <v>46288</v>
      </c>
      <c r="B54" s="115" t="s">
        <v>1926</v>
      </c>
      <c r="C54" s="118" t="s">
        <v>1927</v>
      </c>
      <c r="D54" s="119" t="s">
        <v>1938</v>
      </c>
      <c r="E54" s="115" t="s">
        <v>1828</v>
      </c>
      <c r="F54" s="116">
        <v>1</v>
      </c>
      <c r="G54" s="114"/>
      <c r="H54" s="114">
        <v>46288</v>
      </c>
      <c r="I54" s="116" t="s">
        <v>1908</v>
      </c>
      <c r="J54" s="116" t="s">
        <v>1792</v>
      </c>
      <c r="K54" s="116" t="s">
        <v>1812</v>
      </c>
      <c r="L54" s="122"/>
      <c r="M54" s="116"/>
      <c r="N54" s="116" t="s">
        <v>1788</v>
      </c>
    </row>
    <row r="55" spans="1:15" s="117" customFormat="1" ht="15">
      <c r="A55" s="121">
        <v>46288</v>
      </c>
      <c r="B55" s="115" t="s">
        <v>1926</v>
      </c>
      <c r="C55" s="118" t="s">
        <v>1927</v>
      </c>
      <c r="D55" s="119" t="s">
        <v>1938</v>
      </c>
      <c r="E55" s="115" t="s">
        <v>1829</v>
      </c>
      <c r="F55" s="116">
        <v>1</v>
      </c>
      <c r="G55" s="114"/>
      <c r="H55" s="114">
        <v>46288</v>
      </c>
      <c r="I55" s="116" t="s">
        <v>1908</v>
      </c>
      <c r="J55" s="116" t="s">
        <v>1792</v>
      </c>
      <c r="K55" s="116" t="s">
        <v>1812</v>
      </c>
      <c r="L55" s="122"/>
      <c r="M55" s="116"/>
      <c r="N55" s="116" t="s">
        <v>1788</v>
      </c>
    </row>
    <row r="56" spans="1:15" s="117" customFormat="1" ht="15">
      <c r="A56" s="121">
        <v>46288</v>
      </c>
      <c r="B56" s="115" t="s">
        <v>1926</v>
      </c>
      <c r="C56" s="118" t="s">
        <v>1927</v>
      </c>
      <c r="D56" s="119" t="s">
        <v>1938</v>
      </c>
      <c r="E56" s="115" t="s">
        <v>1830</v>
      </c>
      <c r="F56" s="116">
        <v>1</v>
      </c>
      <c r="G56" s="114"/>
      <c r="H56" s="114">
        <v>46288</v>
      </c>
      <c r="I56" s="116" t="s">
        <v>1908</v>
      </c>
      <c r="J56" s="116" t="s">
        <v>1792</v>
      </c>
      <c r="K56" s="116" t="s">
        <v>1812</v>
      </c>
      <c r="L56" s="122"/>
      <c r="M56" s="116"/>
      <c r="N56" s="116" t="s">
        <v>1788</v>
      </c>
    </row>
    <row r="57" spans="1:15" s="117" customFormat="1" ht="15">
      <c r="A57" s="121">
        <v>46288</v>
      </c>
      <c r="B57" s="115" t="s">
        <v>1926</v>
      </c>
      <c r="C57" s="118" t="s">
        <v>1927</v>
      </c>
      <c r="D57" s="119" t="s">
        <v>1938</v>
      </c>
      <c r="E57" s="115" t="s">
        <v>1831</v>
      </c>
      <c r="F57" s="116">
        <v>1</v>
      </c>
      <c r="G57" s="114"/>
      <c r="H57" s="114">
        <v>46288</v>
      </c>
      <c r="I57" s="116" t="s">
        <v>1908</v>
      </c>
      <c r="J57" s="116" t="s">
        <v>1827</v>
      </c>
      <c r="K57" s="116" t="s">
        <v>1812</v>
      </c>
      <c r="L57" s="122"/>
      <c r="M57" s="116"/>
      <c r="N57" s="116" t="s">
        <v>1788</v>
      </c>
    </row>
    <row r="58" spans="1:15" s="117" customFormat="1" ht="15">
      <c r="A58" s="121">
        <v>46288</v>
      </c>
      <c r="B58" s="115" t="s">
        <v>1926</v>
      </c>
      <c r="C58" s="118" t="s">
        <v>1927</v>
      </c>
      <c r="D58" s="119" t="s">
        <v>1928</v>
      </c>
      <c r="E58" s="115" t="s">
        <v>1791</v>
      </c>
      <c r="F58" s="116">
        <v>1</v>
      </c>
      <c r="G58" s="114"/>
      <c r="H58" s="114">
        <v>46288</v>
      </c>
      <c r="I58" s="116" t="s">
        <v>1908</v>
      </c>
      <c r="J58" s="116" t="s">
        <v>1792</v>
      </c>
      <c r="K58" s="116" t="s">
        <v>1812</v>
      </c>
      <c r="L58" s="122"/>
      <c r="M58" s="116"/>
      <c r="N58" s="116" t="s">
        <v>1788</v>
      </c>
    </row>
    <row r="59" spans="1:15" s="117" customFormat="1" ht="15">
      <c r="A59" s="121">
        <v>46288</v>
      </c>
      <c r="B59" s="115" t="s">
        <v>1926</v>
      </c>
      <c r="C59" s="118" t="s">
        <v>1927</v>
      </c>
      <c r="D59" s="119" t="s">
        <v>1928</v>
      </c>
      <c r="E59" s="115" t="s">
        <v>1826</v>
      </c>
      <c r="F59" s="116">
        <v>1</v>
      </c>
      <c r="G59" s="114"/>
      <c r="H59" s="114">
        <v>46288</v>
      </c>
      <c r="I59" s="116" t="s">
        <v>1908</v>
      </c>
      <c r="J59" s="116" t="s">
        <v>1827</v>
      </c>
      <c r="K59" s="116" t="s">
        <v>1812</v>
      </c>
      <c r="L59" s="122"/>
      <c r="M59" s="116"/>
      <c r="N59" s="116" t="s">
        <v>1788</v>
      </c>
    </row>
    <row r="60" spans="1:15" s="117" customFormat="1" ht="15">
      <c r="A60" s="121">
        <v>46288</v>
      </c>
      <c r="B60" s="115" t="s">
        <v>1926</v>
      </c>
      <c r="C60" s="118" t="s">
        <v>1927</v>
      </c>
      <c r="D60" s="119" t="s">
        <v>1928</v>
      </c>
      <c r="E60" s="115" t="s">
        <v>1828</v>
      </c>
      <c r="F60" s="116">
        <v>1</v>
      </c>
      <c r="G60" s="114"/>
      <c r="H60" s="114">
        <v>46288</v>
      </c>
      <c r="I60" s="116" t="s">
        <v>1908</v>
      </c>
      <c r="J60" s="116" t="s">
        <v>1792</v>
      </c>
      <c r="K60" s="116" t="s">
        <v>1812</v>
      </c>
      <c r="L60" s="122"/>
      <c r="M60" s="116"/>
      <c r="N60" s="116" t="s">
        <v>1788</v>
      </c>
    </row>
    <row r="61" spans="1:15" s="117" customFormat="1" ht="15">
      <c r="A61" s="121">
        <v>46288</v>
      </c>
      <c r="B61" s="115" t="s">
        <v>1926</v>
      </c>
      <c r="C61" s="118" t="s">
        <v>1927</v>
      </c>
      <c r="D61" s="119" t="s">
        <v>1928</v>
      </c>
      <c r="E61" s="115" t="s">
        <v>1829</v>
      </c>
      <c r="F61" s="116">
        <v>1</v>
      </c>
      <c r="G61" s="114"/>
      <c r="H61" s="114">
        <v>46288</v>
      </c>
      <c r="I61" s="116" t="s">
        <v>1908</v>
      </c>
      <c r="J61" s="116" t="s">
        <v>1792</v>
      </c>
      <c r="K61" s="116" t="s">
        <v>1812</v>
      </c>
      <c r="L61" s="122"/>
      <c r="M61" s="116"/>
      <c r="N61" s="116" t="s">
        <v>1788</v>
      </c>
    </row>
    <row r="62" spans="1:15" s="117" customFormat="1" ht="15">
      <c r="A62" s="121">
        <v>46288</v>
      </c>
      <c r="B62" s="115" t="s">
        <v>1926</v>
      </c>
      <c r="C62" s="118" t="s">
        <v>1927</v>
      </c>
      <c r="D62" s="119" t="s">
        <v>1928</v>
      </c>
      <c r="E62" s="115" t="s">
        <v>1830</v>
      </c>
      <c r="F62" s="116">
        <v>1</v>
      </c>
      <c r="G62" s="114"/>
      <c r="H62" s="114">
        <v>46288</v>
      </c>
      <c r="I62" s="116" t="s">
        <v>1908</v>
      </c>
      <c r="J62" s="116" t="s">
        <v>1792</v>
      </c>
      <c r="K62" s="116" t="s">
        <v>1812</v>
      </c>
      <c r="L62" s="122"/>
      <c r="M62" s="116"/>
      <c r="N62" s="116" t="s">
        <v>1788</v>
      </c>
    </row>
    <row r="63" spans="1:15" s="117" customFormat="1" ht="15">
      <c r="A63" s="121">
        <v>46288</v>
      </c>
      <c r="B63" s="115" t="s">
        <v>1926</v>
      </c>
      <c r="C63" s="118" t="s">
        <v>1927</v>
      </c>
      <c r="D63" s="119" t="s">
        <v>1928</v>
      </c>
      <c r="E63" s="115" t="s">
        <v>1831</v>
      </c>
      <c r="F63" s="116">
        <v>1</v>
      </c>
      <c r="G63" s="114"/>
      <c r="H63" s="114">
        <v>46288</v>
      </c>
      <c r="I63" s="116" t="s">
        <v>1908</v>
      </c>
      <c r="J63" s="116" t="s">
        <v>1827</v>
      </c>
      <c r="K63" s="116" t="s">
        <v>1812</v>
      </c>
      <c r="L63" s="122"/>
      <c r="M63" s="116"/>
      <c r="N63" s="116" t="s">
        <v>1788</v>
      </c>
    </row>
    <row r="64" spans="1:15" s="117" customFormat="1" ht="15" hidden="1">
      <c r="A64" s="121">
        <v>46283</v>
      </c>
      <c r="B64" s="115" t="s">
        <v>1918</v>
      </c>
      <c r="C64" s="118" t="s">
        <v>1920</v>
      </c>
      <c r="D64" s="119" t="s">
        <v>1921</v>
      </c>
      <c r="E64" s="115" t="s">
        <v>1791</v>
      </c>
      <c r="F64" s="116">
        <v>5</v>
      </c>
      <c r="G64" s="114"/>
      <c r="H64" s="114">
        <v>46283</v>
      </c>
      <c r="I64" s="116" t="s">
        <v>1908</v>
      </c>
      <c r="J64" s="116" t="s">
        <v>1792</v>
      </c>
      <c r="K64" s="116" t="s">
        <v>1812</v>
      </c>
      <c r="L64" s="122"/>
      <c r="M64" s="116"/>
      <c r="N64" s="116" t="s">
        <v>1788</v>
      </c>
      <c r="O64" s="116" t="s">
        <v>1788</v>
      </c>
    </row>
    <row r="65" spans="1:15" s="117" customFormat="1" ht="15" hidden="1">
      <c r="A65" s="121">
        <v>46283</v>
      </c>
      <c r="B65" s="115" t="s">
        <v>1918</v>
      </c>
      <c r="C65" s="118" t="s">
        <v>1920</v>
      </c>
      <c r="D65" s="119" t="s">
        <v>1921</v>
      </c>
      <c r="E65" s="115" t="s">
        <v>1826</v>
      </c>
      <c r="F65" s="116">
        <v>5</v>
      </c>
      <c r="G65" s="114"/>
      <c r="H65" s="114">
        <v>46283</v>
      </c>
      <c r="I65" s="116" t="s">
        <v>1908</v>
      </c>
      <c r="J65" s="116" t="s">
        <v>1827</v>
      </c>
      <c r="K65" s="116" t="s">
        <v>1812</v>
      </c>
      <c r="L65" s="122"/>
      <c r="M65" s="116"/>
      <c r="N65" s="116" t="s">
        <v>1788</v>
      </c>
      <c r="O65" s="116" t="s">
        <v>1788</v>
      </c>
    </row>
    <row r="66" spans="1:15" s="117" customFormat="1" ht="15" hidden="1">
      <c r="A66" s="121">
        <v>46283</v>
      </c>
      <c r="B66" s="115" t="s">
        <v>1918</v>
      </c>
      <c r="C66" s="118" t="s">
        <v>1920</v>
      </c>
      <c r="D66" s="119" t="s">
        <v>1921</v>
      </c>
      <c r="E66" s="115" t="s">
        <v>1828</v>
      </c>
      <c r="F66" s="116">
        <v>5</v>
      </c>
      <c r="G66" s="114"/>
      <c r="H66" s="114">
        <v>46283</v>
      </c>
      <c r="I66" s="116" t="s">
        <v>1908</v>
      </c>
      <c r="J66" s="116" t="s">
        <v>1792</v>
      </c>
      <c r="K66" s="116" t="s">
        <v>1812</v>
      </c>
      <c r="L66" s="122"/>
      <c r="M66" s="116"/>
      <c r="N66" s="116" t="s">
        <v>1788</v>
      </c>
      <c r="O66" s="116" t="s">
        <v>1788</v>
      </c>
    </row>
    <row r="67" spans="1:15" s="117" customFormat="1" ht="15" hidden="1">
      <c r="A67" s="121">
        <v>46283</v>
      </c>
      <c r="B67" s="115" t="s">
        <v>1918</v>
      </c>
      <c r="C67" s="118" t="s">
        <v>1920</v>
      </c>
      <c r="D67" s="119" t="s">
        <v>1921</v>
      </c>
      <c r="E67" s="115" t="s">
        <v>1919</v>
      </c>
      <c r="F67" s="116">
        <v>5</v>
      </c>
      <c r="G67" s="114"/>
      <c r="H67" s="114">
        <v>46283</v>
      </c>
      <c r="I67" s="116" t="s">
        <v>1908</v>
      </c>
      <c r="J67" s="116" t="s">
        <v>1792</v>
      </c>
      <c r="K67" s="116" t="s">
        <v>1812</v>
      </c>
      <c r="L67" s="122"/>
      <c r="M67" s="116"/>
      <c r="N67" s="116" t="s">
        <v>1788</v>
      </c>
      <c r="O67" s="116" t="s">
        <v>1788</v>
      </c>
    </row>
    <row r="68" spans="1:15" s="117" customFormat="1" ht="15">
      <c r="A68" s="121">
        <v>46282</v>
      </c>
      <c r="B68" s="115" t="s">
        <v>1906</v>
      </c>
      <c r="C68" s="118" t="s">
        <v>1873</v>
      </c>
      <c r="D68" s="119" t="s">
        <v>1907</v>
      </c>
      <c r="E68" s="115" t="s">
        <v>1791</v>
      </c>
      <c r="F68" s="116">
        <v>1</v>
      </c>
      <c r="G68" s="114"/>
      <c r="H68" s="114">
        <v>46282</v>
      </c>
      <c r="I68" s="116" t="s">
        <v>1908</v>
      </c>
      <c r="J68" s="116" t="s">
        <v>1792</v>
      </c>
      <c r="K68" s="116" t="s">
        <v>1812</v>
      </c>
      <c r="L68" s="122"/>
      <c r="M68" s="116"/>
      <c r="N68" s="116" t="s">
        <v>1788</v>
      </c>
    </row>
    <row r="69" spans="1:15" s="117" customFormat="1" ht="15">
      <c r="A69" s="121">
        <v>46282</v>
      </c>
      <c r="B69" s="115" t="s">
        <v>1906</v>
      </c>
      <c r="C69" s="118" t="s">
        <v>1873</v>
      </c>
      <c r="D69" s="119" t="s">
        <v>1907</v>
      </c>
      <c r="E69" s="115" t="s">
        <v>1826</v>
      </c>
      <c r="F69" s="116">
        <v>1</v>
      </c>
      <c r="G69" s="114"/>
      <c r="H69" s="114">
        <v>46282</v>
      </c>
      <c r="I69" s="116" t="s">
        <v>1908</v>
      </c>
      <c r="J69" s="116" t="s">
        <v>1827</v>
      </c>
      <c r="K69" s="116" t="s">
        <v>1812</v>
      </c>
      <c r="L69" s="122"/>
      <c r="M69" s="116"/>
      <c r="N69" s="116" t="s">
        <v>1788</v>
      </c>
    </row>
    <row r="70" spans="1:15" s="117" customFormat="1" ht="15">
      <c r="A70" s="121">
        <v>46282</v>
      </c>
      <c r="B70" s="115" t="s">
        <v>1906</v>
      </c>
      <c r="C70" s="118" t="s">
        <v>1873</v>
      </c>
      <c r="D70" s="119" t="s">
        <v>1907</v>
      </c>
      <c r="E70" s="115" t="s">
        <v>1828</v>
      </c>
      <c r="F70" s="116">
        <v>1</v>
      </c>
      <c r="G70" s="114"/>
      <c r="H70" s="114">
        <v>46282</v>
      </c>
      <c r="I70" s="116" t="s">
        <v>1908</v>
      </c>
      <c r="J70" s="116" t="s">
        <v>1792</v>
      </c>
      <c r="K70" s="116" t="s">
        <v>1812</v>
      </c>
      <c r="L70" s="122"/>
      <c r="M70" s="116"/>
      <c r="N70" s="116" t="s">
        <v>1788</v>
      </c>
    </row>
    <row r="71" spans="1:15" s="117" customFormat="1" ht="15">
      <c r="A71" s="121">
        <v>46282</v>
      </c>
      <c r="B71" s="115" t="s">
        <v>1906</v>
      </c>
      <c r="C71" s="118" t="s">
        <v>1873</v>
      </c>
      <c r="D71" s="119" t="s">
        <v>1907</v>
      </c>
      <c r="E71" s="115" t="s">
        <v>1829</v>
      </c>
      <c r="F71" s="116">
        <v>1</v>
      </c>
      <c r="G71" s="114"/>
      <c r="H71" s="114">
        <v>46282</v>
      </c>
      <c r="I71" s="116" t="s">
        <v>1908</v>
      </c>
      <c r="J71" s="116" t="s">
        <v>1827</v>
      </c>
      <c r="K71" s="116" t="s">
        <v>1812</v>
      </c>
      <c r="L71" s="122"/>
      <c r="M71" s="116"/>
      <c r="N71" s="116" t="s">
        <v>1788</v>
      </c>
    </row>
    <row r="72" spans="1:15" s="117" customFormat="1" ht="15">
      <c r="A72" s="121">
        <v>46282</v>
      </c>
      <c r="B72" s="115" t="s">
        <v>1906</v>
      </c>
      <c r="C72" s="118" t="s">
        <v>1873</v>
      </c>
      <c r="D72" s="119" t="s">
        <v>1907</v>
      </c>
      <c r="E72" s="115" t="s">
        <v>1830</v>
      </c>
      <c r="F72" s="116">
        <v>1</v>
      </c>
      <c r="G72" s="114"/>
      <c r="H72" s="114">
        <v>46282</v>
      </c>
      <c r="I72" s="116" t="s">
        <v>1908</v>
      </c>
      <c r="J72" s="116" t="s">
        <v>1827</v>
      </c>
      <c r="K72" s="116" t="s">
        <v>1812</v>
      </c>
      <c r="L72" s="122"/>
      <c r="M72" s="116"/>
      <c r="N72" s="116" t="s">
        <v>1788</v>
      </c>
    </row>
    <row r="73" spans="1:15" s="117" customFormat="1" ht="15">
      <c r="A73" s="121">
        <v>46282</v>
      </c>
      <c r="B73" s="115" t="s">
        <v>1906</v>
      </c>
      <c r="C73" s="118" t="s">
        <v>1873</v>
      </c>
      <c r="D73" s="119" t="s">
        <v>1907</v>
      </c>
      <c r="E73" s="115" t="s">
        <v>1831</v>
      </c>
      <c r="F73" s="116">
        <v>1</v>
      </c>
      <c r="G73" s="114"/>
      <c r="H73" s="114">
        <v>46282</v>
      </c>
      <c r="I73" s="116" t="s">
        <v>1908</v>
      </c>
      <c r="J73" s="116" t="s">
        <v>1827</v>
      </c>
      <c r="K73" s="116" t="s">
        <v>1812</v>
      </c>
      <c r="L73" s="122"/>
      <c r="M73" s="116"/>
      <c r="N73" s="116" t="s">
        <v>1788</v>
      </c>
    </row>
    <row r="74" spans="1:15" s="117" customFormat="1" ht="15" hidden="1">
      <c r="A74" s="121">
        <v>46282</v>
      </c>
      <c r="B74" s="115"/>
      <c r="C74" s="118"/>
      <c r="D74" s="119"/>
      <c r="E74" s="115" t="s">
        <v>1905</v>
      </c>
      <c r="F74" s="116">
        <v>4</v>
      </c>
      <c r="G74" s="114"/>
      <c r="H74" s="114">
        <v>46282</v>
      </c>
      <c r="I74" s="116" t="s">
        <v>1908</v>
      </c>
      <c r="J74" s="116" t="s">
        <v>1904</v>
      </c>
      <c r="K74" s="116" t="s">
        <v>1819</v>
      </c>
      <c r="L74" s="122"/>
      <c r="M74" s="116"/>
      <c r="N74" s="116" t="s">
        <v>1788</v>
      </c>
      <c r="O74" s="116" t="s">
        <v>1788</v>
      </c>
    </row>
    <row r="75" spans="1:15" s="117" customFormat="1" ht="15" hidden="1">
      <c r="A75" s="121">
        <v>46282</v>
      </c>
      <c r="B75" s="115"/>
      <c r="C75" s="118"/>
      <c r="D75" s="119"/>
      <c r="E75" s="115" t="s">
        <v>1903</v>
      </c>
      <c r="F75" s="116">
        <v>1</v>
      </c>
      <c r="G75" s="114"/>
      <c r="H75" s="114">
        <v>46282</v>
      </c>
      <c r="I75" s="116" t="s">
        <v>1908</v>
      </c>
      <c r="J75" s="116" t="s">
        <v>1904</v>
      </c>
      <c r="K75" s="116" t="s">
        <v>1819</v>
      </c>
      <c r="L75" s="122"/>
      <c r="M75" s="116"/>
      <c r="N75" s="116" t="s">
        <v>1788</v>
      </c>
      <c r="O75" s="116" t="s">
        <v>1788</v>
      </c>
    </row>
    <row r="76" spans="1:15" s="117" customFormat="1" ht="15" hidden="1">
      <c r="A76" s="121">
        <v>46280</v>
      </c>
      <c r="B76" s="115" t="s">
        <v>1902</v>
      </c>
      <c r="C76" s="118" t="s">
        <v>1909</v>
      </c>
      <c r="D76" s="119" t="s">
        <v>1910</v>
      </c>
      <c r="E76" s="115" t="s">
        <v>1911</v>
      </c>
      <c r="F76" s="116">
        <v>1</v>
      </c>
      <c r="G76" s="114"/>
      <c r="H76" s="114">
        <v>46280</v>
      </c>
      <c r="I76" s="116" t="s">
        <v>1878</v>
      </c>
      <c r="J76" s="116"/>
      <c r="K76" s="116" t="s">
        <v>1812</v>
      </c>
      <c r="L76" s="122"/>
      <c r="M76" s="116"/>
      <c r="N76" s="116" t="s">
        <v>1788</v>
      </c>
      <c r="O76" s="116" t="s">
        <v>1788</v>
      </c>
    </row>
    <row r="77" spans="1:15" s="117" customFormat="1" ht="15" hidden="1">
      <c r="A77" s="121">
        <v>46280</v>
      </c>
      <c r="B77" s="115" t="s">
        <v>1899</v>
      </c>
      <c r="C77" s="118" t="s">
        <v>1912</v>
      </c>
      <c r="D77" s="119" t="s">
        <v>1913</v>
      </c>
      <c r="E77" s="115" t="s">
        <v>1900</v>
      </c>
      <c r="F77" s="116">
        <v>1</v>
      </c>
      <c r="G77" s="114"/>
      <c r="H77" s="114">
        <v>46279</v>
      </c>
      <c r="I77" s="116" t="s">
        <v>1878</v>
      </c>
      <c r="J77" s="116" t="s">
        <v>1901</v>
      </c>
      <c r="K77" s="116" t="s">
        <v>1812</v>
      </c>
      <c r="L77" s="122"/>
      <c r="M77" s="116"/>
      <c r="N77" s="116" t="s">
        <v>1788</v>
      </c>
      <c r="O77" s="116" t="s">
        <v>1788</v>
      </c>
    </row>
    <row r="78" spans="1:15" s="117" customFormat="1" ht="15" hidden="1">
      <c r="A78" s="121">
        <v>46279</v>
      </c>
      <c r="B78" s="115"/>
      <c r="C78" s="118"/>
      <c r="D78" s="119"/>
      <c r="E78" s="115" t="s">
        <v>1898</v>
      </c>
      <c r="F78" s="116">
        <v>2</v>
      </c>
      <c r="G78" s="114"/>
      <c r="H78" s="114">
        <v>46279</v>
      </c>
      <c r="I78" s="116" t="s">
        <v>1864</v>
      </c>
      <c r="J78" s="116" t="s">
        <v>1897</v>
      </c>
      <c r="K78" s="116" t="s">
        <v>1812</v>
      </c>
      <c r="L78" s="122"/>
      <c r="M78" s="116"/>
      <c r="N78" s="116" t="s">
        <v>1788</v>
      </c>
      <c r="O78" s="116" t="s">
        <v>1788</v>
      </c>
    </row>
    <row r="79" spans="1:15" s="117" customFormat="1" ht="15" hidden="1">
      <c r="A79" s="121">
        <v>46279</v>
      </c>
      <c r="B79" s="115"/>
      <c r="C79" s="118"/>
      <c r="D79" s="119"/>
      <c r="E79" s="115" t="s">
        <v>1896</v>
      </c>
      <c r="F79" s="116">
        <v>3</v>
      </c>
      <c r="G79" s="114"/>
      <c r="H79" s="114">
        <v>46279</v>
      </c>
      <c r="I79" s="116" t="s">
        <v>1864</v>
      </c>
      <c r="J79" s="116" t="s">
        <v>1897</v>
      </c>
      <c r="K79" s="116" t="s">
        <v>1812</v>
      </c>
      <c r="L79" s="122"/>
      <c r="M79" s="116"/>
      <c r="N79" s="116" t="s">
        <v>1788</v>
      </c>
      <c r="O79" s="116" t="s">
        <v>1788</v>
      </c>
    </row>
    <row r="80" spans="1:15" s="117" customFormat="1" ht="15" hidden="1">
      <c r="A80" s="121">
        <v>46279</v>
      </c>
      <c r="B80" s="115" t="s">
        <v>1768</v>
      </c>
      <c r="C80" s="116" t="s">
        <v>1782</v>
      </c>
      <c r="D80" s="115" t="s">
        <v>1783</v>
      </c>
      <c r="E80" s="115" t="s">
        <v>1914</v>
      </c>
      <c r="F80" s="116">
        <v>7</v>
      </c>
      <c r="G80" s="114"/>
      <c r="H80" s="114">
        <v>46279</v>
      </c>
      <c r="I80" s="116" t="s">
        <v>1864</v>
      </c>
      <c r="J80" s="116"/>
      <c r="K80" s="116" t="s">
        <v>1812</v>
      </c>
      <c r="L80" s="122"/>
      <c r="M80" s="116"/>
      <c r="N80" s="116" t="s">
        <v>1788</v>
      </c>
      <c r="O80" s="116" t="s">
        <v>1788</v>
      </c>
    </row>
    <row r="81" spans="1:15" s="117" customFormat="1" ht="15" hidden="1">
      <c r="A81" s="121">
        <v>46274</v>
      </c>
      <c r="B81" s="115"/>
      <c r="C81" s="118"/>
      <c r="D81" s="119" t="s">
        <v>1915</v>
      </c>
      <c r="E81" s="115" t="s">
        <v>1859</v>
      </c>
      <c r="F81" s="116">
        <v>1</v>
      </c>
      <c r="G81" s="114"/>
      <c r="H81" s="114">
        <v>46274</v>
      </c>
      <c r="I81" s="116" t="s">
        <v>1924</v>
      </c>
      <c r="J81" s="116" t="s">
        <v>1786</v>
      </c>
      <c r="K81" s="116" t="s">
        <v>1819</v>
      </c>
      <c r="L81" s="122"/>
      <c r="M81" s="116"/>
      <c r="N81" s="116" t="s">
        <v>1788</v>
      </c>
      <c r="O81" s="116" t="s">
        <v>1788</v>
      </c>
    </row>
    <row r="82" spans="1:15" s="117" customFormat="1" ht="15" hidden="1">
      <c r="A82" s="121">
        <v>46273</v>
      </c>
      <c r="B82" s="115" t="s">
        <v>1895</v>
      </c>
      <c r="C82" s="118" t="s">
        <v>1916</v>
      </c>
      <c r="D82" s="119" t="s">
        <v>1917</v>
      </c>
      <c r="E82" s="115" t="s">
        <v>1791</v>
      </c>
      <c r="F82" s="116">
        <v>1</v>
      </c>
      <c r="G82" s="114"/>
      <c r="H82" s="114">
        <v>46273</v>
      </c>
      <c r="I82" s="116" t="s">
        <v>1925</v>
      </c>
      <c r="J82" s="116" t="s">
        <v>1792</v>
      </c>
      <c r="K82" s="116" t="s">
        <v>1812</v>
      </c>
      <c r="L82" s="122"/>
      <c r="M82" s="116"/>
      <c r="N82" s="116" t="s">
        <v>1788</v>
      </c>
      <c r="O82" s="116" t="s">
        <v>1788</v>
      </c>
    </row>
    <row r="83" spans="1:15" s="117" customFormat="1" ht="15" hidden="1">
      <c r="A83" s="121">
        <v>46273</v>
      </c>
      <c r="B83" s="115" t="s">
        <v>1895</v>
      </c>
      <c r="C83" s="118" t="s">
        <v>1916</v>
      </c>
      <c r="D83" s="119" t="s">
        <v>1917</v>
      </c>
      <c r="E83" s="115" t="s">
        <v>1826</v>
      </c>
      <c r="F83" s="116">
        <v>1</v>
      </c>
      <c r="G83" s="114"/>
      <c r="H83" s="114">
        <v>46273</v>
      </c>
      <c r="I83" s="116" t="s">
        <v>1925</v>
      </c>
      <c r="J83" s="116" t="s">
        <v>1827</v>
      </c>
      <c r="K83" s="116" t="s">
        <v>1812</v>
      </c>
      <c r="L83" s="122"/>
      <c r="M83" s="116"/>
      <c r="N83" s="116" t="s">
        <v>1788</v>
      </c>
      <c r="O83" s="116" t="s">
        <v>1788</v>
      </c>
    </row>
    <row r="84" spans="1:15" s="117" customFormat="1" ht="15" hidden="1">
      <c r="A84" s="121">
        <v>46273</v>
      </c>
      <c r="B84" s="115" t="s">
        <v>1895</v>
      </c>
      <c r="C84" s="118" t="s">
        <v>1916</v>
      </c>
      <c r="D84" s="119" t="s">
        <v>1917</v>
      </c>
      <c r="E84" s="115" t="s">
        <v>1828</v>
      </c>
      <c r="F84" s="116">
        <v>1</v>
      </c>
      <c r="G84" s="114"/>
      <c r="H84" s="114">
        <v>46273</v>
      </c>
      <c r="I84" s="116" t="s">
        <v>1925</v>
      </c>
      <c r="J84" s="116" t="s">
        <v>1792</v>
      </c>
      <c r="K84" s="116" t="s">
        <v>1812</v>
      </c>
      <c r="L84" s="122"/>
      <c r="M84" s="116"/>
      <c r="N84" s="116" t="s">
        <v>1788</v>
      </c>
      <c r="O84" s="116" t="s">
        <v>1788</v>
      </c>
    </row>
    <row r="85" spans="1:15" s="117" customFormat="1" ht="15" hidden="1">
      <c r="A85" s="121">
        <v>46273</v>
      </c>
      <c r="B85" s="115" t="s">
        <v>1895</v>
      </c>
      <c r="C85" s="118" t="s">
        <v>1916</v>
      </c>
      <c r="D85" s="119" t="s">
        <v>1917</v>
      </c>
      <c r="E85" s="115" t="s">
        <v>1829</v>
      </c>
      <c r="F85" s="116">
        <v>1</v>
      </c>
      <c r="G85" s="114"/>
      <c r="H85" s="114">
        <v>46273</v>
      </c>
      <c r="I85" s="116" t="s">
        <v>1925</v>
      </c>
      <c r="J85" s="116" t="s">
        <v>1827</v>
      </c>
      <c r="K85" s="116" t="s">
        <v>1812</v>
      </c>
      <c r="L85" s="122"/>
      <c r="M85" s="116"/>
      <c r="N85" s="116" t="s">
        <v>1788</v>
      </c>
      <c r="O85" s="116" t="s">
        <v>1788</v>
      </c>
    </row>
    <row r="86" spans="1:15" s="117" customFormat="1" ht="15" hidden="1">
      <c r="A86" s="121">
        <v>46273</v>
      </c>
      <c r="B86" s="115" t="s">
        <v>1895</v>
      </c>
      <c r="C86" s="118" t="s">
        <v>1916</v>
      </c>
      <c r="D86" s="119" t="s">
        <v>1917</v>
      </c>
      <c r="E86" s="115" t="s">
        <v>1830</v>
      </c>
      <c r="F86" s="116">
        <v>1</v>
      </c>
      <c r="G86" s="114"/>
      <c r="H86" s="114">
        <v>46273</v>
      </c>
      <c r="I86" s="116" t="s">
        <v>1925</v>
      </c>
      <c r="J86" s="116" t="s">
        <v>1827</v>
      </c>
      <c r="K86" s="116" t="s">
        <v>1812</v>
      </c>
      <c r="L86" s="122"/>
      <c r="M86" s="116"/>
      <c r="N86" s="116" t="s">
        <v>1788</v>
      </c>
      <c r="O86" s="116" t="s">
        <v>1788</v>
      </c>
    </row>
    <row r="87" spans="1:15" s="117" customFormat="1" ht="15" hidden="1">
      <c r="A87" s="121">
        <v>46273</v>
      </c>
      <c r="B87" s="115" t="s">
        <v>1895</v>
      </c>
      <c r="C87" s="118" t="s">
        <v>1916</v>
      </c>
      <c r="D87" s="119" t="s">
        <v>1917</v>
      </c>
      <c r="E87" s="115" t="s">
        <v>1831</v>
      </c>
      <c r="F87" s="116">
        <v>1</v>
      </c>
      <c r="G87" s="114"/>
      <c r="H87" s="114">
        <v>46273</v>
      </c>
      <c r="I87" s="116" t="s">
        <v>1925</v>
      </c>
      <c r="J87" s="116" t="s">
        <v>1827</v>
      </c>
      <c r="K87" s="116" t="s">
        <v>1812</v>
      </c>
      <c r="L87" s="122"/>
      <c r="M87" s="116"/>
      <c r="N87" s="116" t="s">
        <v>1788</v>
      </c>
      <c r="O87" s="116" t="s">
        <v>1788</v>
      </c>
    </row>
    <row r="88" spans="1:15" s="117" customFormat="1" ht="15" hidden="1">
      <c r="A88" s="121">
        <v>46272</v>
      </c>
      <c r="B88" s="115" t="s">
        <v>1892</v>
      </c>
      <c r="C88" s="118" t="s">
        <v>1893</v>
      </c>
      <c r="D88" s="119" t="s">
        <v>1894</v>
      </c>
      <c r="E88" s="115" t="s">
        <v>1791</v>
      </c>
      <c r="F88" s="116">
        <v>1</v>
      </c>
      <c r="G88" s="114"/>
      <c r="H88" s="114">
        <v>46272</v>
      </c>
      <c r="I88" s="116" t="s">
        <v>1925</v>
      </c>
      <c r="J88" s="116" t="s">
        <v>1792</v>
      </c>
      <c r="K88" s="116" t="s">
        <v>1812</v>
      </c>
      <c r="L88" s="122"/>
      <c r="M88" s="116"/>
      <c r="N88" s="116" t="s">
        <v>1788</v>
      </c>
      <c r="O88" s="116" t="s">
        <v>1788</v>
      </c>
    </row>
    <row r="89" spans="1:15" s="117" customFormat="1" ht="15" hidden="1">
      <c r="A89" s="121">
        <v>46272</v>
      </c>
      <c r="B89" s="115" t="s">
        <v>1892</v>
      </c>
      <c r="C89" s="118" t="s">
        <v>1893</v>
      </c>
      <c r="D89" s="119" t="s">
        <v>1894</v>
      </c>
      <c r="E89" s="115" t="s">
        <v>1826</v>
      </c>
      <c r="F89" s="116">
        <v>1</v>
      </c>
      <c r="G89" s="114"/>
      <c r="H89" s="114">
        <v>46272</v>
      </c>
      <c r="I89" s="116" t="s">
        <v>1925</v>
      </c>
      <c r="J89" s="116" t="s">
        <v>1827</v>
      </c>
      <c r="K89" s="116" t="s">
        <v>1812</v>
      </c>
      <c r="L89" s="122"/>
      <c r="M89" s="116"/>
      <c r="N89" s="116" t="s">
        <v>1788</v>
      </c>
      <c r="O89" s="116" t="s">
        <v>1788</v>
      </c>
    </row>
    <row r="90" spans="1:15" s="117" customFormat="1" ht="15" hidden="1">
      <c r="A90" s="121">
        <v>46272</v>
      </c>
      <c r="B90" s="115" t="s">
        <v>1892</v>
      </c>
      <c r="C90" s="118" t="s">
        <v>1893</v>
      </c>
      <c r="D90" s="119" t="s">
        <v>1894</v>
      </c>
      <c r="E90" s="115" t="s">
        <v>1828</v>
      </c>
      <c r="F90" s="116">
        <v>1</v>
      </c>
      <c r="G90" s="114"/>
      <c r="H90" s="114">
        <v>46272</v>
      </c>
      <c r="I90" s="116" t="s">
        <v>1925</v>
      </c>
      <c r="J90" s="116" t="s">
        <v>1792</v>
      </c>
      <c r="K90" s="116" t="s">
        <v>1812</v>
      </c>
      <c r="L90" s="122"/>
      <c r="M90" s="116"/>
      <c r="N90" s="116" t="s">
        <v>1788</v>
      </c>
      <c r="O90" s="116" t="s">
        <v>1788</v>
      </c>
    </row>
    <row r="91" spans="1:15" s="117" customFormat="1" ht="15" hidden="1">
      <c r="A91" s="121">
        <v>46272</v>
      </c>
      <c r="B91" s="115" t="s">
        <v>1892</v>
      </c>
      <c r="C91" s="118" t="s">
        <v>1893</v>
      </c>
      <c r="D91" s="119" t="s">
        <v>1894</v>
      </c>
      <c r="E91" s="115" t="s">
        <v>1829</v>
      </c>
      <c r="F91" s="116">
        <v>1</v>
      </c>
      <c r="G91" s="114"/>
      <c r="H91" s="114">
        <v>46272</v>
      </c>
      <c r="I91" s="116" t="s">
        <v>1925</v>
      </c>
      <c r="J91" s="116" t="s">
        <v>1827</v>
      </c>
      <c r="K91" s="116" t="s">
        <v>1812</v>
      </c>
      <c r="L91" s="122"/>
      <c r="M91" s="116"/>
      <c r="N91" s="116" t="s">
        <v>1788</v>
      </c>
      <c r="O91" s="116" t="s">
        <v>1788</v>
      </c>
    </row>
    <row r="92" spans="1:15" s="117" customFormat="1" ht="15" hidden="1">
      <c r="A92" s="121">
        <v>46272</v>
      </c>
      <c r="B92" s="115" t="s">
        <v>1892</v>
      </c>
      <c r="C92" s="118" t="s">
        <v>1893</v>
      </c>
      <c r="D92" s="119" t="s">
        <v>1894</v>
      </c>
      <c r="E92" s="115" t="s">
        <v>1830</v>
      </c>
      <c r="F92" s="116">
        <v>1</v>
      </c>
      <c r="G92" s="114"/>
      <c r="H92" s="114">
        <v>46272</v>
      </c>
      <c r="I92" s="116" t="s">
        <v>1925</v>
      </c>
      <c r="J92" s="116" t="s">
        <v>1827</v>
      </c>
      <c r="K92" s="116" t="s">
        <v>1812</v>
      </c>
      <c r="L92" s="122"/>
      <c r="M92" s="116"/>
      <c r="N92" s="116" t="s">
        <v>1788</v>
      </c>
      <c r="O92" s="116" t="s">
        <v>1788</v>
      </c>
    </row>
    <row r="93" spans="1:15" s="117" customFormat="1" ht="15" hidden="1">
      <c r="A93" s="121">
        <v>46272</v>
      </c>
      <c r="B93" s="115" t="s">
        <v>1892</v>
      </c>
      <c r="C93" s="118" t="s">
        <v>1893</v>
      </c>
      <c r="D93" s="119" t="s">
        <v>1894</v>
      </c>
      <c r="E93" s="115" t="s">
        <v>1831</v>
      </c>
      <c r="F93" s="116">
        <v>1</v>
      </c>
      <c r="G93" s="114"/>
      <c r="H93" s="114">
        <v>46272</v>
      </c>
      <c r="I93" s="116" t="s">
        <v>1925</v>
      </c>
      <c r="J93" s="116" t="s">
        <v>1827</v>
      </c>
      <c r="K93" s="116" t="s">
        <v>1812</v>
      </c>
      <c r="L93" s="122"/>
      <c r="M93" s="116"/>
      <c r="N93" s="116" t="s">
        <v>1788</v>
      </c>
      <c r="O93" s="116" t="s">
        <v>1788</v>
      </c>
    </row>
    <row r="94" spans="1:15" s="117" customFormat="1" ht="15">
      <c r="A94" s="121">
        <v>46272</v>
      </c>
      <c r="B94" s="115" t="s">
        <v>1888</v>
      </c>
      <c r="C94" s="118" t="s">
        <v>1813</v>
      </c>
      <c r="D94" s="119" t="s">
        <v>1814</v>
      </c>
      <c r="E94" s="115" t="s">
        <v>1791</v>
      </c>
      <c r="F94" s="116">
        <v>2</v>
      </c>
      <c r="G94" s="114"/>
      <c r="H94" s="114">
        <v>46272</v>
      </c>
      <c r="I94" s="116" t="s">
        <v>1864</v>
      </c>
      <c r="J94" s="116" t="s">
        <v>1792</v>
      </c>
      <c r="K94" s="116" t="s">
        <v>1812</v>
      </c>
      <c r="L94" s="122"/>
      <c r="M94" s="116"/>
      <c r="N94" s="116" t="s">
        <v>1788</v>
      </c>
    </row>
    <row r="95" spans="1:15" s="117" customFormat="1" ht="15">
      <c r="A95" s="121">
        <v>46272</v>
      </c>
      <c r="B95" s="115" t="s">
        <v>1888</v>
      </c>
      <c r="C95" s="118" t="s">
        <v>1813</v>
      </c>
      <c r="D95" s="119" t="s">
        <v>1814</v>
      </c>
      <c r="E95" s="115" t="s">
        <v>1826</v>
      </c>
      <c r="F95" s="116">
        <v>2</v>
      </c>
      <c r="G95" s="114"/>
      <c r="H95" s="114">
        <v>46272</v>
      </c>
      <c r="I95" s="116" t="s">
        <v>1864</v>
      </c>
      <c r="J95" s="116" t="s">
        <v>1827</v>
      </c>
      <c r="K95" s="116" t="s">
        <v>1812</v>
      </c>
      <c r="L95" s="122"/>
      <c r="M95" s="116"/>
      <c r="N95" s="116" t="s">
        <v>1788</v>
      </c>
    </row>
    <row r="96" spans="1:15" s="117" customFormat="1" ht="15">
      <c r="A96" s="121">
        <v>46272</v>
      </c>
      <c r="B96" s="115" t="s">
        <v>1888</v>
      </c>
      <c r="C96" s="118" t="s">
        <v>1813</v>
      </c>
      <c r="D96" s="119" t="s">
        <v>1814</v>
      </c>
      <c r="E96" s="115" t="s">
        <v>1828</v>
      </c>
      <c r="F96" s="116">
        <v>2</v>
      </c>
      <c r="G96" s="114"/>
      <c r="H96" s="114">
        <v>46272</v>
      </c>
      <c r="I96" s="116" t="s">
        <v>1864</v>
      </c>
      <c r="J96" s="116" t="s">
        <v>1792</v>
      </c>
      <c r="K96" s="116" t="s">
        <v>1812</v>
      </c>
      <c r="L96" s="122"/>
      <c r="M96" s="116"/>
      <c r="N96" s="116" t="s">
        <v>1788</v>
      </c>
    </row>
    <row r="97" spans="1:15" s="117" customFormat="1" ht="15">
      <c r="A97" s="121">
        <v>46272</v>
      </c>
      <c r="B97" s="115" t="s">
        <v>1888</v>
      </c>
      <c r="C97" s="118" t="s">
        <v>1813</v>
      </c>
      <c r="D97" s="119" t="s">
        <v>1814</v>
      </c>
      <c r="E97" s="115" t="s">
        <v>1829</v>
      </c>
      <c r="F97" s="116">
        <v>2</v>
      </c>
      <c r="G97" s="114"/>
      <c r="H97" s="114">
        <v>46272</v>
      </c>
      <c r="I97" s="116" t="s">
        <v>1864</v>
      </c>
      <c r="J97" s="116" t="s">
        <v>1827</v>
      </c>
      <c r="K97" s="116" t="s">
        <v>1812</v>
      </c>
      <c r="L97" s="122"/>
      <c r="M97" s="116"/>
      <c r="N97" s="116" t="s">
        <v>1788</v>
      </c>
    </row>
    <row r="98" spans="1:15" s="117" customFormat="1" ht="15">
      <c r="A98" s="121">
        <v>46272</v>
      </c>
      <c r="B98" s="115" t="s">
        <v>1888</v>
      </c>
      <c r="C98" s="118" t="s">
        <v>1813</v>
      </c>
      <c r="D98" s="119" t="s">
        <v>1814</v>
      </c>
      <c r="E98" s="115" t="s">
        <v>1830</v>
      </c>
      <c r="F98" s="116">
        <v>2</v>
      </c>
      <c r="G98" s="114"/>
      <c r="H98" s="114">
        <v>46272</v>
      </c>
      <c r="I98" s="116" t="s">
        <v>1864</v>
      </c>
      <c r="J98" s="116" t="s">
        <v>1827</v>
      </c>
      <c r="K98" s="116" t="s">
        <v>1812</v>
      </c>
      <c r="L98" s="122"/>
      <c r="M98" s="116"/>
      <c r="N98" s="116" t="s">
        <v>1788</v>
      </c>
    </row>
    <row r="99" spans="1:15" s="117" customFormat="1" ht="15">
      <c r="A99" s="121">
        <v>46272</v>
      </c>
      <c r="B99" s="115" t="s">
        <v>1888</v>
      </c>
      <c r="C99" s="118" t="s">
        <v>1813</v>
      </c>
      <c r="D99" s="119" t="s">
        <v>1814</v>
      </c>
      <c r="E99" s="115" t="s">
        <v>1831</v>
      </c>
      <c r="F99" s="116">
        <v>2</v>
      </c>
      <c r="G99" s="114"/>
      <c r="H99" s="114">
        <v>46272</v>
      </c>
      <c r="I99" s="116" t="s">
        <v>1864</v>
      </c>
      <c r="J99" s="116" t="s">
        <v>1827</v>
      </c>
      <c r="K99" s="116" t="s">
        <v>1812</v>
      </c>
      <c r="L99" s="122"/>
      <c r="M99" s="116"/>
      <c r="N99" s="116" t="s">
        <v>1788</v>
      </c>
    </row>
    <row r="100" spans="1:15" s="117" customFormat="1" ht="15">
      <c r="A100" s="121">
        <v>46272</v>
      </c>
      <c r="B100" s="115" t="s">
        <v>1885</v>
      </c>
      <c r="C100" s="118" t="s">
        <v>1886</v>
      </c>
      <c r="D100" s="119" t="s">
        <v>1887</v>
      </c>
      <c r="E100" s="115" t="s">
        <v>1791</v>
      </c>
      <c r="F100" s="116">
        <v>1</v>
      </c>
      <c r="G100" s="114"/>
      <c r="H100" s="114">
        <v>46272</v>
      </c>
      <c r="I100" s="116" t="s">
        <v>1925</v>
      </c>
      <c r="J100" s="116" t="s">
        <v>1792</v>
      </c>
      <c r="K100" s="116" t="s">
        <v>1812</v>
      </c>
      <c r="L100" s="122"/>
      <c r="M100" s="116"/>
      <c r="N100" s="116" t="s">
        <v>1788</v>
      </c>
    </row>
    <row r="101" spans="1:15" s="117" customFormat="1" ht="15">
      <c r="A101" s="121">
        <v>46272</v>
      </c>
      <c r="B101" s="115" t="s">
        <v>1885</v>
      </c>
      <c r="C101" s="118" t="s">
        <v>1886</v>
      </c>
      <c r="D101" s="119" t="s">
        <v>1887</v>
      </c>
      <c r="E101" s="115" t="s">
        <v>1826</v>
      </c>
      <c r="F101" s="116">
        <v>1</v>
      </c>
      <c r="G101" s="114"/>
      <c r="H101" s="114">
        <v>46272</v>
      </c>
      <c r="I101" s="116" t="s">
        <v>1925</v>
      </c>
      <c r="J101" s="116" t="s">
        <v>1827</v>
      </c>
      <c r="K101" s="116" t="s">
        <v>1812</v>
      </c>
      <c r="L101" s="122"/>
      <c r="M101" s="116"/>
      <c r="N101" s="116" t="s">
        <v>1788</v>
      </c>
    </row>
    <row r="102" spans="1:15" s="117" customFormat="1" ht="15">
      <c r="A102" s="121">
        <v>46272</v>
      </c>
      <c r="B102" s="115" t="s">
        <v>1885</v>
      </c>
      <c r="C102" s="118" t="s">
        <v>1886</v>
      </c>
      <c r="D102" s="119" t="s">
        <v>1887</v>
      </c>
      <c r="E102" s="115" t="s">
        <v>1828</v>
      </c>
      <c r="F102" s="116">
        <v>1</v>
      </c>
      <c r="G102" s="114"/>
      <c r="H102" s="114">
        <v>46272</v>
      </c>
      <c r="I102" s="116" t="s">
        <v>1925</v>
      </c>
      <c r="J102" s="116" t="s">
        <v>1792</v>
      </c>
      <c r="K102" s="116" t="s">
        <v>1812</v>
      </c>
      <c r="L102" s="122"/>
      <c r="M102" s="116"/>
      <c r="N102" s="116" t="s">
        <v>1788</v>
      </c>
    </row>
    <row r="103" spans="1:15" s="117" customFormat="1" ht="15">
      <c r="A103" s="121">
        <v>46272</v>
      </c>
      <c r="B103" s="115" t="s">
        <v>1885</v>
      </c>
      <c r="C103" s="118" t="s">
        <v>1886</v>
      </c>
      <c r="D103" s="119" t="s">
        <v>1887</v>
      </c>
      <c r="E103" s="115" t="s">
        <v>1829</v>
      </c>
      <c r="F103" s="116">
        <v>1</v>
      </c>
      <c r="G103" s="114"/>
      <c r="H103" s="114">
        <v>46272</v>
      </c>
      <c r="I103" s="116" t="s">
        <v>1925</v>
      </c>
      <c r="J103" s="116" t="s">
        <v>1827</v>
      </c>
      <c r="K103" s="116" t="s">
        <v>1812</v>
      </c>
      <c r="L103" s="122"/>
      <c r="M103" s="116"/>
      <c r="N103" s="116" t="s">
        <v>1788</v>
      </c>
    </row>
    <row r="104" spans="1:15" s="117" customFormat="1" ht="15">
      <c r="A104" s="121">
        <v>46272</v>
      </c>
      <c r="B104" s="115" t="s">
        <v>1885</v>
      </c>
      <c r="C104" s="118" t="s">
        <v>1886</v>
      </c>
      <c r="D104" s="119" t="s">
        <v>1887</v>
      </c>
      <c r="E104" s="115" t="s">
        <v>1830</v>
      </c>
      <c r="F104" s="116">
        <v>1</v>
      </c>
      <c r="G104" s="114"/>
      <c r="H104" s="114">
        <v>46272</v>
      </c>
      <c r="I104" s="116" t="s">
        <v>1925</v>
      </c>
      <c r="J104" s="116" t="s">
        <v>1827</v>
      </c>
      <c r="K104" s="116" t="s">
        <v>1812</v>
      </c>
      <c r="L104" s="122"/>
      <c r="M104" s="116"/>
      <c r="N104" s="116" t="s">
        <v>1788</v>
      </c>
    </row>
    <row r="105" spans="1:15" s="117" customFormat="1" ht="15">
      <c r="A105" s="121">
        <v>46272</v>
      </c>
      <c r="B105" s="115" t="s">
        <v>1885</v>
      </c>
      <c r="C105" s="118" t="s">
        <v>1886</v>
      </c>
      <c r="D105" s="119" t="s">
        <v>1887</v>
      </c>
      <c r="E105" s="115" t="s">
        <v>1831</v>
      </c>
      <c r="F105" s="116">
        <v>1</v>
      </c>
      <c r="G105" s="114"/>
      <c r="H105" s="114">
        <v>46272</v>
      </c>
      <c r="I105" s="116" t="s">
        <v>1925</v>
      </c>
      <c r="J105" s="116" t="s">
        <v>1827</v>
      </c>
      <c r="K105" s="116" t="s">
        <v>1812</v>
      </c>
      <c r="L105" s="122"/>
      <c r="M105" s="116"/>
      <c r="N105" s="116" t="s">
        <v>1788</v>
      </c>
    </row>
    <row r="106" spans="1:15" s="117" customFormat="1" ht="15" hidden="1">
      <c r="A106" s="121">
        <v>46272</v>
      </c>
      <c r="B106" s="115" t="s">
        <v>1883</v>
      </c>
      <c r="C106" s="118" t="s">
        <v>1865</v>
      </c>
      <c r="D106" s="119" t="s">
        <v>1884</v>
      </c>
      <c r="E106" s="115" t="s">
        <v>1791</v>
      </c>
      <c r="F106" s="116">
        <v>1</v>
      </c>
      <c r="G106" s="114"/>
      <c r="H106" s="114">
        <v>46272</v>
      </c>
      <c r="I106" s="116" t="s">
        <v>1925</v>
      </c>
      <c r="J106" s="116" t="s">
        <v>1792</v>
      </c>
      <c r="K106" s="116" t="s">
        <v>1812</v>
      </c>
      <c r="L106" s="122"/>
      <c r="M106" s="116"/>
      <c r="N106" s="116" t="s">
        <v>1788</v>
      </c>
      <c r="O106" s="116" t="s">
        <v>1788</v>
      </c>
    </row>
    <row r="107" spans="1:15" s="117" customFormat="1" ht="15" hidden="1">
      <c r="A107" s="121">
        <v>46272</v>
      </c>
      <c r="B107" s="115" t="s">
        <v>1883</v>
      </c>
      <c r="C107" s="118" t="s">
        <v>1865</v>
      </c>
      <c r="D107" s="119" t="s">
        <v>1884</v>
      </c>
      <c r="E107" s="115" t="s">
        <v>1826</v>
      </c>
      <c r="F107" s="116">
        <v>1</v>
      </c>
      <c r="G107" s="114"/>
      <c r="H107" s="114">
        <v>46272</v>
      </c>
      <c r="I107" s="116" t="s">
        <v>1925</v>
      </c>
      <c r="J107" s="116" t="s">
        <v>1827</v>
      </c>
      <c r="K107" s="116" t="s">
        <v>1812</v>
      </c>
      <c r="L107" s="122"/>
      <c r="M107" s="116"/>
      <c r="N107" s="116" t="s">
        <v>1788</v>
      </c>
      <c r="O107" s="116" t="s">
        <v>1788</v>
      </c>
    </row>
    <row r="108" spans="1:15" s="117" customFormat="1" ht="15" hidden="1">
      <c r="A108" s="121">
        <v>46272</v>
      </c>
      <c r="B108" s="115" t="s">
        <v>1883</v>
      </c>
      <c r="C108" s="118" t="s">
        <v>1865</v>
      </c>
      <c r="D108" s="119" t="s">
        <v>1884</v>
      </c>
      <c r="E108" s="115" t="s">
        <v>1828</v>
      </c>
      <c r="F108" s="116">
        <v>1</v>
      </c>
      <c r="G108" s="114"/>
      <c r="H108" s="114">
        <v>46272</v>
      </c>
      <c r="I108" s="116" t="s">
        <v>1925</v>
      </c>
      <c r="J108" s="116" t="s">
        <v>1792</v>
      </c>
      <c r="K108" s="116" t="s">
        <v>1812</v>
      </c>
      <c r="L108" s="122"/>
      <c r="M108" s="116"/>
      <c r="N108" s="116" t="s">
        <v>1788</v>
      </c>
      <c r="O108" s="116" t="s">
        <v>1788</v>
      </c>
    </row>
    <row r="109" spans="1:15" s="117" customFormat="1" ht="15" hidden="1">
      <c r="A109" s="121">
        <v>46272</v>
      </c>
      <c r="B109" s="115" t="s">
        <v>1883</v>
      </c>
      <c r="C109" s="118" t="s">
        <v>1865</v>
      </c>
      <c r="D109" s="119" t="s">
        <v>1884</v>
      </c>
      <c r="E109" s="115" t="s">
        <v>1829</v>
      </c>
      <c r="F109" s="116">
        <v>1</v>
      </c>
      <c r="G109" s="114"/>
      <c r="H109" s="114">
        <v>46272</v>
      </c>
      <c r="I109" s="116" t="s">
        <v>1925</v>
      </c>
      <c r="J109" s="116" t="s">
        <v>1827</v>
      </c>
      <c r="K109" s="116" t="s">
        <v>1812</v>
      </c>
      <c r="L109" s="122"/>
      <c r="M109" s="116"/>
      <c r="N109" s="116" t="s">
        <v>1788</v>
      </c>
      <c r="O109" s="116" t="s">
        <v>1788</v>
      </c>
    </row>
    <row r="110" spans="1:15" s="117" customFormat="1" ht="15" hidden="1">
      <c r="A110" s="121">
        <v>46272</v>
      </c>
      <c r="B110" s="115" t="s">
        <v>1883</v>
      </c>
      <c r="C110" s="118" t="s">
        <v>1865</v>
      </c>
      <c r="D110" s="119" t="s">
        <v>1884</v>
      </c>
      <c r="E110" s="115" t="s">
        <v>1830</v>
      </c>
      <c r="F110" s="116">
        <v>1</v>
      </c>
      <c r="G110" s="114"/>
      <c r="H110" s="114">
        <v>46272</v>
      </c>
      <c r="I110" s="116" t="s">
        <v>1925</v>
      </c>
      <c r="J110" s="116" t="s">
        <v>1827</v>
      </c>
      <c r="K110" s="116" t="s">
        <v>1812</v>
      </c>
      <c r="L110" s="122"/>
      <c r="M110" s="116"/>
      <c r="N110" s="116" t="s">
        <v>1788</v>
      </c>
      <c r="O110" s="116" t="s">
        <v>1788</v>
      </c>
    </row>
    <row r="111" spans="1:15" s="117" customFormat="1" ht="15" hidden="1">
      <c r="A111" s="121">
        <v>46272</v>
      </c>
      <c r="B111" s="115" t="s">
        <v>1883</v>
      </c>
      <c r="C111" s="118" t="s">
        <v>1865</v>
      </c>
      <c r="D111" s="119" t="s">
        <v>1884</v>
      </c>
      <c r="E111" s="115" t="s">
        <v>1831</v>
      </c>
      <c r="F111" s="116">
        <v>1</v>
      </c>
      <c r="G111" s="114"/>
      <c r="H111" s="114">
        <v>46272</v>
      </c>
      <c r="I111" s="116" t="s">
        <v>1925</v>
      </c>
      <c r="J111" s="116" t="s">
        <v>1827</v>
      </c>
      <c r="K111" s="116" t="s">
        <v>1812</v>
      </c>
      <c r="L111" s="122"/>
      <c r="M111" s="116"/>
      <c r="N111" s="116" t="s">
        <v>1788</v>
      </c>
      <c r="O111" s="116" t="s">
        <v>1788</v>
      </c>
    </row>
    <row r="112" spans="1:15" s="117" customFormat="1" ht="15" hidden="1">
      <c r="A112" s="121">
        <v>46272</v>
      </c>
      <c r="B112" s="115" t="s">
        <v>1880</v>
      </c>
      <c r="C112" s="118" t="s">
        <v>1881</v>
      </c>
      <c r="D112" s="119" t="s">
        <v>1882</v>
      </c>
      <c r="E112" s="115" t="s">
        <v>1791</v>
      </c>
      <c r="F112" s="116">
        <v>1</v>
      </c>
      <c r="G112" s="114"/>
      <c r="H112" s="114">
        <v>46272</v>
      </c>
      <c r="I112" s="116" t="s">
        <v>1925</v>
      </c>
      <c r="J112" s="116" t="s">
        <v>1792</v>
      </c>
      <c r="K112" s="116" t="s">
        <v>1812</v>
      </c>
      <c r="L112" s="122"/>
      <c r="M112" s="116"/>
      <c r="N112" s="116" t="s">
        <v>1788</v>
      </c>
      <c r="O112" s="116" t="s">
        <v>1788</v>
      </c>
    </row>
    <row r="113" spans="1:15" s="117" customFormat="1" ht="15" hidden="1">
      <c r="A113" s="121">
        <v>46272</v>
      </c>
      <c r="B113" s="115" t="s">
        <v>1880</v>
      </c>
      <c r="C113" s="118" t="s">
        <v>1881</v>
      </c>
      <c r="D113" s="119" t="s">
        <v>1882</v>
      </c>
      <c r="E113" s="115" t="s">
        <v>1826</v>
      </c>
      <c r="F113" s="116">
        <v>1</v>
      </c>
      <c r="G113" s="114"/>
      <c r="H113" s="114">
        <v>46272</v>
      </c>
      <c r="I113" s="116" t="s">
        <v>1925</v>
      </c>
      <c r="J113" s="116" t="s">
        <v>1827</v>
      </c>
      <c r="K113" s="116" t="s">
        <v>1812</v>
      </c>
      <c r="L113" s="122"/>
      <c r="M113" s="116"/>
      <c r="N113" s="116" t="s">
        <v>1788</v>
      </c>
      <c r="O113" s="116" t="s">
        <v>1788</v>
      </c>
    </row>
    <row r="114" spans="1:15" s="117" customFormat="1" ht="15" hidden="1">
      <c r="A114" s="121">
        <v>46272</v>
      </c>
      <c r="B114" s="115" t="s">
        <v>1880</v>
      </c>
      <c r="C114" s="118" t="s">
        <v>1881</v>
      </c>
      <c r="D114" s="119" t="s">
        <v>1882</v>
      </c>
      <c r="E114" s="115" t="s">
        <v>1828</v>
      </c>
      <c r="F114" s="116">
        <v>1</v>
      </c>
      <c r="G114" s="114"/>
      <c r="H114" s="114">
        <v>46272</v>
      </c>
      <c r="I114" s="116" t="s">
        <v>1925</v>
      </c>
      <c r="J114" s="116" t="s">
        <v>1792</v>
      </c>
      <c r="K114" s="116" t="s">
        <v>1812</v>
      </c>
      <c r="L114" s="122"/>
      <c r="M114" s="116"/>
      <c r="N114" s="116" t="s">
        <v>1788</v>
      </c>
      <c r="O114" s="116" t="s">
        <v>1788</v>
      </c>
    </row>
    <row r="115" spans="1:15" s="117" customFormat="1" ht="15" hidden="1">
      <c r="A115" s="121">
        <v>46272</v>
      </c>
      <c r="B115" s="115" t="s">
        <v>1880</v>
      </c>
      <c r="C115" s="118" t="s">
        <v>1881</v>
      </c>
      <c r="D115" s="119" t="s">
        <v>1882</v>
      </c>
      <c r="E115" s="115" t="s">
        <v>1829</v>
      </c>
      <c r="F115" s="116">
        <v>1</v>
      </c>
      <c r="G115" s="114"/>
      <c r="H115" s="114">
        <v>46272</v>
      </c>
      <c r="I115" s="116" t="s">
        <v>1925</v>
      </c>
      <c r="J115" s="116" t="s">
        <v>1827</v>
      </c>
      <c r="K115" s="116" t="s">
        <v>1812</v>
      </c>
      <c r="L115" s="122"/>
      <c r="M115" s="116"/>
      <c r="N115" s="116" t="s">
        <v>1788</v>
      </c>
      <c r="O115" s="116" t="s">
        <v>1788</v>
      </c>
    </row>
    <row r="116" spans="1:15" s="117" customFormat="1" ht="15" hidden="1">
      <c r="A116" s="121">
        <v>46272</v>
      </c>
      <c r="B116" s="115" t="s">
        <v>1880</v>
      </c>
      <c r="C116" s="118" t="s">
        <v>1881</v>
      </c>
      <c r="D116" s="119" t="s">
        <v>1882</v>
      </c>
      <c r="E116" s="115" t="s">
        <v>1830</v>
      </c>
      <c r="F116" s="116">
        <v>1</v>
      </c>
      <c r="G116" s="114"/>
      <c r="H116" s="114">
        <v>46272</v>
      </c>
      <c r="I116" s="116" t="s">
        <v>1925</v>
      </c>
      <c r="J116" s="116" t="s">
        <v>1827</v>
      </c>
      <c r="K116" s="116" t="s">
        <v>1812</v>
      </c>
      <c r="L116" s="122"/>
      <c r="M116" s="116"/>
      <c r="N116" s="116" t="s">
        <v>1788</v>
      </c>
      <c r="O116" s="116" t="s">
        <v>1788</v>
      </c>
    </row>
    <row r="117" spans="1:15" s="117" customFormat="1" ht="15" hidden="1">
      <c r="A117" s="121">
        <v>46272</v>
      </c>
      <c r="B117" s="115" t="s">
        <v>1880</v>
      </c>
      <c r="C117" s="118" t="s">
        <v>1881</v>
      </c>
      <c r="D117" s="119" t="s">
        <v>1882</v>
      </c>
      <c r="E117" s="115" t="s">
        <v>1831</v>
      </c>
      <c r="F117" s="116">
        <v>1</v>
      </c>
      <c r="G117" s="114"/>
      <c r="H117" s="114">
        <v>46272</v>
      </c>
      <c r="I117" s="116" t="s">
        <v>1925</v>
      </c>
      <c r="J117" s="116" t="s">
        <v>1827</v>
      </c>
      <c r="K117" s="116" t="s">
        <v>1812</v>
      </c>
      <c r="L117" s="122"/>
      <c r="M117" s="116"/>
      <c r="N117" s="116" t="s">
        <v>1788</v>
      </c>
      <c r="O117" s="116" t="s">
        <v>1788</v>
      </c>
    </row>
    <row r="118" spans="1:15" s="117" customFormat="1" ht="15" hidden="1">
      <c r="A118" s="121">
        <v>46267</v>
      </c>
      <c r="B118" s="115" t="s">
        <v>1862</v>
      </c>
      <c r="C118" s="118" t="s">
        <v>1865</v>
      </c>
      <c r="D118" s="119" t="s">
        <v>1866</v>
      </c>
      <c r="E118" s="115" t="s">
        <v>1791</v>
      </c>
      <c r="F118" s="116">
        <v>1</v>
      </c>
      <c r="G118" s="114"/>
      <c r="H118" s="114">
        <v>46267</v>
      </c>
      <c r="I118" s="116" t="s">
        <v>1925</v>
      </c>
      <c r="J118" s="116" t="s">
        <v>1792</v>
      </c>
      <c r="K118" s="116" t="s">
        <v>1812</v>
      </c>
      <c r="L118" s="122"/>
      <c r="M118" s="116"/>
      <c r="N118" s="116" t="s">
        <v>1788</v>
      </c>
      <c r="O118" s="116" t="s">
        <v>1788</v>
      </c>
    </row>
    <row r="119" spans="1:15" s="117" customFormat="1" ht="15" hidden="1">
      <c r="A119" s="121">
        <v>46267</v>
      </c>
      <c r="B119" s="115" t="s">
        <v>1862</v>
      </c>
      <c r="C119" s="118" t="s">
        <v>1865</v>
      </c>
      <c r="D119" s="119" t="s">
        <v>1866</v>
      </c>
      <c r="E119" s="115" t="s">
        <v>1826</v>
      </c>
      <c r="F119" s="116">
        <v>1</v>
      </c>
      <c r="G119" s="114"/>
      <c r="H119" s="114">
        <v>46267</v>
      </c>
      <c r="I119" s="116" t="s">
        <v>1925</v>
      </c>
      <c r="J119" s="116" t="s">
        <v>1827</v>
      </c>
      <c r="K119" s="116" t="s">
        <v>1812</v>
      </c>
      <c r="L119" s="122"/>
      <c r="M119" s="116"/>
      <c r="N119" s="116" t="s">
        <v>1788</v>
      </c>
      <c r="O119" s="116" t="s">
        <v>1788</v>
      </c>
    </row>
    <row r="120" spans="1:15" s="117" customFormat="1" ht="15" hidden="1">
      <c r="A120" s="121">
        <v>46267</v>
      </c>
      <c r="B120" s="115" t="s">
        <v>1862</v>
      </c>
      <c r="C120" s="118" t="s">
        <v>1865</v>
      </c>
      <c r="D120" s="119" t="s">
        <v>1866</v>
      </c>
      <c r="E120" s="115" t="s">
        <v>1828</v>
      </c>
      <c r="F120" s="116">
        <v>1</v>
      </c>
      <c r="G120" s="114"/>
      <c r="H120" s="114">
        <v>46267</v>
      </c>
      <c r="I120" s="116" t="s">
        <v>1925</v>
      </c>
      <c r="J120" s="116" t="s">
        <v>1792</v>
      </c>
      <c r="K120" s="116" t="s">
        <v>1812</v>
      </c>
      <c r="L120" s="122"/>
      <c r="M120" s="116"/>
      <c r="N120" s="116" t="s">
        <v>1788</v>
      </c>
      <c r="O120" s="116" t="s">
        <v>1788</v>
      </c>
    </row>
    <row r="121" spans="1:15" s="117" customFormat="1" ht="15" hidden="1">
      <c r="A121" s="121">
        <v>46267</v>
      </c>
      <c r="B121" s="115" t="s">
        <v>1862</v>
      </c>
      <c r="C121" s="118" t="s">
        <v>1865</v>
      </c>
      <c r="D121" s="119" t="s">
        <v>1866</v>
      </c>
      <c r="E121" s="115" t="s">
        <v>1829</v>
      </c>
      <c r="F121" s="116">
        <v>1</v>
      </c>
      <c r="G121" s="114"/>
      <c r="H121" s="114">
        <v>46267</v>
      </c>
      <c r="I121" s="116" t="s">
        <v>1925</v>
      </c>
      <c r="J121" s="116" t="s">
        <v>1827</v>
      </c>
      <c r="K121" s="116" t="s">
        <v>1812</v>
      </c>
      <c r="L121" s="122"/>
      <c r="M121" s="116"/>
      <c r="N121" s="116" t="s">
        <v>1788</v>
      </c>
      <c r="O121" s="116" t="s">
        <v>1788</v>
      </c>
    </row>
    <row r="122" spans="1:15" s="117" customFormat="1" ht="15" hidden="1">
      <c r="A122" s="121">
        <v>46267</v>
      </c>
      <c r="B122" s="115" t="s">
        <v>1862</v>
      </c>
      <c r="C122" s="118" t="s">
        <v>1865</v>
      </c>
      <c r="D122" s="119" t="s">
        <v>1866</v>
      </c>
      <c r="E122" s="115" t="s">
        <v>1830</v>
      </c>
      <c r="F122" s="116">
        <v>1</v>
      </c>
      <c r="G122" s="114"/>
      <c r="H122" s="114">
        <v>46267</v>
      </c>
      <c r="I122" s="116" t="s">
        <v>1925</v>
      </c>
      <c r="J122" s="116" t="s">
        <v>1827</v>
      </c>
      <c r="K122" s="116" t="s">
        <v>1812</v>
      </c>
      <c r="L122" s="122"/>
      <c r="M122" s="116"/>
      <c r="N122" s="116" t="s">
        <v>1788</v>
      </c>
      <c r="O122" s="116" t="s">
        <v>1788</v>
      </c>
    </row>
    <row r="123" spans="1:15" s="117" customFormat="1" ht="15" hidden="1">
      <c r="A123" s="121">
        <v>46267</v>
      </c>
      <c r="B123" s="115" t="s">
        <v>1862</v>
      </c>
      <c r="C123" s="118" t="s">
        <v>1865</v>
      </c>
      <c r="D123" s="119" t="s">
        <v>1866</v>
      </c>
      <c r="E123" s="115" t="s">
        <v>1831</v>
      </c>
      <c r="F123" s="116">
        <v>1</v>
      </c>
      <c r="G123" s="114"/>
      <c r="H123" s="114">
        <v>46267</v>
      </c>
      <c r="I123" s="116" t="s">
        <v>1925</v>
      </c>
      <c r="J123" s="116" t="s">
        <v>1827</v>
      </c>
      <c r="K123" s="116" t="s">
        <v>1812</v>
      </c>
      <c r="L123" s="122"/>
      <c r="M123" s="116"/>
      <c r="N123" s="116" t="s">
        <v>1788</v>
      </c>
      <c r="O123" s="116" t="s">
        <v>1788</v>
      </c>
    </row>
    <row r="124" spans="1:15" s="117" customFormat="1" ht="15" hidden="1">
      <c r="A124" s="121">
        <v>46267</v>
      </c>
      <c r="B124" s="115" t="s">
        <v>1863</v>
      </c>
      <c r="C124" s="118" t="s">
        <v>1865</v>
      </c>
      <c r="D124" s="119" t="s">
        <v>1867</v>
      </c>
      <c r="E124" s="115" t="s">
        <v>1791</v>
      </c>
      <c r="F124" s="116">
        <v>1</v>
      </c>
      <c r="G124" s="114"/>
      <c r="H124" s="114">
        <v>46267</v>
      </c>
      <c r="I124" s="116" t="s">
        <v>1925</v>
      </c>
      <c r="J124" s="116" t="s">
        <v>1792</v>
      </c>
      <c r="K124" s="116" t="s">
        <v>1812</v>
      </c>
      <c r="L124" s="122"/>
      <c r="M124" s="116"/>
      <c r="N124" s="116" t="s">
        <v>1788</v>
      </c>
      <c r="O124" s="116" t="s">
        <v>1788</v>
      </c>
    </row>
    <row r="125" spans="1:15" s="117" customFormat="1" ht="15" hidden="1">
      <c r="A125" s="121">
        <v>46267</v>
      </c>
      <c r="B125" s="115" t="s">
        <v>1863</v>
      </c>
      <c r="C125" s="118" t="s">
        <v>1865</v>
      </c>
      <c r="D125" s="119" t="s">
        <v>1867</v>
      </c>
      <c r="E125" s="115" t="s">
        <v>1826</v>
      </c>
      <c r="F125" s="116">
        <v>1</v>
      </c>
      <c r="G125" s="114"/>
      <c r="H125" s="114">
        <v>46267</v>
      </c>
      <c r="I125" s="116" t="s">
        <v>1925</v>
      </c>
      <c r="J125" s="116" t="s">
        <v>1827</v>
      </c>
      <c r="K125" s="116" t="s">
        <v>1812</v>
      </c>
      <c r="L125" s="122"/>
      <c r="M125" s="116"/>
      <c r="N125" s="116" t="s">
        <v>1788</v>
      </c>
      <c r="O125" s="116" t="s">
        <v>1788</v>
      </c>
    </row>
    <row r="126" spans="1:15" s="117" customFormat="1" ht="15" hidden="1">
      <c r="A126" s="121">
        <v>46267</v>
      </c>
      <c r="B126" s="115" t="s">
        <v>1863</v>
      </c>
      <c r="C126" s="118" t="s">
        <v>1865</v>
      </c>
      <c r="D126" s="119" t="s">
        <v>1867</v>
      </c>
      <c r="E126" s="115" t="s">
        <v>1828</v>
      </c>
      <c r="F126" s="116">
        <v>1</v>
      </c>
      <c r="G126" s="114"/>
      <c r="H126" s="114">
        <v>46267</v>
      </c>
      <c r="I126" s="116" t="s">
        <v>1925</v>
      </c>
      <c r="J126" s="116" t="s">
        <v>1792</v>
      </c>
      <c r="K126" s="116" t="s">
        <v>1812</v>
      </c>
      <c r="L126" s="122"/>
      <c r="M126" s="116"/>
      <c r="N126" s="116" t="s">
        <v>1788</v>
      </c>
      <c r="O126" s="116" t="s">
        <v>1788</v>
      </c>
    </row>
    <row r="127" spans="1:15" s="117" customFormat="1" ht="15" hidden="1">
      <c r="A127" s="121">
        <v>46267</v>
      </c>
      <c r="B127" s="115" t="s">
        <v>1863</v>
      </c>
      <c r="C127" s="118" t="s">
        <v>1865</v>
      </c>
      <c r="D127" s="119" t="s">
        <v>1867</v>
      </c>
      <c r="E127" s="115" t="s">
        <v>1829</v>
      </c>
      <c r="F127" s="116">
        <v>1</v>
      </c>
      <c r="G127" s="114"/>
      <c r="H127" s="114">
        <v>46267</v>
      </c>
      <c r="I127" s="116" t="s">
        <v>1925</v>
      </c>
      <c r="J127" s="116" t="s">
        <v>1827</v>
      </c>
      <c r="K127" s="116" t="s">
        <v>1812</v>
      </c>
      <c r="L127" s="122"/>
      <c r="M127" s="116"/>
      <c r="N127" s="116" t="s">
        <v>1788</v>
      </c>
      <c r="O127" s="116" t="s">
        <v>1788</v>
      </c>
    </row>
    <row r="128" spans="1:15" s="117" customFormat="1" ht="15" hidden="1">
      <c r="A128" s="121">
        <v>46267</v>
      </c>
      <c r="B128" s="115" t="s">
        <v>1863</v>
      </c>
      <c r="C128" s="118" t="s">
        <v>1865</v>
      </c>
      <c r="D128" s="119" t="s">
        <v>1867</v>
      </c>
      <c r="E128" s="115" t="s">
        <v>1830</v>
      </c>
      <c r="F128" s="116">
        <v>1</v>
      </c>
      <c r="G128" s="114"/>
      <c r="H128" s="114">
        <v>46267</v>
      </c>
      <c r="I128" s="116" t="s">
        <v>1925</v>
      </c>
      <c r="J128" s="116" t="s">
        <v>1827</v>
      </c>
      <c r="K128" s="116" t="s">
        <v>1812</v>
      </c>
      <c r="L128" s="122"/>
      <c r="M128" s="116"/>
      <c r="N128" s="116" t="s">
        <v>1788</v>
      </c>
      <c r="O128" s="116" t="s">
        <v>1788</v>
      </c>
    </row>
    <row r="129" spans="1:15" s="117" customFormat="1" ht="15" hidden="1">
      <c r="A129" s="121">
        <v>46267</v>
      </c>
      <c r="B129" s="115" t="s">
        <v>1863</v>
      </c>
      <c r="C129" s="118" t="s">
        <v>1865</v>
      </c>
      <c r="D129" s="119" t="s">
        <v>1867</v>
      </c>
      <c r="E129" s="115" t="s">
        <v>1831</v>
      </c>
      <c r="F129" s="116">
        <v>1</v>
      </c>
      <c r="G129" s="114"/>
      <c r="H129" s="114">
        <v>46267</v>
      </c>
      <c r="I129" s="116" t="s">
        <v>1925</v>
      </c>
      <c r="J129" s="116" t="s">
        <v>1827</v>
      </c>
      <c r="K129" s="116" t="s">
        <v>1812</v>
      </c>
      <c r="L129" s="122"/>
      <c r="M129" s="116"/>
      <c r="N129" s="116" t="s">
        <v>1788</v>
      </c>
      <c r="O129" s="116" t="s">
        <v>1788</v>
      </c>
    </row>
    <row r="130" spans="1:15" s="117" customFormat="1" ht="15" hidden="1">
      <c r="A130" s="121">
        <v>46266</v>
      </c>
      <c r="B130" s="115" t="s">
        <v>1861</v>
      </c>
      <c r="C130" s="118" t="s">
        <v>1868</v>
      </c>
      <c r="D130" s="119" t="s">
        <v>1869</v>
      </c>
      <c r="E130" s="115" t="s">
        <v>1791</v>
      </c>
      <c r="F130" s="116">
        <v>1</v>
      </c>
      <c r="G130" s="114"/>
      <c r="H130" s="114">
        <v>46267</v>
      </c>
      <c r="I130" s="116" t="s">
        <v>1925</v>
      </c>
      <c r="J130" s="116" t="s">
        <v>1792</v>
      </c>
      <c r="K130" s="116" t="s">
        <v>1812</v>
      </c>
      <c r="L130" s="122"/>
      <c r="M130" s="116"/>
      <c r="N130" s="116" t="s">
        <v>1788</v>
      </c>
      <c r="O130" s="116" t="s">
        <v>1788</v>
      </c>
    </row>
    <row r="131" spans="1:15" s="117" customFormat="1" ht="15" hidden="1">
      <c r="A131" s="121">
        <v>46266</v>
      </c>
      <c r="B131" s="115" t="s">
        <v>1861</v>
      </c>
      <c r="C131" s="118" t="s">
        <v>1868</v>
      </c>
      <c r="D131" s="119" t="s">
        <v>1869</v>
      </c>
      <c r="E131" s="115" t="s">
        <v>1826</v>
      </c>
      <c r="F131" s="116">
        <v>1</v>
      </c>
      <c r="G131" s="114"/>
      <c r="H131" s="114">
        <v>46266</v>
      </c>
      <c r="I131" s="116" t="s">
        <v>1925</v>
      </c>
      <c r="J131" s="116" t="s">
        <v>1827</v>
      </c>
      <c r="K131" s="116" t="s">
        <v>1812</v>
      </c>
      <c r="L131" s="122"/>
      <c r="M131" s="116"/>
      <c r="N131" s="116" t="s">
        <v>1788</v>
      </c>
      <c r="O131" s="116" t="s">
        <v>1788</v>
      </c>
    </row>
    <row r="132" spans="1:15" s="117" customFormat="1" ht="15" hidden="1">
      <c r="A132" s="121">
        <v>46266</v>
      </c>
      <c r="B132" s="115" t="s">
        <v>1861</v>
      </c>
      <c r="C132" s="118" t="s">
        <v>1868</v>
      </c>
      <c r="D132" s="119" t="s">
        <v>1869</v>
      </c>
      <c r="E132" s="115" t="s">
        <v>1828</v>
      </c>
      <c r="F132" s="116">
        <v>1</v>
      </c>
      <c r="G132" s="114"/>
      <c r="H132" s="114">
        <v>46266</v>
      </c>
      <c r="I132" s="116" t="s">
        <v>1925</v>
      </c>
      <c r="J132" s="116" t="s">
        <v>1792</v>
      </c>
      <c r="K132" s="116" t="s">
        <v>1812</v>
      </c>
      <c r="L132" s="122"/>
      <c r="M132" s="116"/>
      <c r="N132" s="116" t="s">
        <v>1788</v>
      </c>
      <c r="O132" s="116" t="s">
        <v>1788</v>
      </c>
    </row>
    <row r="133" spans="1:15" s="117" customFormat="1" ht="15" hidden="1">
      <c r="A133" s="121">
        <v>46266</v>
      </c>
      <c r="B133" s="115" t="s">
        <v>1861</v>
      </c>
      <c r="C133" s="118" t="s">
        <v>1868</v>
      </c>
      <c r="D133" s="119" t="s">
        <v>1869</v>
      </c>
      <c r="E133" s="115" t="s">
        <v>1829</v>
      </c>
      <c r="F133" s="116">
        <v>1</v>
      </c>
      <c r="G133" s="114"/>
      <c r="H133" s="114">
        <v>46266</v>
      </c>
      <c r="I133" s="116" t="s">
        <v>1925</v>
      </c>
      <c r="J133" s="116" t="s">
        <v>1827</v>
      </c>
      <c r="K133" s="116" t="s">
        <v>1812</v>
      </c>
      <c r="L133" s="122"/>
      <c r="M133" s="116"/>
      <c r="N133" s="116" t="s">
        <v>1788</v>
      </c>
      <c r="O133" s="116" t="s">
        <v>1788</v>
      </c>
    </row>
    <row r="134" spans="1:15" s="117" customFormat="1" ht="15" hidden="1">
      <c r="A134" s="121">
        <v>46266</v>
      </c>
      <c r="B134" s="115" t="s">
        <v>1861</v>
      </c>
      <c r="C134" s="118" t="s">
        <v>1868</v>
      </c>
      <c r="D134" s="119" t="s">
        <v>1869</v>
      </c>
      <c r="E134" s="115" t="s">
        <v>1830</v>
      </c>
      <c r="F134" s="116">
        <v>1</v>
      </c>
      <c r="G134" s="114"/>
      <c r="H134" s="114">
        <v>46266</v>
      </c>
      <c r="I134" s="116" t="s">
        <v>1925</v>
      </c>
      <c r="J134" s="116" t="s">
        <v>1827</v>
      </c>
      <c r="K134" s="116" t="s">
        <v>1812</v>
      </c>
      <c r="L134" s="122"/>
      <c r="M134" s="116"/>
      <c r="N134" s="116" t="s">
        <v>1788</v>
      </c>
      <c r="O134" s="116" t="s">
        <v>1788</v>
      </c>
    </row>
    <row r="135" spans="1:15" s="117" customFormat="1" ht="15" hidden="1">
      <c r="A135" s="121">
        <v>46266</v>
      </c>
      <c r="B135" s="115" t="s">
        <v>1861</v>
      </c>
      <c r="C135" s="118" t="s">
        <v>1868</v>
      </c>
      <c r="D135" s="119" t="s">
        <v>1869</v>
      </c>
      <c r="E135" s="115" t="s">
        <v>1831</v>
      </c>
      <c r="F135" s="116">
        <v>1</v>
      </c>
      <c r="G135" s="114"/>
      <c r="H135" s="114">
        <v>46266</v>
      </c>
      <c r="I135" s="116" t="s">
        <v>1925</v>
      </c>
      <c r="J135" s="116" t="s">
        <v>1827</v>
      </c>
      <c r="K135" s="116" t="s">
        <v>1812</v>
      </c>
      <c r="L135" s="122"/>
      <c r="M135" s="116"/>
      <c r="N135" s="116" t="s">
        <v>1788</v>
      </c>
      <c r="O135" s="116" t="s">
        <v>1788</v>
      </c>
    </row>
    <row r="136" spans="1:15" s="117" customFormat="1" ht="15" hidden="1">
      <c r="A136" s="121">
        <v>46262</v>
      </c>
      <c r="B136" s="115"/>
      <c r="C136" s="118"/>
      <c r="D136" s="119" t="s">
        <v>1870</v>
      </c>
      <c r="E136" s="115" t="s">
        <v>1860</v>
      </c>
      <c r="F136" s="116">
        <v>1</v>
      </c>
      <c r="G136" s="114"/>
      <c r="H136" s="114">
        <v>46262</v>
      </c>
      <c r="I136" s="116" t="s">
        <v>1871</v>
      </c>
      <c r="J136" s="116" t="s">
        <v>1822</v>
      </c>
      <c r="K136" s="116" t="s">
        <v>1872</v>
      </c>
      <c r="L136" s="122"/>
      <c r="M136" s="116">
        <v>2026082801</v>
      </c>
      <c r="N136" s="116" t="s">
        <v>1788</v>
      </c>
      <c r="O136" s="116" t="s">
        <v>1788</v>
      </c>
    </row>
    <row r="137" spans="1:15" s="117" customFormat="1" ht="15">
      <c r="A137" s="121">
        <v>46262</v>
      </c>
      <c r="B137" s="115" t="s">
        <v>1768</v>
      </c>
      <c r="C137" s="116" t="s">
        <v>1782</v>
      </c>
      <c r="D137" s="115" t="s">
        <v>1783</v>
      </c>
      <c r="E137" s="115" t="s">
        <v>1823</v>
      </c>
      <c r="F137" s="116">
        <v>1</v>
      </c>
      <c r="G137" s="114"/>
      <c r="H137" s="114">
        <v>46262</v>
      </c>
      <c r="I137" s="116" t="s">
        <v>1864</v>
      </c>
      <c r="J137" s="116" t="s">
        <v>1790</v>
      </c>
      <c r="K137" s="116" t="s">
        <v>1812</v>
      </c>
      <c r="L137" s="122"/>
      <c r="M137" s="116"/>
      <c r="N137" s="116" t="s">
        <v>1788</v>
      </c>
    </row>
    <row r="138" spans="1:15" s="117" customFormat="1" ht="15" hidden="1">
      <c r="A138" s="121">
        <v>46261</v>
      </c>
      <c r="B138" s="115"/>
      <c r="C138" s="118"/>
      <c r="D138" s="119"/>
      <c r="E138" s="115" t="s">
        <v>1859</v>
      </c>
      <c r="F138" s="116">
        <v>1</v>
      </c>
      <c r="G138" s="114"/>
      <c r="H138" s="114">
        <v>46261</v>
      </c>
      <c r="I138" s="116" t="s">
        <v>1871</v>
      </c>
      <c r="J138" s="116" t="s">
        <v>1786</v>
      </c>
      <c r="K138" s="116" t="s">
        <v>1872</v>
      </c>
      <c r="L138" s="122"/>
      <c r="M138" s="116">
        <v>2026082701</v>
      </c>
      <c r="N138" s="116" t="s">
        <v>1788</v>
      </c>
      <c r="O138" s="116" t="s">
        <v>1788</v>
      </c>
    </row>
    <row r="139" spans="1:15" s="117" customFormat="1" ht="15">
      <c r="A139" s="121">
        <v>46260</v>
      </c>
      <c r="B139" s="115" t="s">
        <v>1768</v>
      </c>
      <c r="C139" s="116" t="s">
        <v>1782</v>
      </c>
      <c r="D139" s="115" t="s">
        <v>1783</v>
      </c>
      <c r="E139" s="115" t="s">
        <v>1791</v>
      </c>
      <c r="F139" s="116">
        <v>5</v>
      </c>
      <c r="G139" s="114"/>
      <c r="H139" s="114">
        <v>46260</v>
      </c>
      <c r="I139" s="116" t="s">
        <v>1864</v>
      </c>
      <c r="J139" s="116" t="s">
        <v>1792</v>
      </c>
      <c r="K139" s="116" t="s">
        <v>1812</v>
      </c>
      <c r="L139" s="122"/>
      <c r="M139" s="116"/>
      <c r="N139" s="116" t="s">
        <v>1788</v>
      </c>
    </row>
    <row r="140" spans="1:15" s="117" customFormat="1" ht="15">
      <c r="A140" s="121">
        <v>46260</v>
      </c>
      <c r="B140" s="115" t="s">
        <v>1768</v>
      </c>
      <c r="C140" s="116" t="s">
        <v>1782</v>
      </c>
      <c r="D140" s="115" t="s">
        <v>1783</v>
      </c>
      <c r="E140" s="115" t="s">
        <v>1826</v>
      </c>
      <c r="F140" s="116">
        <v>5</v>
      </c>
      <c r="G140" s="114"/>
      <c r="H140" s="114">
        <v>46260</v>
      </c>
      <c r="I140" s="116" t="s">
        <v>1864</v>
      </c>
      <c r="J140" s="116" t="s">
        <v>1827</v>
      </c>
      <c r="K140" s="116" t="s">
        <v>1812</v>
      </c>
      <c r="L140" s="122"/>
      <c r="M140" s="116"/>
      <c r="N140" s="116" t="s">
        <v>1788</v>
      </c>
    </row>
    <row r="141" spans="1:15" s="117" customFormat="1" ht="15">
      <c r="A141" s="121">
        <v>46260</v>
      </c>
      <c r="B141" s="115" t="s">
        <v>1768</v>
      </c>
      <c r="C141" s="116" t="s">
        <v>1782</v>
      </c>
      <c r="D141" s="115" t="s">
        <v>1783</v>
      </c>
      <c r="E141" s="115" t="s">
        <v>1828</v>
      </c>
      <c r="F141" s="116">
        <v>5</v>
      </c>
      <c r="G141" s="114"/>
      <c r="H141" s="114">
        <v>46260</v>
      </c>
      <c r="I141" s="116" t="s">
        <v>1864</v>
      </c>
      <c r="J141" s="116" t="s">
        <v>1792</v>
      </c>
      <c r="K141" s="116" t="s">
        <v>1812</v>
      </c>
      <c r="L141" s="122"/>
      <c r="M141" s="116"/>
      <c r="N141" s="116" t="s">
        <v>1788</v>
      </c>
    </row>
    <row r="142" spans="1:15" s="117" customFormat="1" ht="15">
      <c r="A142" s="121">
        <v>46260</v>
      </c>
      <c r="B142" s="115" t="s">
        <v>1768</v>
      </c>
      <c r="C142" s="116" t="s">
        <v>1782</v>
      </c>
      <c r="D142" s="115" t="s">
        <v>1783</v>
      </c>
      <c r="E142" s="115" t="s">
        <v>1829</v>
      </c>
      <c r="F142" s="116">
        <v>5</v>
      </c>
      <c r="G142" s="114"/>
      <c r="H142" s="114">
        <v>46260</v>
      </c>
      <c r="I142" s="116" t="s">
        <v>1864</v>
      </c>
      <c r="J142" s="116" t="s">
        <v>1827</v>
      </c>
      <c r="K142" s="116" t="s">
        <v>1812</v>
      </c>
      <c r="L142" s="122"/>
      <c r="M142" s="116"/>
      <c r="N142" s="116" t="s">
        <v>1788</v>
      </c>
    </row>
    <row r="143" spans="1:15" s="117" customFormat="1" ht="15">
      <c r="A143" s="121">
        <v>46260</v>
      </c>
      <c r="B143" s="115" t="s">
        <v>1768</v>
      </c>
      <c r="C143" s="116" t="s">
        <v>1782</v>
      </c>
      <c r="D143" s="115" t="s">
        <v>1783</v>
      </c>
      <c r="E143" s="115" t="s">
        <v>1830</v>
      </c>
      <c r="F143" s="116">
        <v>5</v>
      </c>
      <c r="G143" s="114"/>
      <c r="H143" s="114">
        <v>46260</v>
      </c>
      <c r="I143" s="116" t="s">
        <v>1864</v>
      </c>
      <c r="J143" s="116" t="s">
        <v>1827</v>
      </c>
      <c r="K143" s="116" t="s">
        <v>1812</v>
      </c>
      <c r="L143" s="122"/>
      <c r="M143" s="116"/>
      <c r="N143" s="116" t="s">
        <v>1788</v>
      </c>
    </row>
    <row r="144" spans="1:15" s="117" customFormat="1" ht="15">
      <c r="A144" s="121">
        <v>46260</v>
      </c>
      <c r="B144" s="115" t="s">
        <v>1768</v>
      </c>
      <c r="C144" s="116" t="s">
        <v>1782</v>
      </c>
      <c r="D144" s="115" t="s">
        <v>1783</v>
      </c>
      <c r="E144" s="115" t="s">
        <v>1831</v>
      </c>
      <c r="F144" s="116">
        <v>5</v>
      </c>
      <c r="G144" s="114"/>
      <c r="H144" s="114">
        <v>46260</v>
      </c>
      <c r="I144" s="116" t="s">
        <v>1864</v>
      </c>
      <c r="J144" s="116" t="s">
        <v>1827</v>
      </c>
      <c r="K144" s="116" t="s">
        <v>1812</v>
      </c>
      <c r="L144" s="122"/>
      <c r="M144" s="116"/>
      <c r="N144" s="116" t="s">
        <v>1788</v>
      </c>
    </row>
    <row r="145" spans="1:15" s="117" customFormat="1" ht="15" hidden="1">
      <c r="A145" s="121">
        <v>46259</v>
      </c>
      <c r="B145" s="115" t="s">
        <v>1857</v>
      </c>
      <c r="C145" s="118" t="s">
        <v>1873</v>
      </c>
      <c r="D145" s="119" t="s">
        <v>1874</v>
      </c>
      <c r="E145" s="115" t="s">
        <v>1791</v>
      </c>
      <c r="F145" s="116">
        <v>1</v>
      </c>
      <c r="G145" s="114"/>
      <c r="H145" s="114">
        <v>46259</v>
      </c>
      <c r="I145" s="116" t="s">
        <v>1925</v>
      </c>
      <c r="J145" s="116" t="s">
        <v>1792</v>
      </c>
      <c r="K145" s="116" t="s">
        <v>1812</v>
      </c>
      <c r="L145" s="122"/>
      <c r="M145" s="116"/>
      <c r="N145" s="116" t="s">
        <v>1788</v>
      </c>
      <c r="O145" s="116" t="s">
        <v>1788</v>
      </c>
    </row>
    <row r="146" spans="1:15" s="117" customFormat="1" ht="15" hidden="1">
      <c r="A146" s="121">
        <v>46259</v>
      </c>
      <c r="B146" s="115" t="s">
        <v>1857</v>
      </c>
      <c r="C146" s="118" t="s">
        <v>1873</v>
      </c>
      <c r="D146" s="119" t="s">
        <v>1874</v>
      </c>
      <c r="E146" s="115" t="s">
        <v>1826</v>
      </c>
      <c r="F146" s="116">
        <v>1</v>
      </c>
      <c r="G146" s="114"/>
      <c r="H146" s="114">
        <v>46259</v>
      </c>
      <c r="I146" s="116" t="s">
        <v>1925</v>
      </c>
      <c r="J146" s="116" t="s">
        <v>1827</v>
      </c>
      <c r="K146" s="116" t="s">
        <v>1812</v>
      </c>
      <c r="L146" s="122"/>
      <c r="M146" s="116"/>
      <c r="N146" s="116" t="s">
        <v>1788</v>
      </c>
      <c r="O146" s="116" t="s">
        <v>1788</v>
      </c>
    </row>
    <row r="147" spans="1:15" s="117" customFormat="1" ht="15" hidden="1">
      <c r="A147" s="121">
        <v>46259</v>
      </c>
      <c r="B147" s="115" t="s">
        <v>1857</v>
      </c>
      <c r="C147" s="118" t="s">
        <v>1873</v>
      </c>
      <c r="D147" s="119" t="s">
        <v>1874</v>
      </c>
      <c r="E147" s="115" t="s">
        <v>1828</v>
      </c>
      <c r="F147" s="116">
        <v>1</v>
      </c>
      <c r="G147" s="114"/>
      <c r="H147" s="114">
        <v>46259</v>
      </c>
      <c r="I147" s="116" t="s">
        <v>1925</v>
      </c>
      <c r="J147" s="116" t="s">
        <v>1792</v>
      </c>
      <c r="K147" s="116" t="s">
        <v>1812</v>
      </c>
      <c r="L147" s="122"/>
      <c r="M147" s="116"/>
      <c r="N147" s="116" t="s">
        <v>1788</v>
      </c>
      <c r="O147" s="116" t="s">
        <v>1788</v>
      </c>
    </row>
    <row r="148" spans="1:15" s="117" customFormat="1" ht="15" hidden="1">
      <c r="A148" s="121">
        <v>46259</v>
      </c>
      <c r="B148" s="115" t="s">
        <v>1857</v>
      </c>
      <c r="C148" s="118" t="s">
        <v>1873</v>
      </c>
      <c r="D148" s="119" t="s">
        <v>1874</v>
      </c>
      <c r="E148" s="115" t="s">
        <v>1829</v>
      </c>
      <c r="F148" s="116">
        <v>1</v>
      </c>
      <c r="G148" s="114"/>
      <c r="H148" s="114">
        <v>46259</v>
      </c>
      <c r="I148" s="116" t="s">
        <v>1925</v>
      </c>
      <c r="J148" s="116" t="s">
        <v>1827</v>
      </c>
      <c r="K148" s="116" t="s">
        <v>1812</v>
      </c>
      <c r="L148" s="122"/>
      <c r="M148" s="116"/>
      <c r="N148" s="116" t="s">
        <v>1788</v>
      </c>
      <c r="O148" s="116" t="s">
        <v>1788</v>
      </c>
    </row>
    <row r="149" spans="1:15" s="117" customFormat="1" ht="15" hidden="1">
      <c r="A149" s="121">
        <v>46259</v>
      </c>
      <c r="B149" s="115" t="s">
        <v>1857</v>
      </c>
      <c r="C149" s="118" t="s">
        <v>1873</v>
      </c>
      <c r="D149" s="119" t="s">
        <v>1874</v>
      </c>
      <c r="E149" s="115" t="s">
        <v>1830</v>
      </c>
      <c r="F149" s="116">
        <v>1</v>
      </c>
      <c r="G149" s="114"/>
      <c r="H149" s="114">
        <v>46259</v>
      </c>
      <c r="I149" s="116" t="s">
        <v>1925</v>
      </c>
      <c r="J149" s="116" t="s">
        <v>1827</v>
      </c>
      <c r="K149" s="116" t="s">
        <v>1812</v>
      </c>
      <c r="L149" s="122"/>
      <c r="M149" s="116"/>
      <c r="N149" s="116" t="s">
        <v>1788</v>
      </c>
      <c r="O149" s="116" t="s">
        <v>1788</v>
      </c>
    </row>
    <row r="150" spans="1:15" s="117" customFormat="1" ht="15" hidden="1">
      <c r="A150" s="121">
        <v>46259</v>
      </c>
      <c r="B150" s="115" t="s">
        <v>1857</v>
      </c>
      <c r="C150" s="118" t="s">
        <v>1873</v>
      </c>
      <c r="D150" s="119" t="s">
        <v>1874</v>
      </c>
      <c r="E150" s="115" t="s">
        <v>1831</v>
      </c>
      <c r="F150" s="116">
        <v>1</v>
      </c>
      <c r="G150" s="114"/>
      <c r="H150" s="114">
        <v>46259</v>
      </c>
      <c r="I150" s="116" t="s">
        <v>1925</v>
      </c>
      <c r="J150" s="116" t="s">
        <v>1827</v>
      </c>
      <c r="K150" s="116" t="s">
        <v>1812</v>
      </c>
      <c r="L150" s="122"/>
      <c r="M150" s="116"/>
      <c r="N150" s="116" t="s">
        <v>1788</v>
      </c>
      <c r="O150" s="116" t="s">
        <v>1788</v>
      </c>
    </row>
    <row r="151" spans="1:15" s="117" customFormat="1" ht="15" hidden="1">
      <c r="A151" s="121">
        <v>46259</v>
      </c>
      <c r="B151" s="115" t="s">
        <v>1858</v>
      </c>
      <c r="C151" s="118" t="s">
        <v>1875</v>
      </c>
      <c r="D151" s="119" t="s">
        <v>1876</v>
      </c>
      <c r="E151" s="115" t="s">
        <v>1791</v>
      </c>
      <c r="F151" s="116">
        <v>1</v>
      </c>
      <c r="G151" s="114"/>
      <c r="H151" s="114">
        <v>46259</v>
      </c>
      <c r="I151" s="116" t="s">
        <v>1925</v>
      </c>
      <c r="J151" s="116" t="s">
        <v>1792</v>
      </c>
      <c r="K151" s="116" t="s">
        <v>1812</v>
      </c>
      <c r="L151" s="122"/>
      <c r="M151" s="116"/>
      <c r="N151" s="116" t="s">
        <v>1788</v>
      </c>
      <c r="O151" s="116" t="s">
        <v>1788</v>
      </c>
    </row>
    <row r="152" spans="1:15" s="117" customFormat="1" ht="15" hidden="1">
      <c r="A152" s="121">
        <v>46259</v>
      </c>
      <c r="B152" s="115" t="s">
        <v>1858</v>
      </c>
      <c r="C152" s="118" t="s">
        <v>1875</v>
      </c>
      <c r="D152" s="119" t="s">
        <v>1876</v>
      </c>
      <c r="E152" s="115" t="s">
        <v>1826</v>
      </c>
      <c r="F152" s="116">
        <v>1</v>
      </c>
      <c r="G152" s="114"/>
      <c r="H152" s="114">
        <v>46259</v>
      </c>
      <c r="I152" s="116" t="s">
        <v>1925</v>
      </c>
      <c r="J152" s="116" t="s">
        <v>1827</v>
      </c>
      <c r="K152" s="116" t="s">
        <v>1812</v>
      </c>
      <c r="L152" s="122"/>
      <c r="M152" s="116"/>
      <c r="N152" s="116" t="s">
        <v>1788</v>
      </c>
      <c r="O152" s="116" t="s">
        <v>1788</v>
      </c>
    </row>
    <row r="153" spans="1:15" s="117" customFormat="1" ht="15" hidden="1">
      <c r="A153" s="121">
        <v>46259</v>
      </c>
      <c r="B153" s="115" t="s">
        <v>1858</v>
      </c>
      <c r="C153" s="118" t="s">
        <v>1875</v>
      </c>
      <c r="D153" s="119" t="s">
        <v>1876</v>
      </c>
      <c r="E153" s="115" t="s">
        <v>1828</v>
      </c>
      <c r="F153" s="116">
        <v>1</v>
      </c>
      <c r="G153" s="114"/>
      <c r="H153" s="114">
        <v>46259</v>
      </c>
      <c r="I153" s="116" t="s">
        <v>1925</v>
      </c>
      <c r="J153" s="116" t="s">
        <v>1792</v>
      </c>
      <c r="K153" s="116" t="s">
        <v>1812</v>
      </c>
      <c r="L153" s="122"/>
      <c r="M153" s="116"/>
      <c r="N153" s="116" t="s">
        <v>1788</v>
      </c>
      <c r="O153" s="116" t="s">
        <v>1788</v>
      </c>
    </row>
    <row r="154" spans="1:15" s="117" customFormat="1" ht="15" hidden="1">
      <c r="A154" s="121">
        <v>46259</v>
      </c>
      <c r="B154" s="115" t="s">
        <v>1858</v>
      </c>
      <c r="C154" s="118" t="s">
        <v>1875</v>
      </c>
      <c r="D154" s="119" t="s">
        <v>1876</v>
      </c>
      <c r="E154" s="115" t="s">
        <v>1829</v>
      </c>
      <c r="F154" s="116">
        <v>1</v>
      </c>
      <c r="G154" s="114"/>
      <c r="H154" s="114">
        <v>46259</v>
      </c>
      <c r="I154" s="116" t="s">
        <v>1925</v>
      </c>
      <c r="J154" s="116" t="s">
        <v>1827</v>
      </c>
      <c r="K154" s="116" t="s">
        <v>1812</v>
      </c>
      <c r="L154" s="122"/>
      <c r="M154" s="116"/>
      <c r="N154" s="116" t="s">
        <v>1788</v>
      </c>
      <c r="O154" s="116" t="s">
        <v>1788</v>
      </c>
    </row>
    <row r="155" spans="1:15" s="117" customFormat="1" ht="15" hidden="1">
      <c r="A155" s="121">
        <v>46259</v>
      </c>
      <c r="B155" s="115" t="s">
        <v>1858</v>
      </c>
      <c r="C155" s="118" t="s">
        <v>1875</v>
      </c>
      <c r="D155" s="119" t="s">
        <v>1876</v>
      </c>
      <c r="E155" s="115" t="s">
        <v>1830</v>
      </c>
      <c r="F155" s="116">
        <v>1</v>
      </c>
      <c r="G155" s="114"/>
      <c r="H155" s="114">
        <v>46259</v>
      </c>
      <c r="I155" s="116" t="s">
        <v>1925</v>
      </c>
      <c r="J155" s="116" t="s">
        <v>1827</v>
      </c>
      <c r="K155" s="116" t="s">
        <v>1812</v>
      </c>
      <c r="L155" s="122"/>
      <c r="M155" s="116"/>
      <c r="N155" s="116" t="s">
        <v>1788</v>
      </c>
      <c r="O155" s="116" t="s">
        <v>1788</v>
      </c>
    </row>
    <row r="156" spans="1:15" s="117" customFormat="1" ht="15" hidden="1">
      <c r="A156" s="121">
        <v>46259</v>
      </c>
      <c r="B156" s="115" t="s">
        <v>1858</v>
      </c>
      <c r="C156" s="118" t="s">
        <v>1875</v>
      </c>
      <c r="D156" s="119" t="s">
        <v>1876</v>
      </c>
      <c r="E156" s="115" t="s">
        <v>1831</v>
      </c>
      <c r="F156" s="116">
        <v>1</v>
      </c>
      <c r="G156" s="114"/>
      <c r="H156" s="114">
        <v>46259</v>
      </c>
      <c r="I156" s="116" t="s">
        <v>1925</v>
      </c>
      <c r="J156" s="116" t="s">
        <v>1827</v>
      </c>
      <c r="K156" s="116" t="s">
        <v>1812</v>
      </c>
      <c r="L156" s="122"/>
      <c r="M156" s="116"/>
      <c r="N156" s="116" t="s">
        <v>1788</v>
      </c>
      <c r="O156" s="116" t="s">
        <v>1788</v>
      </c>
    </row>
    <row r="157" spans="1:15" s="117" customFormat="1" ht="15">
      <c r="A157" s="121">
        <v>46258</v>
      </c>
      <c r="B157" s="115"/>
      <c r="C157" s="118"/>
      <c r="D157" s="119" t="s">
        <v>1854</v>
      </c>
      <c r="E157" s="115" t="s">
        <v>1848</v>
      </c>
      <c r="F157" s="116">
        <v>1</v>
      </c>
      <c r="G157" s="114"/>
      <c r="H157" s="114">
        <v>46255</v>
      </c>
      <c r="I157" s="116" t="s">
        <v>1871</v>
      </c>
      <c r="J157" s="116"/>
      <c r="K157" s="116" t="s">
        <v>1819</v>
      </c>
      <c r="L157" s="122"/>
      <c r="M157" s="118" t="s">
        <v>1849</v>
      </c>
      <c r="N157" s="116" t="s">
        <v>1788</v>
      </c>
    </row>
    <row r="158" spans="1:15" s="117" customFormat="1" ht="15" hidden="1">
      <c r="A158" s="121">
        <v>46258</v>
      </c>
      <c r="B158" s="115" t="s">
        <v>1847</v>
      </c>
      <c r="C158" s="118" t="s">
        <v>1855</v>
      </c>
      <c r="D158" s="119" t="s">
        <v>1856</v>
      </c>
      <c r="E158" s="115" t="s">
        <v>1791</v>
      </c>
      <c r="F158" s="116">
        <v>1</v>
      </c>
      <c r="G158" s="114"/>
      <c r="H158" s="114">
        <v>46258</v>
      </c>
      <c r="I158" s="116" t="s">
        <v>1925</v>
      </c>
      <c r="J158" s="116" t="s">
        <v>1792</v>
      </c>
      <c r="K158" s="116" t="s">
        <v>1812</v>
      </c>
      <c r="L158" s="122"/>
      <c r="M158" s="116"/>
      <c r="N158" s="116" t="s">
        <v>1788</v>
      </c>
      <c r="O158" s="116" t="s">
        <v>1788</v>
      </c>
    </row>
    <row r="159" spans="1:15" s="117" customFormat="1" ht="15" hidden="1">
      <c r="A159" s="121">
        <v>46258</v>
      </c>
      <c r="B159" s="115" t="s">
        <v>1847</v>
      </c>
      <c r="C159" s="118" t="s">
        <v>1855</v>
      </c>
      <c r="D159" s="119" t="s">
        <v>1856</v>
      </c>
      <c r="E159" s="115" t="s">
        <v>1826</v>
      </c>
      <c r="F159" s="116">
        <v>1</v>
      </c>
      <c r="G159" s="114"/>
      <c r="H159" s="114">
        <v>46258</v>
      </c>
      <c r="I159" s="116" t="s">
        <v>1925</v>
      </c>
      <c r="J159" s="116" t="s">
        <v>1827</v>
      </c>
      <c r="K159" s="116" t="s">
        <v>1812</v>
      </c>
      <c r="L159" s="122"/>
      <c r="M159" s="116"/>
      <c r="N159" s="116" t="s">
        <v>1788</v>
      </c>
      <c r="O159" s="116" t="s">
        <v>1788</v>
      </c>
    </row>
    <row r="160" spans="1:15" s="117" customFormat="1" ht="15" hidden="1">
      <c r="A160" s="121">
        <v>46258</v>
      </c>
      <c r="B160" s="115" t="s">
        <v>1847</v>
      </c>
      <c r="C160" s="118" t="s">
        <v>1855</v>
      </c>
      <c r="D160" s="119" t="s">
        <v>1856</v>
      </c>
      <c r="E160" s="115" t="s">
        <v>1828</v>
      </c>
      <c r="F160" s="116">
        <v>1</v>
      </c>
      <c r="G160" s="114"/>
      <c r="H160" s="114">
        <v>46258</v>
      </c>
      <c r="I160" s="116" t="s">
        <v>1925</v>
      </c>
      <c r="J160" s="116" t="s">
        <v>1792</v>
      </c>
      <c r="K160" s="116" t="s">
        <v>1812</v>
      </c>
      <c r="L160" s="122"/>
      <c r="M160" s="116"/>
      <c r="N160" s="116" t="s">
        <v>1788</v>
      </c>
      <c r="O160" s="116" t="s">
        <v>1788</v>
      </c>
    </row>
    <row r="161" spans="1:15" s="117" customFormat="1" ht="15" hidden="1">
      <c r="A161" s="121">
        <v>46258</v>
      </c>
      <c r="B161" s="115" t="s">
        <v>1847</v>
      </c>
      <c r="C161" s="118" t="s">
        <v>1855</v>
      </c>
      <c r="D161" s="119" t="s">
        <v>1856</v>
      </c>
      <c r="E161" s="115" t="s">
        <v>1829</v>
      </c>
      <c r="F161" s="116">
        <v>1</v>
      </c>
      <c r="G161" s="114"/>
      <c r="H161" s="114">
        <v>46258</v>
      </c>
      <c r="I161" s="116" t="s">
        <v>1925</v>
      </c>
      <c r="J161" s="116" t="s">
        <v>1827</v>
      </c>
      <c r="K161" s="116" t="s">
        <v>1812</v>
      </c>
      <c r="L161" s="122"/>
      <c r="M161" s="116"/>
      <c r="N161" s="116" t="s">
        <v>1788</v>
      </c>
      <c r="O161" s="116" t="s">
        <v>1788</v>
      </c>
    </row>
    <row r="162" spans="1:15" s="117" customFormat="1" ht="15" hidden="1">
      <c r="A162" s="121">
        <v>46258</v>
      </c>
      <c r="B162" s="115" t="s">
        <v>1847</v>
      </c>
      <c r="C162" s="118" t="s">
        <v>1855</v>
      </c>
      <c r="D162" s="119" t="s">
        <v>1856</v>
      </c>
      <c r="E162" s="115" t="s">
        <v>1830</v>
      </c>
      <c r="F162" s="116">
        <v>1</v>
      </c>
      <c r="G162" s="114"/>
      <c r="H162" s="114">
        <v>46258</v>
      </c>
      <c r="I162" s="116" t="s">
        <v>1925</v>
      </c>
      <c r="J162" s="116" t="s">
        <v>1827</v>
      </c>
      <c r="K162" s="116" t="s">
        <v>1812</v>
      </c>
      <c r="L162" s="122"/>
      <c r="M162" s="116"/>
      <c r="N162" s="116" t="s">
        <v>1788</v>
      </c>
      <c r="O162" s="116" t="s">
        <v>1788</v>
      </c>
    </row>
    <row r="163" spans="1:15" s="117" customFormat="1" ht="15" hidden="1">
      <c r="A163" s="121">
        <v>46258</v>
      </c>
      <c r="B163" s="115" t="s">
        <v>1847</v>
      </c>
      <c r="C163" s="118" t="s">
        <v>1855</v>
      </c>
      <c r="D163" s="119" t="s">
        <v>1856</v>
      </c>
      <c r="E163" s="115" t="s">
        <v>1831</v>
      </c>
      <c r="F163" s="116">
        <v>1</v>
      </c>
      <c r="G163" s="114"/>
      <c r="H163" s="114">
        <v>46258</v>
      </c>
      <c r="I163" s="116" t="s">
        <v>1925</v>
      </c>
      <c r="J163" s="116" t="s">
        <v>1827</v>
      </c>
      <c r="K163" s="116" t="s">
        <v>1812</v>
      </c>
      <c r="L163" s="122"/>
      <c r="M163" s="116"/>
      <c r="N163" s="116" t="s">
        <v>1788</v>
      </c>
      <c r="O163" s="116" t="s">
        <v>1788</v>
      </c>
    </row>
    <row r="164" spans="1:15" s="117" customFormat="1" ht="15" hidden="1">
      <c r="A164" s="121">
        <v>46253</v>
      </c>
      <c r="B164" s="115" t="s">
        <v>1844</v>
      </c>
      <c r="C164" s="118" t="s">
        <v>1845</v>
      </c>
      <c r="D164" s="119" t="s">
        <v>1846</v>
      </c>
      <c r="E164" s="115" t="s">
        <v>1791</v>
      </c>
      <c r="F164" s="116">
        <v>1</v>
      </c>
      <c r="G164" s="114"/>
      <c r="H164" s="114">
        <v>46253</v>
      </c>
      <c r="I164" s="116" t="s">
        <v>1925</v>
      </c>
      <c r="J164" s="116" t="s">
        <v>1792</v>
      </c>
      <c r="K164" s="116" t="s">
        <v>1812</v>
      </c>
      <c r="L164" s="122"/>
      <c r="M164" s="116"/>
      <c r="N164" s="116" t="s">
        <v>1788</v>
      </c>
      <c r="O164" s="116" t="s">
        <v>1788</v>
      </c>
    </row>
    <row r="165" spans="1:15" s="117" customFormat="1" ht="15" hidden="1">
      <c r="A165" s="121">
        <v>46253</v>
      </c>
      <c r="B165" s="115" t="s">
        <v>1844</v>
      </c>
      <c r="C165" s="118" t="s">
        <v>1845</v>
      </c>
      <c r="D165" s="119" t="s">
        <v>1846</v>
      </c>
      <c r="E165" s="115" t="s">
        <v>1826</v>
      </c>
      <c r="F165" s="116">
        <v>1</v>
      </c>
      <c r="G165" s="114"/>
      <c r="H165" s="114">
        <v>46253</v>
      </c>
      <c r="I165" s="116" t="s">
        <v>1925</v>
      </c>
      <c r="J165" s="116" t="s">
        <v>1827</v>
      </c>
      <c r="K165" s="116" t="s">
        <v>1812</v>
      </c>
      <c r="L165" s="122"/>
      <c r="M165" s="116"/>
      <c r="N165" s="116" t="s">
        <v>1788</v>
      </c>
      <c r="O165" s="116" t="s">
        <v>1788</v>
      </c>
    </row>
    <row r="166" spans="1:15" s="117" customFormat="1" ht="15" hidden="1">
      <c r="A166" s="121">
        <v>46253</v>
      </c>
      <c r="B166" s="115" t="s">
        <v>1844</v>
      </c>
      <c r="C166" s="118" t="s">
        <v>1845</v>
      </c>
      <c r="D166" s="119" t="s">
        <v>1846</v>
      </c>
      <c r="E166" s="115" t="s">
        <v>1828</v>
      </c>
      <c r="F166" s="116">
        <v>1</v>
      </c>
      <c r="G166" s="114"/>
      <c r="H166" s="114">
        <v>46253</v>
      </c>
      <c r="I166" s="116" t="s">
        <v>1925</v>
      </c>
      <c r="J166" s="116" t="s">
        <v>1792</v>
      </c>
      <c r="K166" s="116" t="s">
        <v>1812</v>
      </c>
      <c r="L166" s="122"/>
      <c r="M166" s="116"/>
      <c r="N166" s="116" t="s">
        <v>1788</v>
      </c>
      <c r="O166" s="116" t="s">
        <v>1788</v>
      </c>
    </row>
    <row r="167" spans="1:15" s="117" customFormat="1" ht="15" hidden="1">
      <c r="A167" s="121">
        <v>46253</v>
      </c>
      <c r="B167" s="115" t="s">
        <v>1844</v>
      </c>
      <c r="C167" s="118" t="s">
        <v>1845</v>
      </c>
      <c r="D167" s="119" t="s">
        <v>1846</v>
      </c>
      <c r="E167" s="115" t="s">
        <v>1829</v>
      </c>
      <c r="F167" s="116">
        <v>1</v>
      </c>
      <c r="G167" s="114"/>
      <c r="H167" s="114">
        <v>46253</v>
      </c>
      <c r="I167" s="116" t="s">
        <v>1925</v>
      </c>
      <c r="J167" s="116" t="s">
        <v>1827</v>
      </c>
      <c r="K167" s="116" t="s">
        <v>1812</v>
      </c>
      <c r="L167" s="122"/>
      <c r="M167" s="116"/>
      <c r="N167" s="116" t="s">
        <v>1788</v>
      </c>
      <c r="O167" s="116" t="s">
        <v>1788</v>
      </c>
    </row>
    <row r="168" spans="1:15" s="117" customFormat="1" ht="15" hidden="1">
      <c r="A168" s="121">
        <v>46253</v>
      </c>
      <c r="B168" s="115" t="s">
        <v>1844</v>
      </c>
      <c r="C168" s="118" t="s">
        <v>1845</v>
      </c>
      <c r="D168" s="119" t="s">
        <v>1846</v>
      </c>
      <c r="E168" s="115" t="s">
        <v>1830</v>
      </c>
      <c r="F168" s="116">
        <v>1</v>
      </c>
      <c r="G168" s="114"/>
      <c r="H168" s="114">
        <v>46253</v>
      </c>
      <c r="I168" s="116" t="s">
        <v>1925</v>
      </c>
      <c r="J168" s="116" t="s">
        <v>1827</v>
      </c>
      <c r="K168" s="116" t="s">
        <v>1812</v>
      </c>
      <c r="L168" s="122"/>
      <c r="M168" s="116"/>
      <c r="N168" s="116" t="s">
        <v>1788</v>
      </c>
      <c r="O168" s="116" t="s">
        <v>1788</v>
      </c>
    </row>
    <row r="169" spans="1:15" s="117" customFormat="1" ht="15" hidden="1">
      <c r="A169" s="121">
        <v>46253</v>
      </c>
      <c r="B169" s="115" t="s">
        <v>1844</v>
      </c>
      <c r="C169" s="118" t="s">
        <v>1845</v>
      </c>
      <c r="D169" s="119" t="s">
        <v>1846</v>
      </c>
      <c r="E169" s="115" t="s">
        <v>1831</v>
      </c>
      <c r="F169" s="116">
        <v>1</v>
      </c>
      <c r="G169" s="114"/>
      <c r="H169" s="114">
        <v>46253</v>
      </c>
      <c r="I169" s="116" t="s">
        <v>1925</v>
      </c>
      <c r="J169" s="116" t="s">
        <v>1827</v>
      </c>
      <c r="K169" s="116" t="s">
        <v>1812</v>
      </c>
      <c r="L169" s="122"/>
      <c r="M169" s="116"/>
      <c r="N169" s="116" t="s">
        <v>1788</v>
      </c>
      <c r="O169" s="116" t="s">
        <v>1788</v>
      </c>
    </row>
    <row r="170" spans="1:15" s="117" customFormat="1" ht="15" hidden="1">
      <c r="A170" s="121">
        <v>46251</v>
      </c>
      <c r="B170" s="115" t="s">
        <v>1833</v>
      </c>
      <c r="C170" s="118" t="s">
        <v>1835</v>
      </c>
      <c r="D170" s="119" t="s">
        <v>1836</v>
      </c>
      <c r="E170" s="115" t="s">
        <v>1791</v>
      </c>
      <c r="F170" s="116">
        <v>1</v>
      </c>
      <c r="G170" s="114"/>
      <c r="H170" s="114">
        <v>46251</v>
      </c>
      <c r="I170" s="116" t="s">
        <v>1925</v>
      </c>
      <c r="J170" s="116" t="s">
        <v>1792</v>
      </c>
      <c r="K170" s="116" t="s">
        <v>1812</v>
      </c>
      <c r="L170" s="122"/>
      <c r="M170" s="116"/>
      <c r="N170" s="116" t="s">
        <v>1788</v>
      </c>
      <c r="O170" s="116" t="s">
        <v>1788</v>
      </c>
    </row>
    <row r="171" spans="1:15" s="117" customFormat="1" ht="15" hidden="1">
      <c r="A171" s="121">
        <v>46251</v>
      </c>
      <c r="B171" s="115" t="s">
        <v>1833</v>
      </c>
      <c r="C171" s="118" t="s">
        <v>1835</v>
      </c>
      <c r="D171" s="119" t="s">
        <v>1836</v>
      </c>
      <c r="E171" s="115" t="s">
        <v>1826</v>
      </c>
      <c r="F171" s="116">
        <v>1</v>
      </c>
      <c r="G171" s="114"/>
      <c r="H171" s="114">
        <v>46251</v>
      </c>
      <c r="I171" s="116" t="s">
        <v>1925</v>
      </c>
      <c r="J171" s="116" t="s">
        <v>1827</v>
      </c>
      <c r="K171" s="116" t="s">
        <v>1812</v>
      </c>
      <c r="L171" s="122"/>
      <c r="M171" s="116"/>
      <c r="N171" s="116" t="s">
        <v>1788</v>
      </c>
      <c r="O171" s="116" t="s">
        <v>1788</v>
      </c>
    </row>
    <row r="172" spans="1:15" s="117" customFormat="1" ht="15" hidden="1">
      <c r="A172" s="121">
        <v>46251</v>
      </c>
      <c r="B172" s="115" t="s">
        <v>1833</v>
      </c>
      <c r="C172" s="118" t="s">
        <v>1835</v>
      </c>
      <c r="D172" s="119" t="s">
        <v>1836</v>
      </c>
      <c r="E172" s="115" t="s">
        <v>1828</v>
      </c>
      <c r="F172" s="116">
        <v>1</v>
      </c>
      <c r="G172" s="114"/>
      <c r="H172" s="114">
        <v>46251</v>
      </c>
      <c r="I172" s="116" t="s">
        <v>1925</v>
      </c>
      <c r="J172" s="116" t="s">
        <v>1792</v>
      </c>
      <c r="K172" s="116" t="s">
        <v>1812</v>
      </c>
      <c r="L172" s="122"/>
      <c r="M172" s="116"/>
      <c r="N172" s="116" t="s">
        <v>1788</v>
      </c>
      <c r="O172" s="116" t="s">
        <v>1788</v>
      </c>
    </row>
    <row r="173" spans="1:15" s="117" customFormat="1" ht="15" hidden="1">
      <c r="A173" s="121">
        <v>46251</v>
      </c>
      <c r="B173" s="115" t="s">
        <v>1833</v>
      </c>
      <c r="C173" s="118" t="s">
        <v>1835</v>
      </c>
      <c r="D173" s="119" t="s">
        <v>1836</v>
      </c>
      <c r="E173" s="115" t="s">
        <v>1829</v>
      </c>
      <c r="F173" s="116">
        <v>1</v>
      </c>
      <c r="G173" s="114"/>
      <c r="H173" s="114">
        <v>46251</v>
      </c>
      <c r="I173" s="116" t="s">
        <v>1925</v>
      </c>
      <c r="J173" s="116" t="s">
        <v>1827</v>
      </c>
      <c r="K173" s="116" t="s">
        <v>1812</v>
      </c>
      <c r="L173" s="122"/>
      <c r="M173" s="116"/>
      <c r="N173" s="116" t="s">
        <v>1788</v>
      </c>
      <c r="O173" s="116" t="s">
        <v>1788</v>
      </c>
    </row>
    <row r="174" spans="1:15" s="117" customFormat="1" ht="15" hidden="1">
      <c r="A174" s="121">
        <v>46251</v>
      </c>
      <c r="B174" s="115" t="s">
        <v>1833</v>
      </c>
      <c r="C174" s="118" t="s">
        <v>1835</v>
      </c>
      <c r="D174" s="119" t="s">
        <v>1836</v>
      </c>
      <c r="E174" s="115" t="s">
        <v>1830</v>
      </c>
      <c r="F174" s="116">
        <v>1</v>
      </c>
      <c r="G174" s="114"/>
      <c r="H174" s="114">
        <v>46251</v>
      </c>
      <c r="I174" s="116" t="s">
        <v>1925</v>
      </c>
      <c r="J174" s="116" t="s">
        <v>1827</v>
      </c>
      <c r="K174" s="116" t="s">
        <v>1812</v>
      </c>
      <c r="L174" s="122"/>
      <c r="M174" s="116"/>
      <c r="N174" s="116" t="s">
        <v>1788</v>
      </c>
      <c r="O174" s="116" t="s">
        <v>1788</v>
      </c>
    </row>
    <row r="175" spans="1:15" s="117" customFormat="1" ht="15" hidden="1">
      <c r="A175" s="121">
        <v>46251</v>
      </c>
      <c r="B175" s="115" t="s">
        <v>1833</v>
      </c>
      <c r="C175" s="118" t="s">
        <v>1835</v>
      </c>
      <c r="D175" s="119" t="s">
        <v>1836</v>
      </c>
      <c r="E175" s="115" t="s">
        <v>1831</v>
      </c>
      <c r="F175" s="116">
        <v>1</v>
      </c>
      <c r="G175" s="114"/>
      <c r="H175" s="114">
        <v>46251</v>
      </c>
      <c r="I175" s="116" t="s">
        <v>1925</v>
      </c>
      <c r="J175" s="116" t="s">
        <v>1827</v>
      </c>
      <c r="K175" s="116" t="s">
        <v>1812</v>
      </c>
      <c r="L175" s="122"/>
      <c r="M175" s="116"/>
      <c r="N175" s="116" t="s">
        <v>1788</v>
      </c>
      <c r="O175" s="116" t="s">
        <v>1788</v>
      </c>
    </row>
    <row r="176" spans="1:15" s="117" customFormat="1" ht="15">
      <c r="A176" s="121">
        <v>46246</v>
      </c>
      <c r="B176" s="115" t="s">
        <v>1825</v>
      </c>
      <c r="C176" s="118" t="s">
        <v>1837</v>
      </c>
      <c r="D176" s="119" t="s">
        <v>1838</v>
      </c>
      <c r="E176" s="115" t="s">
        <v>1791</v>
      </c>
      <c r="F176" s="116">
        <v>1</v>
      </c>
      <c r="G176" s="114"/>
      <c r="H176" s="114">
        <v>46246</v>
      </c>
      <c r="I176" s="116" t="s">
        <v>1925</v>
      </c>
      <c r="J176" s="116" t="s">
        <v>1792</v>
      </c>
      <c r="K176" s="116" t="s">
        <v>1812</v>
      </c>
      <c r="L176" s="122"/>
      <c r="M176" s="116"/>
      <c r="N176" s="116" t="s">
        <v>1788</v>
      </c>
    </row>
    <row r="177" spans="1:15" s="117" customFormat="1" ht="15">
      <c r="A177" s="121">
        <v>46246</v>
      </c>
      <c r="B177" s="115" t="s">
        <v>1825</v>
      </c>
      <c r="C177" s="118" t="s">
        <v>1837</v>
      </c>
      <c r="D177" s="119" t="s">
        <v>1838</v>
      </c>
      <c r="E177" s="115" t="s">
        <v>1826</v>
      </c>
      <c r="F177" s="116">
        <v>1</v>
      </c>
      <c r="G177" s="114"/>
      <c r="H177" s="114">
        <v>46246</v>
      </c>
      <c r="I177" s="116" t="s">
        <v>1925</v>
      </c>
      <c r="J177" s="116" t="s">
        <v>1827</v>
      </c>
      <c r="K177" s="116" t="s">
        <v>1812</v>
      </c>
      <c r="L177" s="122"/>
      <c r="M177" s="116"/>
      <c r="N177" s="116" t="s">
        <v>1788</v>
      </c>
    </row>
    <row r="178" spans="1:15" s="117" customFormat="1" ht="15">
      <c r="A178" s="121">
        <v>46246</v>
      </c>
      <c r="B178" s="115" t="s">
        <v>1825</v>
      </c>
      <c r="C178" s="118" t="s">
        <v>1837</v>
      </c>
      <c r="D178" s="119" t="s">
        <v>1838</v>
      </c>
      <c r="E178" s="115" t="s">
        <v>1828</v>
      </c>
      <c r="F178" s="116">
        <v>1</v>
      </c>
      <c r="G178" s="114"/>
      <c r="H178" s="114">
        <v>46246</v>
      </c>
      <c r="I178" s="116" t="s">
        <v>1925</v>
      </c>
      <c r="J178" s="116" t="s">
        <v>1792</v>
      </c>
      <c r="K178" s="116" t="s">
        <v>1812</v>
      </c>
      <c r="L178" s="122"/>
      <c r="M178" s="116"/>
      <c r="N178" s="116" t="s">
        <v>1788</v>
      </c>
    </row>
    <row r="179" spans="1:15" s="117" customFormat="1" ht="15">
      <c r="A179" s="121">
        <v>46246</v>
      </c>
      <c r="B179" s="115" t="s">
        <v>1825</v>
      </c>
      <c r="C179" s="118" t="s">
        <v>1837</v>
      </c>
      <c r="D179" s="119" t="s">
        <v>1838</v>
      </c>
      <c r="E179" s="115" t="s">
        <v>1829</v>
      </c>
      <c r="F179" s="116">
        <v>1</v>
      </c>
      <c r="G179" s="114"/>
      <c r="H179" s="114">
        <v>46246</v>
      </c>
      <c r="I179" s="116" t="s">
        <v>1925</v>
      </c>
      <c r="J179" s="116" t="s">
        <v>1827</v>
      </c>
      <c r="K179" s="116" t="s">
        <v>1812</v>
      </c>
      <c r="L179" s="122"/>
      <c r="M179" s="116"/>
      <c r="N179" s="116" t="s">
        <v>1788</v>
      </c>
    </row>
    <row r="180" spans="1:15" s="117" customFormat="1" ht="15">
      <c r="A180" s="121">
        <v>46246</v>
      </c>
      <c r="B180" s="115" t="s">
        <v>1825</v>
      </c>
      <c r="C180" s="118" t="s">
        <v>1837</v>
      </c>
      <c r="D180" s="119" t="s">
        <v>1838</v>
      </c>
      <c r="E180" s="115" t="s">
        <v>1830</v>
      </c>
      <c r="F180" s="116">
        <v>1</v>
      </c>
      <c r="G180" s="114"/>
      <c r="H180" s="114">
        <v>46246</v>
      </c>
      <c r="I180" s="116" t="s">
        <v>1925</v>
      </c>
      <c r="J180" s="116" t="s">
        <v>1827</v>
      </c>
      <c r="K180" s="116" t="s">
        <v>1812</v>
      </c>
      <c r="L180" s="122"/>
      <c r="M180" s="116"/>
      <c r="N180" s="116" t="s">
        <v>1788</v>
      </c>
    </row>
    <row r="181" spans="1:15" s="117" customFormat="1" ht="15">
      <c r="A181" s="121">
        <v>46246</v>
      </c>
      <c r="B181" s="115" t="s">
        <v>1825</v>
      </c>
      <c r="C181" s="118" t="s">
        <v>1837</v>
      </c>
      <c r="D181" s="119" t="s">
        <v>1838</v>
      </c>
      <c r="E181" s="115" t="s">
        <v>1831</v>
      </c>
      <c r="F181" s="116">
        <v>1</v>
      </c>
      <c r="G181" s="114"/>
      <c r="H181" s="114">
        <v>46246</v>
      </c>
      <c r="I181" s="116" t="s">
        <v>1925</v>
      </c>
      <c r="J181" s="116" t="s">
        <v>1827</v>
      </c>
      <c r="K181" s="116" t="s">
        <v>1812</v>
      </c>
      <c r="L181" s="122"/>
      <c r="M181" s="116"/>
      <c r="N181" s="116" t="s">
        <v>1788</v>
      </c>
    </row>
    <row r="182" spans="1:15" s="117" customFormat="1" ht="15">
      <c r="A182" s="121">
        <v>46246</v>
      </c>
      <c r="B182" s="115" t="s">
        <v>1832</v>
      </c>
      <c r="C182" s="118" t="s">
        <v>1837</v>
      </c>
      <c r="D182" s="119" t="s">
        <v>1839</v>
      </c>
      <c r="E182" s="115" t="s">
        <v>1791</v>
      </c>
      <c r="F182" s="116">
        <v>1</v>
      </c>
      <c r="G182" s="114"/>
      <c r="H182" s="114">
        <v>46246</v>
      </c>
      <c r="I182" s="116" t="s">
        <v>1925</v>
      </c>
      <c r="J182" s="116" t="s">
        <v>1792</v>
      </c>
      <c r="K182" s="116" t="s">
        <v>1812</v>
      </c>
      <c r="L182" s="122"/>
      <c r="M182" s="116"/>
      <c r="N182" s="116" t="s">
        <v>1788</v>
      </c>
    </row>
    <row r="183" spans="1:15" s="117" customFormat="1" ht="15">
      <c r="A183" s="121">
        <v>46246</v>
      </c>
      <c r="B183" s="115" t="s">
        <v>1832</v>
      </c>
      <c r="C183" s="118" t="s">
        <v>1837</v>
      </c>
      <c r="D183" s="119" t="s">
        <v>1839</v>
      </c>
      <c r="E183" s="115" t="s">
        <v>1826</v>
      </c>
      <c r="F183" s="116">
        <v>1</v>
      </c>
      <c r="G183" s="114"/>
      <c r="H183" s="114">
        <v>46246</v>
      </c>
      <c r="I183" s="116" t="s">
        <v>1925</v>
      </c>
      <c r="J183" s="116" t="s">
        <v>1827</v>
      </c>
      <c r="K183" s="116" t="s">
        <v>1812</v>
      </c>
      <c r="L183" s="122"/>
      <c r="M183" s="116"/>
      <c r="N183" s="116" t="s">
        <v>1788</v>
      </c>
    </row>
    <row r="184" spans="1:15" s="117" customFormat="1" ht="15">
      <c r="A184" s="121">
        <v>46246</v>
      </c>
      <c r="B184" s="115" t="s">
        <v>1832</v>
      </c>
      <c r="C184" s="118" t="s">
        <v>1837</v>
      </c>
      <c r="D184" s="119" t="s">
        <v>1839</v>
      </c>
      <c r="E184" s="115" t="s">
        <v>1828</v>
      </c>
      <c r="F184" s="116">
        <v>1</v>
      </c>
      <c r="G184" s="114"/>
      <c r="H184" s="114">
        <v>46246</v>
      </c>
      <c r="I184" s="116" t="s">
        <v>1925</v>
      </c>
      <c r="J184" s="116" t="s">
        <v>1792</v>
      </c>
      <c r="K184" s="116" t="s">
        <v>1812</v>
      </c>
      <c r="L184" s="122"/>
      <c r="M184" s="116"/>
      <c r="N184" s="116" t="s">
        <v>1788</v>
      </c>
    </row>
    <row r="185" spans="1:15" s="117" customFormat="1" ht="15">
      <c r="A185" s="121">
        <v>46246</v>
      </c>
      <c r="B185" s="115" t="s">
        <v>1832</v>
      </c>
      <c r="C185" s="118" t="s">
        <v>1837</v>
      </c>
      <c r="D185" s="119" t="s">
        <v>1839</v>
      </c>
      <c r="E185" s="115" t="s">
        <v>1829</v>
      </c>
      <c r="F185" s="116">
        <v>1</v>
      </c>
      <c r="G185" s="114"/>
      <c r="H185" s="114">
        <v>46246</v>
      </c>
      <c r="I185" s="116" t="s">
        <v>1925</v>
      </c>
      <c r="J185" s="116" t="s">
        <v>1827</v>
      </c>
      <c r="K185" s="116" t="s">
        <v>1812</v>
      </c>
      <c r="L185" s="122"/>
      <c r="M185" s="116"/>
      <c r="N185" s="116" t="s">
        <v>1788</v>
      </c>
    </row>
    <row r="186" spans="1:15" s="117" customFormat="1" ht="15">
      <c r="A186" s="121">
        <v>46246</v>
      </c>
      <c r="B186" s="115" t="s">
        <v>1832</v>
      </c>
      <c r="C186" s="118" t="s">
        <v>1837</v>
      </c>
      <c r="D186" s="119" t="s">
        <v>1839</v>
      </c>
      <c r="E186" s="115" t="s">
        <v>1830</v>
      </c>
      <c r="F186" s="116">
        <v>1</v>
      </c>
      <c r="G186" s="114"/>
      <c r="H186" s="114">
        <v>46246</v>
      </c>
      <c r="I186" s="116" t="s">
        <v>1925</v>
      </c>
      <c r="J186" s="116" t="s">
        <v>1827</v>
      </c>
      <c r="K186" s="116" t="s">
        <v>1812</v>
      </c>
      <c r="L186" s="122"/>
      <c r="M186" s="116"/>
      <c r="N186" s="116" t="s">
        <v>1788</v>
      </c>
    </row>
    <row r="187" spans="1:15" s="117" customFormat="1" ht="15">
      <c r="A187" s="121">
        <v>46246</v>
      </c>
      <c r="B187" s="115" t="s">
        <v>1832</v>
      </c>
      <c r="C187" s="118" t="s">
        <v>1837</v>
      </c>
      <c r="D187" s="119" t="s">
        <v>1839</v>
      </c>
      <c r="E187" s="115" t="s">
        <v>1831</v>
      </c>
      <c r="F187" s="116">
        <v>1</v>
      </c>
      <c r="G187" s="114"/>
      <c r="H187" s="114">
        <v>46246</v>
      </c>
      <c r="I187" s="116" t="s">
        <v>1925</v>
      </c>
      <c r="J187" s="116" t="s">
        <v>1827</v>
      </c>
      <c r="K187" s="116" t="s">
        <v>1812</v>
      </c>
      <c r="L187" s="122"/>
      <c r="M187" s="116"/>
      <c r="N187" s="116" t="s">
        <v>1788</v>
      </c>
    </row>
    <row r="188" spans="1:15" s="117" customFormat="1" ht="15">
      <c r="A188" s="121">
        <v>46244</v>
      </c>
      <c r="B188" s="115" t="s">
        <v>1824</v>
      </c>
      <c r="C188" s="118" t="s">
        <v>1840</v>
      </c>
      <c r="D188" s="119" t="s">
        <v>1841</v>
      </c>
      <c r="E188" s="115" t="s">
        <v>1823</v>
      </c>
      <c r="F188" s="116">
        <v>1</v>
      </c>
      <c r="G188" s="114"/>
      <c r="H188" s="114">
        <v>46244</v>
      </c>
      <c r="I188" s="116" t="s">
        <v>1864</v>
      </c>
      <c r="J188" s="116" t="s">
        <v>1790</v>
      </c>
      <c r="K188" s="116" t="s">
        <v>1812</v>
      </c>
      <c r="L188" s="122"/>
      <c r="M188" s="116"/>
      <c r="N188" s="116" t="s">
        <v>1788</v>
      </c>
    </row>
    <row r="189" spans="1:15" s="117" customFormat="1" ht="15" hidden="1">
      <c r="A189" s="121">
        <v>46216</v>
      </c>
      <c r="B189" s="115"/>
      <c r="C189" s="118"/>
      <c r="D189" s="119" t="s">
        <v>2267</v>
      </c>
      <c r="E189" s="115" t="s">
        <v>1957</v>
      </c>
      <c r="F189" s="116">
        <v>1</v>
      </c>
      <c r="G189" s="114"/>
      <c r="H189" s="114">
        <v>46216</v>
      </c>
      <c r="I189" s="116" t="s">
        <v>1871</v>
      </c>
      <c r="J189" s="116" t="s">
        <v>1904</v>
      </c>
      <c r="K189" s="116" t="s">
        <v>1819</v>
      </c>
      <c r="L189" s="122"/>
      <c r="M189" s="116">
        <v>2026071301</v>
      </c>
      <c r="N189" s="116" t="s">
        <v>1788</v>
      </c>
      <c r="O189" s="116" t="s">
        <v>1788</v>
      </c>
    </row>
    <row r="190" spans="1:15" s="117" customFormat="1" ht="15">
      <c r="A190" s="121">
        <v>46212</v>
      </c>
      <c r="B190" s="115"/>
      <c r="C190" s="118"/>
      <c r="D190" s="119" t="s">
        <v>1842</v>
      </c>
      <c r="E190" s="115" t="s">
        <v>1821</v>
      </c>
      <c r="F190" s="116">
        <v>1</v>
      </c>
      <c r="G190" s="114"/>
      <c r="H190" s="116"/>
      <c r="I190" s="116"/>
      <c r="J190" s="116" t="s">
        <v>1822</v>
      </c>
      <c r="K190" s="116" t="s">
        <v>1819</v>
      </c>
      <c r="L190" s="122"/>
      <c r="M190" s="116">
        <v>2026070902</v>
      </c>
      <c r="N190" s="116" t="s">
        <v>1788</v>
      </c>
    </row>
    <row r="191" spans="1:15" s="117" customFormat="1" ht="15">
      <c r="A191" s="121">
        <v>46196</v>
      </c>
      <c r="B191" s="115"/>
      <c r="C191" s="116"/>
      <c r="D191" s="115" t="s">
        <v>1843</v>
      </c>
      <c r="E191" s="115" t="s">
        <v>1791</v>
      </c>
      <c r="F191" s="116">
        <v>1</v>
      </c>
      <c r="G191" s="116"/>
      <c r="H191" s="114">
        <v>46196</v>
      </c>
      <c r="I191" s="116" t="s">
        <v>1877</v>
      </c>
      <c r="J191" s="116" t="s">
        <v>1792</v>
      </c>
      <c r="K191" s="116" t="s">
        <v>1819</v>
      </c>
      <c r="L191" s="122"/>
      <c r="M191" s="116">
        <v>2026062301</v>
      </c>
      <c r="N191" s="116" t="s">
        <v>1788</v>
      </c>
    </row>
    <row r="192" spans="1:15" s="117" customFormat="1" ht="15">
      <c r="A192" s="121">
        <v>46196</v>
      </c>
      <c r="B192" s="115"/>
      <c r="C192" s="116"/>
      <c r="D192" s="115" t="s">
        <v>1843</v>
      </c>
      <c r="E192" s="115" t="s">
        <v>1826</v>
      </c>
      <c r="F192" s="116">
        <v>1</v>
      </c>
      <c r="G192" s="116"/>
      <c r="H192" s="114">
        <v>46196</v>
      </c>
      <c r="I192" s="116" t="s">
        <v>1877</v>
      </c>
      <c r="J192" s="116" t="s">
        <v>1792</v>
      </c>
      <c r="K192" s="116" t="s">
        <v>1819</v>
      </c>
      <c r="L192" s="122"/>
      <c r="M192" s="116">
        <v>2026062301</v>
      </c>
      <c r="N192" s="116" t="s">
        <v>1788</v>
      </c>
    </row>
    <row r="193" spans="1:14" s="117" customFormat="1" ht="15">
      <c r="A193" s="121">
        <v>46196</v>
      </c>
      <c r="B193" s="115"/>
      <c r="C193" s="116"/>
      <c r="D193" s="115" t="s">
        <v>1843</v>
      </c>
      <c r="E193" s="115" t="s">
        <v>1828</v>
      </c>
      <c r="F193" s="116">
        <v>1</v>
      </c>
      <c r="G193" s="116"/>
      <c r="H193" s="114">
        <v>46196</v>
      </c>
      <c r="I193" s="116" t="s">
        <v>1877</v>
      </c>
      <c r="J193" s="116" t="s">
        <v>1792</v>
      </c>
      <c r="K193" s="116" t="s">
        <v>1819</v>
      </c>
      <c r="L193" s="122"/>
      <c r="M193" s="116">
        <v>2026062301</v>
      </c>
      <c r="N193" s="116" t="s">
        <v>1788</v>
      </c>
    </row>
    <row r="194" spans="1:14" s="117" customFormat="1" ht="15">
      <c r="A194" s="121">
        <v>46196</v>
      </c>
      <c r="B194" s="115"/>
      <c r="C194" s="116"/>
      <c r="D194" s="115" t="s">
        <v>1843</v>
      </c>
      <c r="E194" s="115" t="s">
        <v>1829</v>
      </c>
      <c r="F194" s="116">
        <v>1</v>
      </c>
      <c r="G194" s="116"/>
      <c r="H194" s="114">
        <v>46196</v>
      </c>
      <c r="I194" s="116" t="s">
        <v>1877</v>
      </c>
      <c r="J194" s="116" t="s">
        <v>1792</v>
      </c>
      <c r="K194" s="116" t="s">
        <v>1819</v>
      </c>
      <c r="L194" s="122"/>
      <c r="M194" s="116">
        <v>2026062301</v>
      </c>
      <c r="N194" s="116" t="s">
        <v>1788</v>
      </c>
    </row>
    <row r="195" spans="1:14" s="117" customFormat="1" ht="15">
      <c r="A195" s="121">
        <v>46196</v>
      </c>
      <c r="B195" s="115"/>
      <c r="C195" s="116"/>
      <c r="D195" s="115" t="s">
        <v>1843</v>
      </c>
      <c r="E195" s="115" t="s">
        <v>1830</v>
      </c>
      <c r="F195" s="116">
        <v>1</v>
      </c>
      <c r="G195" s="116"/>
      <c r="H195" s="114">
        <v>46196</v>
      </c>
      <c r="I195" s="116" t="s">
        <v>1877</v>
      </c>
      <c r="J195" s="116" t="s">
        <v>1792</v>
      </c>
      <c r="K195" s="116" t="s">
        <v>1819</v>
      </c>
      <c r="L195" s="122"/>
      <c r="M195" s="116">
        <v>2026062301</v>
      </c>
      <c r="N195" s="116" t="s">
        <v>1788</v>
      </c>
    </row>
    <row r="196" spans="1:14" s="117" customFormat="1" ht="15">
      <c r="A196" s="121">
        <v>46196</v>
      </c>
      <c r="B196" s="115"/>
      <c r="C196" s="116"/>
      <c r="D196" s="115" t="s">
        <v>1843</v>
      </c>
      <c r="E196" s="115" t="s">
        <v>1831</v>
      </c>
      <c r="F196" s="116">
        <v>1</v>
      </c>
      <c r="G196" s="116"/>
      <c r="H196" s="114">
        <v>46196</v>
      </c>
      <c r="I196" s="116" t="s">
        <v>1877</v>
      </c>
      <c r="J196" s="116" t="s">
        <v>1792</v>
      </c>
      <c r="K196" s="116" t="s">
        <v>1819</v>
      </c>
      <c r="L196" s="122"/>
      <c r="M196" s="116">
        <v>2026062301</v>
      </c>
      <c r="N196" s="116" t="s">
        <v>1788</v>
      </c>
    </row>
    <row r="197" spans="1:14" s="117" customFormat="1" ht="15">
      <c r="A197" s="121">
        <v>46196</v>
      </c>
      <c r="B197" s="115"/>
      <c r="C197" s="116"/>
      <c r="D197" s="115" t="s">
        <v>1820</v>
      </c>
      <c r="E197" s="115" t="s">
        <v>1791</v>
      </c>
      <c r="F197" s="116">
        <v>1</v>
      </c>
      <c r="G197" s="116"/>
      <c r="H197" s="114">
        <v>46196</v>
      </c>
      <c r="I197" s="116" t="s">
        <v>1878</v>
      </c>
      <c r="J197" s="116" t="s">
        <v>1792</v>
      </c>
      <c r="K197" s="116" t="s">
        <v>1820</v>
      </c>
      <c r="L197" s="122"/>
      <c r="M197" s="116">
        <v>2026062302</v>
      </c>
      <c r="N197" s="116" t="s">
        <v>1788</v>
      </c>
    </row>
    <row r="198" spans="1:14" s="117" customFormat="1" ht="15">
      <c r="A198" s="121">
        <v>46105</v>
      </c>
      <c r="B198" s="115"/>
      <c r="C198" s="116"/>
      <c r="D198" s="115" t="s">
        <v>1843</v>
      </c>
      <c r="E198" s="115" t="s">
        <v>1791</v>
      </c>
      <c r="F198" s="116">
        <v>2</v>
      </c>
      <c r="G198" s="116"/>
      <c r="H198" s="114">
        <v>46105</v>
      </c>
      <c r="I198" s="116" t="s">
        <v>1879</v>
      </c>
      <c r="J198" s="116" t="s">
        <v>1792</v>
      </c>
      <c r="K198" s="116" t="s">
        <v>1819</v>
      </c>
      <c r="L198" s="122"/>
      <c r="M198" s="116">
        <v>2026032401</v>
      </c>
      <c r="N198" s="116" t="s">
        <v>1788</v>
      </c>
    </row>
    <row r="199" spans="1:14" s="117" customFormat="1" ht="15">
      <c r="A199" s="121">
        <v>46105</v>
      </c>
      <c r="B199" s="115"/>
      <c r="C199" s="116"/>
      <c r="D199" s="115" t="s">
        <v>1843</v>
      </c>
      <c r="E199" s="115" t="s">
        <v>1826</v>
      </c>
      <c r="F199" s="116">
        <v>1</v>
      </c>
      <c r="G199" s="116"/>
      <c r="H199" s="114">
        <v>46105</v>
      </c>
      <c r="I199" s="116" t="s">
        <v>1879</v>
      </c>
      <c r="J199" s="116" t="s">
        <v>1792</v>
      </c>
      <c r="K199" s="116" t="s">
        <v>1819</v>
      </c>
      <c r="L199" s="122"/>
      <c r="M199" s="116">
        <v>2026032401</v>
      </c>
      <c r="N199" s="116" t="s">
        <v>1788</v>
      </c>
    </row>
    <row r="200" spans="1:14" s="117" customFormat="1" ht="15">
      <c r="A200" s="121">
        <v>46105</v>
      </c>
      <c r="B200" s="115"/>
      <c r="C200" s="116"/>
      <c r="D200" s="115" t="s">
        <v>1843</v>
      </c>
      <c r="E200" s="115" t="s">
        <v>1828</v>
      </c>
      <c r="F200" s="116">
        <v>1</v>
      </c>
      <c r="G200" s="116"/>
      <c r="H200" s="114">
        <v>46105</v>
      </c>
      <c r="I200" s="116" t="s">
        <v>1879</v>
      </c>
      <c r="J200" s="116" t="s">
        <v>1792</v>
      </c>
      <c r="K200" s="116" t="s">
        <v>1819</v>
      </c>
      <c r="L200" s="122"/>
      <c r="M200" s="116">
        <v>2026032401</v>
      </c>
      <c r="N200" s="116" t="s">
        <v>1788</v>
      </c>
    </row>
    <row r="201" spans="1:14" s="117" customFormat="1" ht="15">
      <c r="A201" s="121">
        <v>46105</v>
      </c>
      <c r="B201" s="115"/>
      <c r="C201" s="116"/>
      <c r="D201" s="115" t="s">
        <v>1843</v>
      </c>
      <c r="E201" s="115" t="s">
        <v>1829</v>
      </c>
      <c r="F201" s="116">
        <v>1</v>
      </c>
      <c r="G201" s="116"/>
      <c r="H201" s="114">
        <v>46105</v>
      </c>
      <c r="I201" s="116" t="s">
        <v>1879</v>
      </c>
      <c r="J201" s="116" t="s">
        <v>1792</v>
      </c>
      <c r="K201" s="116" t="s">
        <v>1819</v>
      </c>
      <c r="L201" s="122"/>
      <c r="M201" s="116">
        <v>2026032401</v>
      </c>
      <c r="N201" s="116" t="s">
        <v>1788</v>
      </c>
    </row>
    <row r="202" spans="1:14" s="117" customFormat="1" ht="15">
      <c r="A202" s="121">
        <v>46105</v>
      </c>
      <c r="B202" s="115"/>
      <c r="C202" s="116"/>
      <c r="D202" s="115" t="s">
        <v>1843</v>
      </c>
      <c r="E202" s="115" t="s">
        <v>1830</v>
      </c>
      <c r="F202" s="116">
        <v>1</v>
      </c>
      <c r="G202" s="116"/>
      <c r="H202" s="114">
        <v>46105</v>
      </c>
      <c r="I202" s="116" t="s">
        <v>1879</v>
      </c>
      <c r="J202" s="116" t="s">
        <v>1792</v>
      </c>
      <c r="K202" s="116" t="s">
        <v>1819</v>
      </c>
      <c r="L202" s="122"/>
      <c r="M202" s="116">
        <v>2026032401</v>
      </c>
      <c r="N202" s="116" t="s">
        <v>1788</v>
      </c>
    </row>
  </sheetData>
  <autoFilter ref="A1:O1" xr:uid="{BF6A3FAC-ECC1-4126-8F0F-834004200438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庫存</vt:lpstr>
      <vt:lpstr>資產</vt:lpstr>
      <vt:lpstr>資產-員工</vt:lpstr>
      <vt:lpstr>登記紀錄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李芊妤</dc:creator>
  <cp:lastModifiedBy>芊妤 李</cp:lastModifiedBy>
  <dcterms:created xsi:type="dcterms:W3CDTF">2026-09-08T09:28:47Z</dcterms:created>
  <dcterms:modified xsi:type="dcterms:W3CDTF">2026-10-15T08:12:54Z</dcterms:modified>
</cp:coreProperties>
</file>