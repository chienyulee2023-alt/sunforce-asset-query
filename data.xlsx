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026"/>
  <workbookPr defaultThemeVersion="124226"/>
  <mc:AlternateContent xmlns:mc="http://schemas.openxmlformats.org/markup-compatibility/2006">
    <mc:Choice Requires="x15">
      <x15ac:absPath xmlns:x15ac="http://schemas.microsoft.com/office/spreadsheetml/2010/11/ac" url="F:\PEGGY公司\20250630\02 歐科電訊\G. 總經理特助事務\2025 晟福科技投資案\09 庫存管理\2026 庫存資料\庫存查詢系統\"/>
    </mc:Choice>
  </mc:AlternateContent>
  <xr:revisionPtr revIDLastSave="0" documentId="13_ncr:1_{7EFEC63A-4449-412C-9AC4-6FA90EE7E150}" xr6:coauthVersionLast="47" xr6:coauthVersionMax="47" xr10:uidLastSave="{00000000-0000-0000-0000-000000000000}"/>
  <bookViews>
    <workbookView xWindow="-120" yWindow="-120" windowWidth="20640" windowHeight="11760" xr2:uid="{A823DE09-248D-4B34-B714-D06C3A635555}"/>
  </bookViews>
  <sheets>
    <sheet name="所有物料" sheetId="33" r:id="rId1"/>
  </sheets>
  <definedNames>
    <definedName name="_xlnm._FilterDatabase" localSheetId="0" hidden="1">所有物料!#REF!</definedName>
    <definedName name="_xlnm.Print_Area" localSheetId="0">所有物料!$B$1:$AB$238</definedName>
    <definedName name="_xlnm.Print_Titles" localSheetId="0">所有物料!$1:$1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W317" i="33" l="1"/>
  <c r="E273" i="33"/>
  <c r="E272" i="33"/>
  <c r="E271" i="33"/>
  <c r="E270" i="33"/>
  <c r="E269" i="33"/>
  <c r="E268" i="33"/>
  <c r="E267" i="33"/>
  <c r="E266" i="33"/>
  <c r="AB265" i="33"/>
  <c r="E265" i="33"/>
  <c r="AB264" i="33"/>
  <c r="E264" i="33"/>
  <c r="E263" i="33"/>
  <c r="E262" i="33"/>
  <c r="AB261" i="33"/>
  <c r="E261" i="33"/>
  <c r="AB260" i="33"/>
  <c r="E260" i="33"/>
  <c r="E259" i="33"/>
  <c r="E258" i="33"/>
  <c r="AB257" i="33"/>
  <c r="E257" i="33"/>
  <c r="AB256" i="33"/>
  <c r="E256" i="33"/>
  <c r="AB255" i="33"/>
  <c r="E255" i="33"/>
  <c r="AB254" i="33"/>
  <c r="E254" i="33"/>
  <c r="AB253" i="33"/>
  <c r="E253" i="33"/>
  <c r="AB252" i="33"/>
  <c r="E252" i="33"/>
  <c r="AB251" i="33"/>
  <c r="E251" i="33"/>
  <c r="AB250" i="33"/>
  <c r="E250" i="33"/>
  <c r="AB249" i="33"/>
  <c r="E249" i="33"/>
  <c r="AB248" i="33"/>
  <c r="E248" i="33"/>
  <c r="AB247" i="33"/>
  <c r="E247" i="33"/>
  <c r="AB246" i="33"/>
  <c r="E246" i="33"/>
  <c r="AB245" i="33"/>
  <c r="E245" i="33"/>
  <c r="AB244" i="33"/>
  <c r="E244" i="33"/>
  <c r="E243" i="33"/>
  <c r="AB242" i="33"/>
  <c r="E242" i="33"/>
  <c r="E241" i="33"/>
  <c r="AB240" i="33"/>
  <c r="E240" i="33"/>
  <c r="AB239" i="33"/>
  <c r="E239" i="33"/>
  <c r="AB238" i="33"/>
  <c r="E238" i="33"/>
  <c r="AB237" i="33"/>
  <c r="E237" i="33"/>
  <c r="AB236" i="33"/>
  <c r="E236" i="33"/>
  <c r="AB235" i="33"/>
  <c r="E235" i="33"/>
  <c r="AB234" i="33"/>
  <c r="E234" i="33"/>
  <c r="AB233" i="33"/>
  <c r="E233" i="33"/>
  <c r="AB232" i="33"/>
  <c r="E232" i="33"/>
  <c r="AB231" i="33"/>
  <c r="E231" i="33"/>
  <c r="AD230" i="33"/>
  <c r="E230" i="33"/>
  <c r="AB229" i="33"/>
  <c r="E229" i="33"/>
  <c r="E228" i="33"/>
  <c r="E227" i="33"/>
  <c r="AC226" i="33"/>
  <c r="E226" i="33"/>
  <c r="AC225" i="33"/>
  <c r="E225" i="33"/>
  <c r="AC224" i="33"/>
  <c r="E224" i="33"/>
  <c r="E223" i="33"/>
  <c r="E222" i="33"/>
  <c r="AB221" i="33"/>
  <c r="E221" i="33"/>
  <c r="AB220" i="33"/>
  <c r="E220" i="33"/>
  <c r="AB219" i="33"/>
  <c r="E219" i="33"/>
  <c r="E218" i="33"/>
  <c r="E217" i="33"/>
  <c r="E216" i="33"/>
  <c r="E215" i="33"/>
  <c r="E214" i="33"/>
  <c r="E213" i="33"/>
  <c r="E212" i="33"/>
  <c r="E211" i="33"/>
  <c r="E210" i="33"/>
  <c r="E209" i="33"/>
  <c r="E208" i="33"/>
  <c r="AB207" i="33"/>
  <c r="E207" i="33"/>
  <c r="E206" i="33"/>
  <c r="E205" i="33"/>
  <c r="E204" i="33"/>
  <c r="AB203" i="33"/>
  <c r="E203" i="33"/>
  <c r="E202" i="33"/>
  <c r="E201" i="33"/>
  <c r="E200" i="33"/>
  <c r="E199" i="33"/>
  <c r="E198" i="33"/>
  <c r="AB197" i="33"/>
  <c r="E197" i="33"/>
  <c r="E196" i="33"/>
  <c r="AB195" i="33"/>
  <c r="E195" i="33"/>
  <c r="AB194" i="33"/>
  <c r="E194" i="33"/>
  <c r="AB193" i="33"/>
  <c r="E193" i="33"/>
  <c r="E192" i="33"/>
  <c r="E191" i="33"/>
  <c r="E190" i="33"/>
  <c r="E189" i="33"/>
  <c r="AD188" i="33"/>
  <c r="E188" i="33"/>
  <c r="E187" i="33"/>
  <c r="E186" i="33"/>
  <c r="E185" i="33"/>
  <c r="E184" i="33"/>
  <c r="E183" i="33"/>
  <c r="T182" i="33"/>
  <c r="S182" i="33"/>
  <c r="E182" i="33"/>
  <c r="T181" i="33"/>
  <c r="S181" i="33"/>
  <c r="E181" i="33"/>
  <c r="T180" i="33"/>
  <c r="S180" i="33"/>
  <c r="E180" i="33"/>
  <c r="AD179" i="33"/>
  <c r="T179" i="33"/>
  <c r="S179" i="33"/>
  <c r="E179" i="33"/>
  <c r="T178" i="33"/>
  <c r="S178" i="33"/>
  <c r="E178" i="33"/>
  <c r="T177" i="33"/>
  <c r="S177" i="33"/>
  <c r="E177" i="33"/>
  <c r="T176" i="33"/>
  <c r="S176" i="33"/>
  <c r="E176" i="33"/>
  <c r="T175" i="33"/>
  <c r="S175" i="33"/>
  <c r="E175" i="33"/>
  <c r="T174" i="33"/>
  <c r="S174" i="33"/>
  <c r="E174" i="33"/>
  <c r="AD173" i="33"/>
  <c r="AC173" i="33"/>
  <c r="T173" i="33"/>
  <c r="S173" i="33"/>
  <c r="E173" i="33"/>
  <c r="T172" i="33"/>
  <c r="S172" i="33"/>
  <c r="E172" i="33"/>
  <c r="T171" i="33"/>
  <c r="S171" i="33"/>
  <c r="E171" i="33"/>
  <c r="T170" i="33"/>
  <c r="S170" i="33"/>
  <c r="E170" i="33"/>
  <c r="T169" i="33"/>
  <c r="S169" i="33"/>
  <c r="E169" i="33"/>
  <c r="T168" i="33"/>
  <c r="S168" i="33"/>
  <c r="E168" i="33"/>
  <c r="T167" i="33"/>
  <c r="S167" i="33"/>
  <c r="E167" i="33"/>
  <c r="T166" i="33"/>
  <c r="S166" i="33"/>
  <c r="E166" i="33"/>
  <c r="T165" i="33"/>
  <c r="S165" i="33"/>
  <c r="E165" i="33"/>
  <c r="T164" i="33"/>
  <c r="S164" i="33"/>
  <c r="E164" i="33"/>
  <c r="T163" i="33"/>
  <c r="S163" i="33"/>
  <c r="E163" i="33"/>
  <c r="T162" i="33"/>
  <c r="S162" i="33"/>
  <c r="E162" i="33"/>
  <c r="T161" i="33"/>
  <c r="S161" i="33"/>
  <c r="E161" i="33"/>
  <c r="T160" i="33"/>
  <c r="S160" i="33"/>
  <c r="E160" i="33"/>
  <c r="T159" i="33"/>
  <c r="S159" i="33"/>
  <c r="E159" i="33"/>
  <c r="T158" i="33"/>
  <c r="S158" i="33"/>
  <c r="E158" i="33"/>
  <c r="T157" i="33"/>
  <c r="S157" i="33"/>
  <c r="E157" i="33"/>
  <c r="T156" i="33"/>
  <c r="S156" i="33"/>
  <c r="E156" i="33"/>
  <c r="T155" i="33"/>
  <c r="S155" i="33"/>
  <c r="E155" i="33"/>
  <c r="T154" i="33"/>
  <c r="S154" i="33"/>
  <c r="E154" i="33"/>
  <c r="T153" i="33"/>
  <c r="S153" i="33"/>
  <c r="E153" i="33"/>
  <c r="T152" i="33"/>
  <c r="S152" i="33"/>
  <c r="E152" i="33"/>
  <c r="T151" i="33"/>
  <c r="S151" i="33"/>
  <c r="E151" i="33"/>
  <c r="T150" i="33"/>
  <c r="S150" i="33"/>
  <c r="E150" i="33"/>
  <c r="T149" i="33"/>
  <c r="S149" i="33"/>
  <c r="E149" i="33"/>
  <c r="T148" i="33"/>
  <c r="S148" i="33"/>
  <c r="E148" i="33"/>
  <c r="T147" i="33"/>
  <c r="S147" i="33"/>
  <c r="E147" i="33"/>
  <c r="T146" i="33"/>
  <c r="S146" i="33"/>
  <c r="E146" i="33"/>
  <c r="T145" i="33"/>
  <c r="S145" i="33"/>
  <c r="E145" i="33"/>
  <c r="T144" i="33"/>
  <c r="S144" i="33"/>
  <c r="E144" i="33"/>
  <c r="T143" i="33"/>
  <c r="S143" i="33"/>
  <c r="E143" i="33"/>
  <c r="T142" i="33"/>
  <c r="S142" i="33"/>
  <c r="E142" i="33"/>
  <c r="T141" i="33"/>
  <c r="S141" i="33"/>
  <c r="E141" i="33"/>
  <c r="T140" i="33"/>
  <c r="S140" i="33"/>
  <c r="E140" i="33"/>
  <c r="AD139" i="33"/>
  <c r="T139" i="33"/>
  <c r="S139" i="33"/>
  <c r="E139" i="33"/>
  <c r="T138" i="33"/>
  <c r="S138" i="33"/>
  <c r="E138" i="33"/>
  <c r="T137" i="33"/>
  <c r="S137" i="33"/>
  <c r="E137" i="33"/>
  <c r="T136" i="33"/>
  <c r="S136" i="33"/>
  <c r="E136" i="33"/>
  <c r="T135" i="33"/>
  <c r="S135" i="33"/>
  <c r="E135" i="33"/>
  <c r="T134" i="33"/>
  <c r="S134" i="33"/>
  <c r="E134" i="33"/>
  <c r="T133" i="33"/>
  <c r="S133" i="33"/>
  <c r="E133" i="33"/>
  <c r="T132" i="33"/>
  <c r="S132" i="33"/>
  <c r="E132" i="33"/>
  <c r="T131" i="33"/>
  <c r="S131" i="33"/>
  <c r="E131" i="33"/>
  <c r="T130" i="33"/>
  <c r="S130" i="33"/>
  <c r="E130" i="33"/>
  <c r="AC129" i="33"/>
  <c r="T129" i="33"/>
  <c r="S129" i="33"/>
  <c r="E129" i="33"/>
  <c r="T128" i="33"/>
  <c r="S128" i="33"/>
  <c r="E128" i="33"/>
  <c r="T127" i="33"/>
  <c r="S127" i="33"/>
  <c r="E127" i="33"/>
  <c r="T126" i="33"/>
  <c r="S126" i="33"/>
  <c r="E126" i="33"/>
  <c r="T125" i="33"/>
  <c r="S125" i="33"/>
  <c r="E125" i="33"/>
  <c r="T124" i="33"/>
  <c r="S124" i="33"/>
  <c r="E124" i="33"/>
  <c r="T123" i="33"/>
  <c r="S123" i="33"/>
  <c r="E123" i="33"/>
  <c r="T122" i="33"/>
  <c r="S122" i="33"/>
  <c r="E122" i="33"/>
  <c r="T121" i="33"/>
  <c r="S121" i="33"/>
  <c r="E121" i="33"/>
  <c r="T120" i="33"/>
  <c r="S120" i="33"/>
  <c r="E120" i="33"/>
  <c r="T119" i="33"/>
  <c r="S119" i="33"/>
  <c r="E119" i="33"/>
  <c r="T118" i="33"/>
  <c r="S118" i="33"/>
  <c r="E118" i="33"/>
  <c r="T117" i="33"/>
  <c r="S117" i="33"/>
  <c r="E117" i="33"/>
  <c r="T116" i="33"/>
  <c r="S116" i="33"/>
  <c r="E116" i="33"/>
  <c r="T115" i="33"/>
  <c r="S115" i="33"/>
  <c r="E115" i="33"/>
  <c r="T114" i="33"/>
  <c r="S114" i="33"/>
  <c r="E114" i="33"/>
  <c r="T113" i="33"/>
  <c r="S113" i="33"/>
  <c r="E113" i="33"/>
  <c r="T112" i="33"/>
  <c r="S112" i="33"/>
  <c r="E112" i="33"/>
  <c r="T111" i="33"/>
  <c r="S111" i="33"/>
  <c r="E111" i="33"/>
  <c r="T110" i="33"/>
  <c r="S110" i="33"/>
  <c r="E110" i="33"/>
  <c r="T109" i="33"/>
  <c r="S109" i="33"/>
  <c r="E109" i="33"/>
  <c r="T108" i="33"/>
  <c r="S108" i="33"/>
  <c r="E108" i="33"/>
  <c r="T107" i="33"/>
  <c r="S107" i="33"/>
  <c r="E107" i="33"/>
  <c r="T106" i="33"/>
  <c r="S106" i="33"/>
  <c r="E106" i="33"/>
  <c r="T105" i="33"/>
  <c r="S105" i="33"/>
  <c r="E105" i="33"/>
  <c r="T104" i="33"/>
  <c r="S104" i="33"/>
  <c r="E104" i="33"/>
  <c r="T103" i="33"/>
  <c r="S103" i="33"/>
  <c r="E103" i="33"/>
  <c r="T102" i="33"/>
  <c r="S102" i="33"/>
  <c r="E102" i="33"/>
  <c r="T101" i="33"/>
  <c r="S101" i="33"/>
  <c r="E101" i="33"/>
  <c r="T100" i="33"/>
  <c r="S100" i="33"/>
  <c r="E100" i="33"/>
  <c r="T99" i="33"/>
  <c r="S99" i="33"/>
  <c r="E99" i="33"/>
  <c r="T98" i="33"/>
  <c r="S98" i="33"/>
  <c r="E98" i="33"/>
  <c r="T97" i="33"/>
  <c r="S97" i="33"/>
  <c r="E97" i="33"/>
  <c r="T96" i="33"/>
  <c r="S96" i="33"/>
  <c r="E96" i="33"/>
  <c r="T95" i="33"/>
  <c r="S95" i="33"/>
  <c r="E95" i="33"/>
  <c r="AD94" i="33"/>
  <c r="T94" i="33"/>
  <c r="S94" i="33"/>
  <c r="E94" i="33"/>
  <c r="T93" i="33"/>
  <c r="S93" i="33"/>
  <c r="E93" i="33"/>
  <c r="T92" i="33"/>
  <c r="S92" i="33"/>
  <c r="E92" i="33"/>
  <c r="T91" i="33"/>
  <c r="S91" i="33"/>
  <c r="E91" i="33"/>
  <c r="T90" i="33"/>
  <c r="S90" i="33"/>
  <c r="E90" i="33"/>
  <c r="AB89" i="33"/>
  <c r="T89" i="33"/>
  <c r="S89" i="33"/>
  <c r="E89" i="33"/>
  <c r="T88" i="33"/>
  <c r="S88" i="33"/>
  <c r="E88" i="33"/>
  <c r="AD87" i="33"/>
  <c r="T87" i="33"/>
  <c r="S87" i="33"/>
  <c r="E87" i="33"/>
  <c r="AD86" i="33"/>
  <c r="T86" i="33"/>
  <c r="S86" i="33"/>
  <c r="E86" i="33"/>
  <c r="T85" i="33"/>
  <c r="S85" i="33"/>
  <c r="E85" i="33"/>
  <c r="T84" i="33"/>
  <c r="S84" i="33"/>
  <c r="E84" i="33"/>
  <c r="T83" i="33"/>
  <c r="S83" i="33"/>
  <c r="E83" i="33"/>
  <c r="AD82" i="33"/>
  <c r="AC82" i="33"/>
  <c r="T82" i="33"/>
  <c r="S82" i="33"/>
  <c r="E82" i="33"/>
  <c r="T81" i="33"/>
  <c r="S81" i="33"/>
  <c r="E81" i="33"/>
  <c r="T80" i="33"/>
  <c r="S80" i="33"/>
  <c r="E80" i="33"/>
  <c r="T79" i="33"/>
  <c r="S79" i="33"/>
  <c r="E79" i="33"/>
  <c r="T78" i="33"/>
  <c r="S78" i="33"/>
  <c r="E78" i="33"/>
  <c r="T77" i="33"/>
  <c r="S77" i="33"/>
  <c r="E77" i="33"/>
  <c r="T76" i="33"/>
  <c r="S76" i="33"/>
  <c r="E76" i="33"/>
  <c r="AC75" i="33"/>
  <c r="T75" i="33"/>
  <c r="S75" i="33"/>
  <c r="E75" i="33"/>
  <c r="T74" i="33"/>
  <c r="S74" i="33"/>
  <c r="E74" i="33"/>
  <c r="AB73" i="33"/>
  <c r="T73" i="33"/>
  <c r="S73" i="33"/>
  <c r="E73" i="33"/>
  <c r="AD72" i="33"/>
  <c r="T72" i="33"/>
  <c r="S72" i="33"/>
  <c r="E72" i="33"/>
  <c r="AC71" i="33"/>
  <c r="T71" i="33"/>
  <c r="S71" i="33"/>
  <c r="E71" i="33"/>
  <c r="AD70" i="33"/>
  <c r="AC70" i="33"/>
  <c r="T70" i="33"/>
  <c r="S70" i="33"/>
  <c r="E70" i="33"/>
  <c r="T69" i="33"/>
  <c r="S69" i="33"/>
  <c r="E69" i="33"/>
  <c r="AC68" i="33"/>
  <c r="T68" i="33"/>
  <c r="S68" i="33"/>
  <c r="E68" i="33"/>
  <c r="T67" i="33"/>
  <c r="S67" i="33"/>
  <c r="E67" i="33"/>
  <c r="T66" i="33"/>
  <c r="S66" i="33"/>
  <c r="E66" i="33"/>
  <c r="AB65" i="33"/>
  <c r="T65" i="33"/>
  <c r="S65" i="33"/>
  <c r="E65" i="33"/>
  <c r="T64" i="33"/>
  <c r="S64" i="33"/>
  <c r="E64" i="33"/>
  <c r="AD63" i="33"/>
  <c r="T63" i="33"/>
  <c r="S63" i="33"/>
  <c r="E63" i="33"/>
  <c r="AD62" i="33"/>
  <c r="T62" i="33"/>
  <c r="S62" i="33"/>
  <c r="E62" i="33"/>
  <c r="T61" i="33"/>
  <c r="S61" i="33"/>
  <c r="E61" i="33"/>
  <c r="AB60" i="33"/>
  <c r="T60" i="33"/>
  <c r="S60" i="33"/>
  <c r="E60" i="33"/>
  <c r="AB59" i="33"/>
  <c r="T59" i="33"/>
  <c r="S59" i="33"/>
  <c r="E59" i="33"/>
  <c r="T58" i="33"/>
  <c r="S58" i="33"/>
  <c r="E58" i="33"/>
  <c r="T57" i="33"/>
  <c r="S57" i="33"/>
  <c r="E57" i="33"/>
  <c r="AD56" i="33"/>
  <c r="AC56" i="33"/>
  <c r="T56" i="33"/>
  <c r="S56" i="33"/>
  <c r="E56" i="33"/>
  <c r="AD55" i="33"/>
  <c r="AC55" i="33"/>
  <c r="T55" i="33"/>
  <c r="S55" i="33"/>
  <c r="E55" i="33"/>
  <c r="T54" i="33"/>
  <c r="S54" i="33"/>
  <c r="E54" i="33"/>
  <c r="T53" i="33"/>
  <c r="S53" i="33"/>
  <c r="E53" i="33"/>
  <c r="AD52" i="33"/>
  <c r="T52" i="33"/>
  <c r="S52" i="33"/>
  <c r="E52" i="33"/>
  <c r="AC51" i="33"/>
  <c r="AB51" i="33"/>
  <c r="W51" i="33"/>
  <c r="T51" i="33"/>
  <c r="S51" i="33"/>
  <c r="E51" i="33"/>
  <c r="T50" i="33"/>
  <c r="S50" i="33"/>
  <c r="E50" i="33"/>
  <c r="T49" i="33"/>
  <c r="S49" i="33"/>
  <c r="E49" i="33"/>
  <c r="T48" i="33"/>
  <c r="S48" i="33"/>
  <c r="E48" i="33"/>
  <c r="T47" i="33"/>
  <c r="S47" i="33"/>
  <c r="E47" i="33"/>
  <c r="T46" i="33"/>
  <c r="S46" i="33"/>
  <c r="E46" i="33"/>
  <c r="T45" i="33"/>
  <c r="S45" i="33"/>
  <c r="E45" i="33"/>
  <c r="T44" i="33"/>
  <c r="S44" i="33"/>
  <c r="E44" i="33"/>
  <c r="T43" i="33"/>
  <c r="S43" i="33"/>
  <c r="E43" i="33"/>
  <c r="T42" i="33"/>
  <c r="S42" i="33"/>
  <c r="E42" i="33"/>
  <c r="T41" i="33"/>
  <c r="S41" i="33"/>
  <c r="E41" i="33"/>
  <c r="T40" i="33"/>
  <c r="S40" i="33"/>
  <c r="E40" i="33"/>
  <c r="T39" i="33"/>
  <c r="S39" i="33"/>
  <c r="E39" i="33"/>
  <c r="AB38" i="33"/>
  <c r="T38" i="33"/>
  <c r="S38" i="33"/>
  <c r="E38" i="33"/>
  <c r="AB37" i="33"/>
  <c r="T37" i="33"/>
  <c r="S37" i="33"/>
  <c r="E37" i="33"/>
  <c r="AB36" i="33"/>
  <c r="T36" i="33"/>
  <c r="S36" i="33"/>
  <c r="E36" i="33"/>
  <c r="AB35" i="33"/>
  <c r="T35" i="33"/>
  <c r="S35" i="33"/>
  <c r="E35" i="33"/>
  <c r="T34" i="33"/>
  <c r="S34" i="33"/>
  <c r="E34" i="33"/>
  <c r="T33" i="33"/>
  <c r="S33" i="33"/>
  <c r="E33" i="33"/>
  <c r="AB32" i="33"/>
  <c r="T32" i="33"/>
  <c r="S32" i="33"/>
  <c r="E32" i="33"/>
  <c r="T31" i="33"/>
  <c r="S31" i="33"/>
  <c r="E31" i="33"/>
  <c r="AD30" i="33"/>
  <c r="T30" i="33"/>
  <c r="S30" i="33"/>
  <c r="E30" i="33"/>
  <c r="AD29" i="33"/>
  <c r="T29" i="33"/>
  <c r="S29" i="33"/>
  <c r="E29" i="33"/>
  <c r="T28" i="33"/>
  <c r="S28" i="33"/>
  <c r="E28" i="33"/>
  <c r="T27" i="33"/>
  <c r="S27" i="33"/>
  <c r="E27" i="33"/>
  <c r="T26" i="33"/>
  <c r="S26" i="33"/>
  <c r="E26" i="33"/>
  <c r="T25" i="33"/>
  <c r="S25" i="33"/>
  <c r="E25" i="33"/>
  <c r="T24" i="33"/>
  <c r="S24" i="33"/>
  <c r="E24" i="33"/>
  <c r="T23" i="33"/>
  <c r="S23" i="33"/>
  <c r="E23" i="33"/>
  <c r="T22" i="33"/>
  <c r="S22" i="33"/>
  <c r="E22" i="33"/>
  <c r="T21" i="33"/>
  <c r="S21" i="33"/>
  <c r="E21" i="33"/>
  <c r="T20" i="33"/>
  <c r="S20" i="33"/>
  <c r="E20" i="33"/>
  <c r="T19" i="33"/>
  <c r="S19" i="33"/>
  <c r="E19" i="33"/>
  <c r="T18" i="33"/>
  <c r="S18" i="33"/>
  <c r="E18" i="33"/>
  <c r="T17" i="33"/>
  <c r="S17" i="33"/>
  <c r="E17" i="33"/>
  <c r="T16" i="33"/>
  <c r="S16" i="33"/>
  <c r="E16" i="33"/>
  <c r="AC15" i="33"/>
  <c r="T15" i="33"/>
  <c r="S15" i="33"/>
  <c r="E15" i="33"/>
  <c r="T14" i="33"/>
  <c r="S14" i="33"/>
  <c r="E14" i="33"/>
  <c r="T13" i="33"/>
  <c r="S13" i="33"/>
  <c r="E13" i="33"/>
  <c r="AB12" i="33"/>
  <c r="T12" i="33"/>
  <c r="S12" i="33"/>
  <c r="E12" i="33"/>
  <c r="T11" i="33"/>
  <c r="S11" i="33"/>
  <c r="E11" i="33"/>
  <c r="T10" i="33"/>
  <c r="S10" i="33"/>
  <c r="E10" i="33"/>
  <c r="AB9" i="33"/>
  <c r="T9" i="33"/>
  <c r="S9" i="33"/>
  <c r="E9" i="33"/>
  <c r="T8" i="33"/>
  <c r="S8" i="33"/>
  <c r="E8" i="33"/>
  <c r="T7" i="33"/>
  <c r="S7" i="33"/>
  <c r="E7" i="33"/>
  <c r="T6" i="33"/>
  <c r="S6" i="33"/>
  <c r="E6" i="33"/>
  <c r="T5" i="33"/>
  <c r="S5" i="33"/>
  <c r="E5" i="33"/>
  <c r="T4" i="33"/>
  <c r="S4" i="33"/>
  <c r="E4" i="33"/>
  <c r="AD2" i="33"/>
  <c r="AC2" i="33"/>
  <c r="AB2" i="33"/>
  <c r="T2" i="33"/>
  <c r="S2" i="33"/>
  <c r="R2" i="33"/>
  <c r="Q2" i="33"/>
  <c r="P2" i="33"/>
  <c r="O2" i="33"/>
  <c r="N2" i="33"/>
  <c r="M2" i="33"/>
  <c r="K2" i="33"/>
  <c r="J2" i="33"/>
  <c r="H2" i="33"/>
  <c r="G2" i="33"/>
  <c r="F2" i="33"/>
  <c r="D2" i="33"/>
</calcChain>
</file>

<file path=xl/sharedStrings.xml><?xml version="1.0" encoding="utf-8"?>
<sst xmlns="http://schemas.openxmlformats.org/spreadsheetml/2006/main" count="1224" uniqueCount="787">
  <si>
    <t>ADAM-5017-A4E</t>
  </si>
  <si>
    <t>IT-ADAM-4015-BE</t>
  </si>
  <si>
    <t>C-CHC-RT-3KVA-LV</t>
  </si>
  <si>
    <t>IT-ADAM-4022T-AE</t>
  </si>
  <si>
    <r>
      <rPr>
        <b/>
        <sz val="12"/>
        <color theme="1"/>
        <rFont val="微軟正黑體"/>
        <family val="2"/>
        <charset val="136"/>
      </rPr>
      <t>產品編號</t>
    </r>
    <phoneticPr fontId="2" type="noConversion"/>
  </si>
  <si>
    <r>
      <rPr>
        <b/>
        <sz val="12"/>
        <color theme="1"/>
        <rFont val="微軟正黑體"/>
        <family val="2"/>
        <charset val="136"/>
      </rPr>
      <t>品名</t>
    </r>
    <phoneticPr fontId="2" type="noConversion"/>
  </si>
  <si>
    <r>
      <rPr>
        <b/>
        <sz val="12"/>
        <color theme="1"/>
        <rFont val="微軟正黑體"/>
        <family val="2"/>
        <charset val="136"/>
      </rPr>
      <t>數量</t>
    </r>
    <phoneticPr fontId="2" type="noConversion"/>
  </si>
  <si>
    <r>
      <rPr>
        <b/>
        <sz val="12"/>
        <color theme="1"/>
        <rFont val="微軟正黑體"/>
        <family val="2"/>
        <charset val="136"/>
      </rPr>
      <t>備註</t>
    </r>
    <phoneticPr fontId="2" type="noConversion"/>
  </si>
  <si>
    <r>
      <rPr>
        <sz val="12"/>
        <color theme="1"/>
        <rFont val="微軟正黑體"/>
        <family val="2"/>
        <charset val="136"/>
      </rPr>
      <t>筆記型電腦</t>
    </r>
    <r>
      <rPr>
        <sz val="12"/>
        <color theme="1"/>
        <rFont val="Calibri"/>
        <family val="2"/>
      </rPr>
      <t xml:space="preserve"> ASUS X1502A</t>
    </r>
  </si>
  <si>
    <r>
      <rPr>
        <sz val="12"/>
        <color theme="1"/>
        <rFont val="微軟正黑體"/>
        <family val="2"/>
        <charset val="136"/>
      </rPr>
      <t>台達</t>
    </r>
    <r>
      <rPr>
        <sz val="12"/>
        <color theme="1"/>
        <rFont val="Calibri"/>
        <family val="2"/>
      </rPr>
      <t>RT-3KVA-LV 110V</t>
    </r>
    <r>
      <rPr>
        <sz val="12"/>
        <color theme="1"/>
        <rFont val="微軟正黑體"/>
        <family val="2"/>
        <charset val="136"/>
      </rPr>
      <t>不斷電系統</t>
    </r>
  </si>
  <si>
    <t>3M-WR-TW-KO1000</t>
  </si>
  <si>
    <r>
      <rPr>
        <b/>
        <sz val="12"/>
        <color theme="1"/>
        <rFont val="微軟正黑體"/>
        <family val="2"/>
        <charset val="136"/>
      </rPr>
      <t>借出</t>
    </r>
    <phoneticPr fontId="2" type="noConversion"/>
  </si>
  <si>
    <r>
      <rPr>
        <b/>
        <sz val="12"/>
        <color theme="1"/>
        <rFont val="微軟正黑體"/>
        <family val="2"/>
        <charset val="136"/>
      </rPr>
      <t>借入</t>
    </r>
    <phoneticPr fontId="2" type="noConversion"/>
  </si>
  <si>
    <r>
      <rPr>
        <b/>
        <sz val="12"/>
        <color theme="1"/>
        <rFont val="微軟正黑體"/>
        <family val="2"/>
        <charset val="136"/>
      </rPr>
      <t>進貨數量</t>
    </r>
    <phoneticPr fontId="2" type="noConversion"/>
  </si>
  <si>
    <r>
      <rPr>
        <b/>
        <sz val="12"/>
        <color theme="1"/>
        <rFont val="微軟正黑體"/>
        <family val="2"/>
        <charset val="136"/>
      </rPr>
      <t>進貨成本</t>
    </r>
    <phoneticPr fontId="2" type="noConversion"/>
  </si>
  <si>
    <r>
      <rPr>
        <b/>
        <sz val="12"/>
        <color theme="1"/>
        <rFont val="微軟正黑體"/>
        <family val="2"/>
        <charset val="136"/>
      </rPr>
      <t>銷貨數量</t>
    </r>
    <phoneticPr fontId="2" type="noConversion"/>
  </si>
  <si>
    <r>
      <rPr>
        <b/>
        <sz val="12"/>
        <color theme="1"/>
        <rFont val="微軟正黑體"/>
        <family val="2"/>
        <charset val="136"/>
      </rPr>
      <t>銷貨成本</t>
    </r>
    <phoneticPr fontId="2" type="noConversion"/>
  </si>
  <si>
    <r>
      <rPr>
        <b/>
        <sz val="12"/>
        <color theme="1"/>
        <rFont val="微軟正黑體"/>
        <family val="2"/>
        <charset val="136"/>
      </rPr>
      <t>庫存數量</t>
    </r>
    <phoneticPr fontId="2" type="noConversion"/>
  </si>
  <si>
    <r>
      <rPr>
        <b/>
        <sz val="12"/>
        <color theme="1"/>
        <rFont val="微軟正黑體"/>
        <family val="2"/>
        <charset val="136"/>
      </rPr>
      <t>庫存金額</t>
    </r>
    <phoneticPr fontId="2" type="noConversion"/>
  </si>
  <si>
    <r>
      <rPr>
        <b/>
        <sz val="12"/>
        <color theme="1"/>
        <rFont val="微軟正黑體"/>
        <family val="2"/>
        <charset val="136"/>
      </rPr>
      <t>預計銷貨</t>
    </r>
    <r>
      <rPr>
        <b/>
        <sz val="12"/>
        <color theme="1"/>
        <rFont val="Calibri"/>
        <family val="2"/>
      </rPr>
      <t>(</t>
    </r>
    <r>
      <rPr>
        <b/>
        <sz val="12"/>
        <color theme="1"/>
        <rFont val="微軟正黑體"/>
        <family val="2"/>
        <charset val="136"/>
      </rPr>
      <t>未銷貨</t>
    </r>
    <r>
      <rPr>
        <b/>
        <sz val="12"/>
        <color theme="1"/>
        <rFont val="Calibri"/>
        <family val="2"/>
      </rPr>
      <t>)</t>
    </r>
    <phoneticPr fontId="2" type="noConversion"/>
  </si>
  <si>
    <t>ADAM-3600-C2GL1A1E</t>
  </si>
  <si>
    <r>
      <rPr>
        <b/>
        <sz val="12"/>
        <color theme="1"/>
        <rFont val="微軟正黑體"/>
        <family val="2"/>
        <charset val="136"/>
      </rPr>
      <t>調整數量</t>
    </r>
    <phoneticPr fontId="2" type="noConversion"/>
  </si>
  <si>
    <r>
      <rPr>
        <b/>
        <sz val="12"/>
        <color theme="1"/>
        <rFont val="微軟正黑體"/>
        <family val="2"/>
        <charset val="136"/>
      </rPr>
      <t>調整成本</t>
    </r>
    <phoneticPr fontId="2" type="noConversion"/>
  </si>
  <si>
    <t>C-JW-200-5A-15VA-0.3</t>
  </si>
  <si>
    <t>ECU WIFI</t>
  </si>
  <si>
    <t>Z-EL-001</t>
  </si>
  <si>
    <t>UNO-2483-BtO</t>
  </si>
  <si>
    <t>UNO-2271G-BT</t>
  </si>
  <si>
    <t>TP-M10243-1</t>
  </si>
  <si>
    <t>TP-M10027-1</t>
  </si>
  <si>
    <t>TP-C0152-1</t>
  </si>
  <si>
    <t>TCSGD1000-1CDB</t>
  </si>
  <si>
    <t>SP-YF1.25-3S</t>
  </si>
  <si>
    <t>SP-RELAY-24V</t>
  </si>
  <si>
    <t>SP-PTF08A-A</t>
  </si>
  <si>
    <t>SP-20</t>
  </si>
  <si>
    <t>SP-150/5A</t>
  </si>
  <si>
    <t>SP</t>
  </si>
  <si>
    <t>SOYAL-AR-829E</t>
  </si>
  <si>
    <t>SOYAL-AR-737PDX8N(2)</t>
  </si>
  <si>
    <t>SONY-VWS-75A06</t>
  </si>
  <si>
    <t>SNT-8D0120TF</t>
  </si>
  <si>
    <t>S-LY-LY900-0020-P5</t>
  </si>
  <si>
    <t>SHINING</t>
  </si>
  <si>
    <t>S-DA-L62</t>
  </si>
  <si>
    <t>S-35-12</t>
  </si>
  <si>
    <t>S-100-24</t>
  </si>
  <si>
    <t>RMY2NJ-220</t>
  </si>
  <si>
    <t>RAS-110NX1</t>
  </si>
  <si>
    <t>RAM-155JKQB</t>
  </si>
  <si>
    <t>R410A</t>
  </si>
  <si>
    <t>PYHPB-25-G</t>
  </si>
  <si>
    <t>PT-080</t>
  </si>
  <si>
    <t>USB TO PS2 KB/MOUSE</t>
  </si>
  <si>
    <t>PRS-35-24</t>
  </si>
  <si>
    <t>POST-YILONG1</t>
  </si>
  <si>
    <t>POST-YILONG</t>
  </si>
  <si>
    <t>PL-SNET-8-3NN-NN-D24</t>
  </si>
  <si>
    <t>PGS-705FS</t>
  </si>
  <si>
    <t>PDU-20A</t>
  </si>
  <si>
    <t>OA1001-54</t>
  </si>
  <si>
    <t>NO328</t>
  </si>
  <si>
    <t>MMS-530VT</t>
  </si>
  <si>
    <t>MMS-504HR</t>
  </si>
  <si>
    <t>M-03</t>
  </si>
  <si>
    <t>LTBR-N</t>
  </si>
  <si>
    <t>LRS-50-12</t>
  </si>
  <si>
    <t>LK-4800A</t>
  </si>
  <si>
    <t>LK-120S</t>
  </si>
  <si>
    <t>LK-100S1</t>
  </si>
  <si>
    <t>LED-42"</t>
  </si>
  <si>
    <t>LED</t>
  </si>
  <si>
    <t>LE10-24V</t>
  </si>
  <si>
    <t>LDR-100++</t>
  </si>
  <si>
    <t>LCU-2S-SW</t>
  </si>
  <si>
    <t>KI7833</t>
  </si>
  <si>
    <t>KI7785V</t>
  </si>
  <si>
    <t>KI7755V</t>
  </si>
  <si>
    <t>JSMHP</t>
  </si>
  <si>
    <t>JR-1U-690MM</t>
  </si>
  <si>
    <t>JIC-636AR</t>
  </si>
  <si>
    <t>J1001</t>
  </si>
  <si>
    <t>IT-Z001</t>
  </si>
  <si>
    <t>IT-SXL-30000A-RM</t>
  </si>
  <si>
    <t>UPS</t>
  </si>
  <si>
    <t>IT-E128840</t>
  </si>
  <si>
    <t>ADAM-5550KW-AE</t>
  </si>
  <si>
    <t>ADAM-5069-AE</t>
  </si>
  <si>
    <t>IT-ADAM-5051D-AE</t>
  </si>
  <si>
    <t>ADAM-5051D-AE</t>
  </si>
  <si>
    <t>ADAM-5050-A2E</t>
  </si>
  <si>
    <t>IT-ADAM-5017-A3</t>
  </si>
  <si>
    <t>ADAM-5017-A3</t>
  </si>
  <si>
    <t>IT-ADAM-4572-CE</t>
  </si>
  <si>
    <t>G-EL-B4</t>
  </si>
  <si>
    <t>ET0.75-8WE</t>
  </si>
  <si>
    <t>EDR-150-24</t>
  </si>
  <si>
    <t>EBA-43ASCAM</t>
  </si>
  <si>
    <t>DEMO BOX</t>
  </si>
  <si>
    <t>DEMOBOX 600*400*200</t>
  </si>
  <si>
    <t>C-SY-AR-1207A-29</t>
  </si>
  <si>
    <t>C-M10009-2</t>
  </si>
  <si>
    <t>C-KCA-YT02-01202000-04</t>
  </si>
  <si>
    <t>C-HC-P4805AF</t>
  </si>
  <si>
    <t>A-SOYAL-HID-1</t>
  </si>
  <si>
    <t>AR-TAGC13W50F</t>
  </si>
  <si>
    <t>AR-727HSRA121-V5</t>
  </si>
  <si>
    <t>AR-727-CM-485</t>
  </si>
  <si>
    <t>AR-0300MZL</t>
  </si>
  <si>
    <t>A-PXR-62MT SG</t>
  </si>
  <si>
    <t>APAX-5620KW-AE</t>
  </si>
  <si>
    <t>A-LK-4600-1</t>
  </si>
  <si>
    <t>A-LK-4500A</t>
  </si>
  <si>
    <t>ADAM-5560KW-AE</t>
  </si>
  <si>
    <t>16CH DO Module w/LED</t>
  </si>
  <si>
    <t>ACTI E42B</t>
  </si>
  <si>
    <t>UPE5408-IP</t>
  </si>
  <si>
    <t>USB-2020</t>
  </si>
  <si>
    <t>VAMDA8DV4NN8A</t>
  </si>
  <si>
    <t>VT-GE-SOFT</t>
  </si>
  <si>
    <t>WIN SERVER 2012 OS</t>
  </si>
  <si>
    <t>WISE4012EAE-ES</t>
  </si>
  <si>
    <t>Z-CB-C004962</t>
  </si>
  <si>
    <t>Z-SF-4G001</t>
  </si>
  <si>
    <t>Z-WEBACCESS-1</t>
  </si>
  <si>
    <t>ZYXEL-ES-109G</t>
  </si>
  <si>
    <t>ZYXEL-ES-109T</t>
  </si>
  <si>
    <t>ZYXEL-ES-109V</t>
  </si>
  <si>
    <t>ZYXEL-ES-110J</t>
  </si>
  <si>
    <t>ZYXEL-ES-110N</t>
  </si>
  <si>
    <t>ZZ-05</t>
  </si>
  <si>
    <t>Z-ACTI-SERVICE</t>
  </si>
  <si>
    <t>LDR-100</t>
  </si>
  <si>
    <t>TP-M00140-1</t>
  </si>
  <si>
    <t>Z-EL-7P-250A</t>
  </si>
  <si>
    <t>Z-EL-BAL-250A7P</t>
  </si>
  <si>
    <t>Z-EL-BBHA-1PC32A</t>
  </si>
  <si>
    <t>Z-EL-BBHA-3PC-30A</t>
  </si>
  <si>
    <t>Z-EL-BBHA-3PC-32A</t>
  </si>
  <si>
    <t>Z-KSS-LBD5-10</t>
  </si>
  <si>
    <t>Z-KSS-LMD5</t>
  </si>
  <si>
    <t>Z-TEND-TBD-20</t>
  </si>
  <si>
    <t>Z-TEND-TBR-F</t>
  </si>
  <si>
    <t>Z-GT-001</t>
  </si>
  <si>
    <t>Z-GT-EA075-011</t>
  </si>
  <si>
    <t>ADAM-4051-C</t>
  </si>
  <si>
    <t>ADAM-4051-C 16CH ISOLATED DI</t>
  </si>
  <si>
    <t>TP-C0153-5</t>
  </si>
  <si>
    <t>webaccess NRE (additional 300 tags)</t>
  </si>
  <si>
    <t>Z-EL-LTB-A20-P</t>
  </si>
  <si>
    <t>Z-JE-AL-3SRE180CL</t>
  </si>
  <si>
    <t>Z-JE-AL-C6A-F-PIUG</t>
  </si>
  <si>
    <t>Z-JE-AL-C6A-UFTP-GY</t>
  </si>
  <si>
    <t>Z-KSS-1</t>
  </si>
  <si>
    <t>Z-KSS-RJ45-8C6A</t>
  </si>
  <si>
    <t>Z-RIKO-NDR-480-24</t>
  </si>
  <si>
    <t>AR-0600MZL</t>
  </si>
  <si>
    <t>WiFi 4 2.4GHz mPCle with Antenna and cable    96PD-RYUW131A1</t>
  </si>
  <si>
    <t>C-SY-AR-101-PBI</t>
  </si>
  <si>
    <t>C-TIS-SNL-014800</t>
  </si>
  <si>
    <t>C-WCH-2P-1-R-15M</t>
  </si>
  <si>
    <t>LRS-350-12</t>
  </si>
  <si>
    <t>Z-15-FS001SC-SC-1</t>
  </si>
  <si>
    <t>Z-EL-EYTT-06</t>
  </si>
  <si>
    <t>Z-EL-LTKJ047</t>
  </si>
  <si>
    <t>C-CD-CFSX-100</t>
  </si>
  <si>
    <t>C-CD-CG5F-FR-N2-A-NNNNNY</t>
  </si>
  <si>
    <t>TJMC-10A</t>
  </si>
  <si>
    <t>TJMC-1A</t>
  </si>
  <si>
    <t>TJMC-6A</t>
  </si>
  <si>
    <t>TP-C0311-2024072401-1</t>
  </si>
  <si>
    <t>TP-M10258-1</t>
  </si>
  <si>
    <t>Z-BTFBR-101</t>
  </si>
  <si>
    <t>Z-FBS 2-6</t>
  </si>
  <si>
    <t>Z-KSS-Y1.5-3S</t>
  </si>
  <si>
    <r>
      <rPr>
        <b/>
        <sz val="12"/>
        <color theme="1"/>
        <rFont val="微軟正黑體"/>
        <family val="2"/>
        <charset val="136"/>
      </rPr>
      <t>單位成本</t>
    </r>
    <phoneticPr fontId="2" type="noConversion"/>
  </si>
  <si>
    <r>
      <rPr>
        <b/>
        <sz val="12"/>
        <color theme="1"/>
        <rFont val="微軟正黑體"/>
        <family val="2"/>
        <charset val="136"/>
      </rPr>
      <t>最後進貨日</t>
    </r>
    <phoneticPr fontId="2" type="noConversion"/>
  </si>
  <si>
    <r>
      <rPr>
        <b/>
        <sz val="12"/>
        <color theme="1"/>
        <rFont val="微軟正黑體"/>
        <family val="2"/>
        <charset val="136"/>
      </rPr>
      <t>最後銷貨日</t>
    </r>
    <phoneticPr fontId="2" type="noConversion"/>
  </si>
  <si>
    <r>
      <rPr>
        <b/>
        <sz val="12"/>
        <color theme="1"/>
        <rFont val="微軟正黑體"/>
        <family val="2"/>
        <charset val="136"/>
      </rPr>
      <t>銷退數量</t>
    </r>
    <phoneticPr fontId="2" type="noConversion"/>
  </si>
  <si>
    <r>
      <rPr>
        <b/>
        <sz val="12"/>
        <color theme="1"/>
        <rFont val="微軟正黑體"/>
        <family val="2"/>
        <charset val="136"/>
      </rPr>
      <t>銷退成本</t>
    </r>
    <phoneticPr fontId="2" type="noConversion"/>
  </si>
  <si>
    <r>
      <t>220</t>
    </r>
    <r>
      <rPr>
        <sz val="12"/>
        <color theme="1"/>
        <rFont val="微軟正黑體"/>
        <family val="2"/>
        <charset val="136"/>
      </rPr>
      <t>焊接式繼電器</t>
    </r>
  </si>
  <si>
    <r>
      <t>Mifare</t>
    </r>
    <r>
      <rPr>
        <sz val="12"/>
        <color theme="1"/>
        <rFont val="微軟正黑體"/>
        <family val="2"/>
        <charset val="136"/>
      </rPr>
      <t>卡</t>
    </r>
    <r>
      <rPr>
        <sz val="12"/>
        <color theme="1"/>
        <rFont val="Calibri"/>
        <family val="2"/>
      </rPr>
      <t>-</t>
    </r>
    <r>
      <rPr>
        <sz val="12"/>
        <color theme="1"/>
        <rFont val="微軟正黑體"/>
        <family val="2"/>
        <charset val="136"/>
      </rPr>
      <t>非接觸式門禁卡</t>
    </r>
  </si>
  <si>
    <r>
      <t>ACTI E42B</t>
    </r>
    <r>
      <rPr>
        <sz val="12"/>
        <color theme="1"/>
        <rFont val="微軟正黑體"/>
        <family val="2"/>
        <charset val="136"/>
      </rPr>
      <t>網路攝影機</t>
    </r>
  </si>
  <si>
    <r>
      <rPr>
        <sz val="12"/>
        <color theme="1"/>
        <rFont val="微軟正黑體"/>
        <family val="2"/>
        <charset val="136"/>
      </rPr>
      <t>緊急壓扣開關</t>
    </r>
  </si>
  <si>
    <r>
      <rPr>
        <sz val="12"/>
        <color theme="1"/>
        <rFont val="微軟正黑體"/>
        <family val="2"/>
        <charset val="136"/>
      </rPr>
      <t>磁力鎖</t>
    </r>
    <r>
      <rPr>
        <sz val="12"/>
        <color theme="1"/>
        <rFont val="Calibri"/>
        <family val="2"/>
      </rPr>
      <t>0300-ZL</t>
    </r>
    <r>
      <rPr>
        <sz val="12"/>
        <color theme="1"/>
        <rFont val="微軟正黑體"/>
        <family val="2"/>
        <charset val="136"/>
      </rPr>
      <t>支架</t>
    </r>
    <r>
      <rPr>
        <sz val="12"/>
        <color theme="1"/>
        <rFont val="Calibri"/>
        <family val="2"/>
      </rPr>
      <t xml:space="preserve"> </t>
    </r>
    <r>
      <rPr>
        <sz val="12"/>
        <color theme="1"/>
        <rFont val="微軟正黑體"/>
        <family val="2"/>
        <charset val="136"/>
      </rPr>
      <t>適用於</t>
    </r>
    <r>
      <rPr>
        <sz val="12"/>
        <color theme="1"/>
        <rFont val="Calibri"/>
        <family val="2"/>
      </rPr>
      <t>AR-0300M</t>
    </r>
  </si>
  <si>
    <r>
      <t>0600-LZ</t>
    </r>
    <r>
      <rPr>
        <sz val="12"/>
        <color theme="1"/>
        <rFont val="微軟正黑體"/>
        <family val="2"/>
        <charset val="136"/>
      </rPr>
      <t>支架</t>
    </r>
  </si>
  <si>
    <r>
      <t xml:space="preserve">Soyal E3/TCP1P/RS485 </t>
    </r>
    <r>
      <rPr>
        <sz val="12"/>
        <color theme="1"/>
        <rFont val="微軟正黑體"/>
        <family val="2"/>
        <charset val="136"/>
      </rPr>
      <t>轉換器</t>
    </r>
  </si>
  <si>
    <r>
      <rPr>
        <sz val="12"/>
        <color theme="1"/>
        <rFont val="微軟正黑體"/>
        <family val="2"/>
        <charset val="136"/>
      </rPr>
      <t>雙頻</t>
    </r>
    <r>
      <rPr>
        <sz val="12"/>
        <color theme="1"/>
        <rFont val="Calibri"/>
        <family val="2"/>
      </rPr>
      <t>/RTC/RS485/TCP-IP/</t>
    </r>
    <r>
      <rPr>
        <sz val="12"/>
        <color theme="1"/>
        <rFont val="微軟正黑體"/>
        <family val="2"/>
        <charset val="136"/>
      </rPr>
      <t>深灰</t>
    </r>
  </si>
  <si>
    <r>
      <rPr>
        <sz val="12"/>
        <color theme="1"/>
        <rFont val="微軟正黑體"/>
        <family val="2"/>
        <charset val="136"/>
      </rPr>
      <t>感應卡</t>
    </r>
  </si>
  <si>
    <r>
      <t>HID</t>
    </r>
    <r>
      <rPr>
        <sz val="12"/>
        <color theme="1"/>
        <rFont val="微軟正黑體"/>
        <family val="2"/>
        <charset val="136"/>
      </rPr>
      <t>雙頻模組</t>
    </r>
  </si>
  <si>
    <r>
      <t xml:space="preserve">APAX-5070-BE </t>
    </r>
    <r>
      <rPr>
        <sz val="12"/>
        <color theme="1"/>
        <rFont val="微軟正黑體"/>
        <family val="2"/>
        <charset val="136"/>
      </rPr>
      <t>控制器通訊通信模組</t>
    </r>
  </si>
  <si>
    <r>
      <rPr>
        <sz val="12"/>
        <color theme="1"/>
        <rFont val="微軟正黑體"/>
        <family val="2"/>
        <charset val="136"/>
      </rPr>
      <t>一體型蹼輪式流量傳送器</t>
    </r>
    <r>
      <rPr>
        <sz val="12"/>
        <color theme="1"/>
        <rFont val="Calibri"/>
        <family val="2"/>
      </rPr>
      <t xml:space="preserve"> CFSX-100</t>
    </r>
  </si>
  <si>
    <r>
      <rPr>
        <sz val="12"/>
        <color theme="1"/>
        <rFont val="微軟正黑體"/>
        <family val="2"/>
        <charset val="136"/>
      </rPr>
      <t>脈波輸入瞬間量累積量錶</t>
    </r>
    <r>
      <rPr>
        <sz val="12"/>
        <color theme="1"/>
        <rFont val="Calibri"/>
        <family val="2"/>
      </rPr>
      <t xml:space="preserve"> CG5F-FR-N2-A-NNNNNY</t>
    </r>
  </si>
  <si>
    <r>
      <rPr>
        <sz val="12"/>
        <color theme="1"/>
        <rFont val="微軟正黑體"/>
        <family val="2"/>
        <charset val="136"/>
      </rPr>
      <t>三相多功能電表</t>
    </r>
  </si>
  <si>
    <r>
      <rPr>
        <sz val="12"/>
        <color theme="1"/>
        <rFont val="微軟正黑體"/>
        <family val="2"/>
        <charset val="136"/>
      </rPr>
      <t>單埠標準</t>
    </r>
    <r>
      <rPr>
        <sz val="12"/>
        <color theme="1"/>
        <rFont val="Calibri"/>
        <family val="2"/>
      </rPr>
      <t>POE</t>
    </r>
    <r>
      <rPr>
        <sz val="12"/>
        <color theme="1"/>
        <rFont val="微軟正黑體"/>
        <family val="2"/>
        <charset val="136"/>
      </rPr>
      <t>供電器</t>
    </r>
  </si>
  <si>
    <r>
      <rPr>
        <sz val="12"/>
        <color theme="1"/>
        <rFont val="微軟正黑體"/>
        <family val="2"/>
        <charset val="136"/>
      </rPr>
      <t>比流器</t>
    </r>
    <r>
      <rPr>
        <sz val="12"/>
        <color theme="1"/>
        <rFont val="Calibri"/>
        <family val="2"/>
      </rPr>
      <t xml:space="preserve"> 200/5A 15VA 0.3</t>
    </r>
    <r>
      <rPr>
        <sz val="12"/>
        <color theme="1"/>
        <rFont val="微軟正黑體"/>
        <family val="2"/>
        <charset val="136"/>
      </rPr>
      <t>級</t>
    </r>
    <r>
      <rPr>
        <sz val="12"/>
        <color theme="1"/>
        <rFont val="Calibri"/>
        <family val="2"/>
      </rPr>
      <t xml:space="preserve"> </t>
    </r>
    <r>
      <rPr>
        <sz val="12"/>
        <color theme="1"/>
        <rFont val="微軟正黑體"/>
        <family val="2"/>
        <charset val="136"/>
      </rPr>
      <t>孔徑</t>
    </r>
    <r>
      <rPr>
        <sz val="12"/>
        <color theme="1"/>
        <rFont val="Calibri"/>
        <family val="2"/>
      </rPr>
      <t>38mm</t>
    </r>
  </si>
  <si>
    <r>
      <rPr>
        <sz val="12"/>
        <color theme="1"/>
        <rFont val="微軟正黑體"/>
        <family val="2"/>
        <charset val="136"/>
      </rPr>
      <t>電腦主機</t>
    </r>
    <r>
      <rPr>
        <sz val="12"/>
        <color theme="1"/>
        <rFont val="Calibri"/>
        <family val="2"/>
      </rPr>
      <t xml:space="preserve">(i5-14600) FOR </t>
    </r>
    <r>
      <rPr>
        <sz val="12"/>
        <color theme="1"/>
        <rFont val="微軟正黑體"/>
        <family val="2"/>
        <charset val="136"/>
      </rPr>
      <t>彰化台電</t>
    </r>
  </si>
  <si>
    <r>
      <rPr>
        <sz val="12"/>
        <color theme="1"/>
        <rFont val="微軟正黑體"/>
        <family val="2"/>
        <charset val="136"/>
      </rPr>
      <t>感應式按鈕</t>
    </r>
    <r>
      <rPr>
        <sz val="12"/>
        <color theme="1"/>
        <rFont val="Calibri"/>
        <family val="2"/>
      </rPr>
      <t>(E5/PBP9/</t>
    </r>
    <r>
      <rPr>
        <sz val="12"/>
        <color theme="1"/>
        <rFont val="微軟正黑體"/>
        <family val="2"/>
        <charset val="136"/>
      </rPr>
      <t>紅外線</t>
    </r>
    <r>
      <rPr>
        <sz val="12"/>
        <color theme="1"/>
        <rFont val="Calibri"/>
        <family val="2"/>
      </rPr>
      <t>/</t>
    </r>
    <r>
      <rPr>
        <sz val="12"/>
        <color theme="1"/>
        <rFont val="微軟正黑體"/>
        <family val="2"/>
        <charset val="136"/>
      </rPr>
      <t>綠紅</t>
    </r>
    <r>
      <rPr>
        <sz val="12"/>
        <color theme="1"/>
        <rFont val="Calibri"/>
        <family val="2"/>
      </rPr>
      <t>/</t>
    </r>
    <r>
      <rPr>
        <sz val="12"/>
        <color theme="1"/>
        <rFont val="微軟正黑體"/>
        <family val="2"/>
        <charset val="136"/>
      </rPr>
      <t>手</t>
    </r>
    <r>
      <rPr>
        <sz val="12"/>
        <color theme="1"/>
        <rFont val="Calibri"/>
        <family val="2"/>
      </rPr>
      <t>+WIFI</t>
    </r>
    <r>
      <rPr>
        <sz val="12"/>
        <color theme="1"/>
        <rFont val="微軟正黑體"/>
        <family val="2"/>
        <charset val="136"/>
      </rPr>
      <t>銘板</t>
    </r>
    <r>
      <rPr>
        <sz val="12"/>
        <color theme="1"/>
        <rFont val="Calibri"/>
        <family val="2"/>
      </rPr>
      <t>)</t>
    </r>
  </si>
  <si>
    <r>
      <rPr>
        <sz val="12"/>
        <color theme="1"/>
        <rFont val="微軟正黑體"/>
        <family val="2"/>
        <charset val="136"/>
      </rPr>
      <t>埋入式陽極鎖</t>
    </r>
    <r>
      <rPr>
        <sz val="12"/>
        <color theme="1"/>
        <rFont val="Calibri"/>
        <family val="2"/>
      </rPr>
      <t>/</t>
    </r>
    <r>
      <rPr>
        <sz val="12"/>
        <color theme="1"/>
        <rFont val="微軟正黑體"/>
        <family val="2"/>
        <charset val="136"/>
      </rPr>
      <t>斷電開</t>
    </r>
    <r>
      <rPr>
        <sz val="12"/>
        <color theme="1"/>
        <rFont val="Calibri"/>
        <family val="2"/>
      </rPr>
      <t>/LED</t>
    </r>
  </si>
  <si>
    <r>
      <t>RS485</t>
    </r>
    <r>
      <rPr>
        <sz val="12"/>
        <color theme="1"/>
        <rFont val="微軟正黑體"/>
        <family val="2"/>
        <charset val="136"/>
      </rPr>
      <t>光合有效輻射</t>
    </r>
    <r>
      <rPr>
        <sz val="12"/>
        <color theme="1"/>
        <rFont val="Calibri"/>
        <family val="2"/>
      </rPr>
      <t>(PAR)</t>
    </r>
    <r>
      <rPr>
        <sz val="12"/>
        <color theme="1"/>
        <rFont val="微軟正黑體"/>
        <family val="2"/>
        <charset val="136"/>
      </rPr>
      <t>感測器</t>
    </r>
    <r>
      <rPr>
        <sz val="12"/>
        <color theme="1"/>
        <rFont val="Calibri"/>
        <family val="2"/>
      </rPr>
      <t>(400-700nm) SNL-014800</t>
    </r>
  </si>
  <si>
    <r>
      <rPr>
        <sz val="12"/>
        <color theme="1"/>
        <rFont val="微軟正黑體"/>
        <family val="2"/>
        <charset val="136"/>
      </rPr>
      <t>溫溼度感測器</t>
    </r>
    <r>
      <rPr>
        <sz val="12"/>
        <color theme="1"/>
        <rFont val="Calibri"/>
        <family val="2"/>
      </rPr>
      <t>(</t>
    </r>
    <r>
      <rPr>
        <sz val="12"/>
        <color theme="1"/>
        <rFont val="微軟正黑體"/>
        <family val="2"/>
        <charset val="136"/>
      </rPr>
      <t>含防水防護罩</t>
    </r>
    <r>
      <rPr>
        <sz val="12"/>
        <color theme="1"/>
        <rFont val="Calibri"/>
        <family val="2"/>
      </rPr>
      <t>+</t>
    </r>
    <r>
      <rPr>
        <sz val="12"/>
        <color theme="1"/>
        <rFont val="微軟正黑體"/>
        <family val="2"/>
        <charset val="136"/>
      </rPr>
      <t>鐵片</t>
    </r>
    <r>
      <rPr>
        <sz val="12"/>
        <color theme="1"/>
        <rFont val="Calibri"/>
        <family val="2"/>
      </rPr>
      <t>) WCH-2P-1-R-15M</t>
    </r>
  </si>
  <si>
    <r>
      <t>EBA-43ASCAM 30 (100) A 110 ~480V ~_</t>
    </r>
    <r>
      <rPr>
        <sz val="12"/>
        <color theme="1"/>
        <rFont val="微軟正黑體"/>
        <family val="2"/>
        <charset val="136"/>
      </rPr>
      <t>大同數位電錶</t>
    </r>
  </si>
  <si>
    <r>
      <rPr>
        <sz val="12"/>
        <color theme="1"/>
        <rFont val="微軟正黑體"/>
        <family val="2"/>
        <charset val="136"/>
      </rPr>
      <t>電源供應器</t>
    </r>
    <r>
      <rPr>
        <sz val="12"/>
        <color theme="1"/>
        <rFont val="Calibri"/>
        <family val="2"/>
      </rPr>
      <t>(</t>
    </r>
    <r>
      <rPr>
        <sz val="12"/>
        <color theme="1"/>
        <rFont val="微軟正黑體"/>
        <family val="2"/>
        <charset val="136"/>
      </rPr>
      <t>薄型</t>
    </r>
    <r>
      <rPr>
        <sz val="12"/>
        <color theme="1"/>
        <rFont val="Calibri"/>
        <family val="2"/>
      </rPr>
      <t>)</t>
    </r>
  </si>
  <si>
    <r>
      <rPr>
        <sz val="12"/>
        <color theme="1"/>
        <rFont val="微軟正黑體"/>
        <family val="2"/>
        <charset val="136"/>
      </rPr>
      <t>歐式端子</t>
    </r>
  </si>
  <si>
    <r>
      <rPr>
        <sz val="12"/>
        <color theme="1"/>
        <rFont val="微軟正黑體"/>
        <family val="2"/>
        <charset val="136"/>
      </rPr>
      <t>鐵箱附底板</t>
    </r>
    <r>
      <rPr>
        <sz val="12"/>
        <color theme="1"/>
        <rFont val="Calibri"/>
        <family val="2"/>
      </rPr>
      <t>460*360*185(B4)</t>
    </r>
  </si>
  <si>
    <r>
      <rPr>
        <sz val="12"/>
        <color theme="1"/>
        <rFont val="微軟正黑體"/>
        <family val="2"/>
        <charset val="136"/>
      </rPr>
      <t>網路板</t>
    </r>
  </si>
  <si>
    <r>
      <rPr>
        <sz val="12"/>
        <color theme="1"/>
        <rFont val="微軟正黑體"/>
        <family val="2"/>
        <charset val="136"/>
      </rPr>
      <t>導覽櫃</t>
    </r>
  </si>
  <si>
    <r>
      <rPr>
        <sz val="12"/>
        <color theme="1"/>
        <rFont val="微軟正黑體"/>
        <family val="2"/>
        <charset val="136"/>
      </rPr>
      <t>室外防護罩</t>
    </r>
  </si>
  <si>
    <r>
      <rPr>
        <sz val="12"/>
        <color theme="1"/>
        <rFont val="微軟正黑體"/>
        <family val="2"/>
        <charset val="136"/>
      </rPr>
      <t>光電式煙霧蜂鳴警報器</t>
    </r>
  </si>
  <si>
    <r>
      <t>1U</t>
    </r>
    <r>
      <rPr>
        <sz val="12"/>
        <color theme="1"/>
        <rFont val="微軟正黑體"/>
        <family val="2"/>
        <charset val="136"/>
      </rPr>
      <t>免工具式載重板</t>
    </r>
    <r>
      <rPr>
        <sz val="12"/>
        <color theme="1"/>
        <rFont val="Calibri"/>
        <family val="2"/>
      </rPr>
      <t>JR-1U-690mm(</t>
    </r>
    <r>
      <rPr>
        <sz val="12"/>
        <color theme="1"/>
        <rFont val="微軟正黑體"/>
        <family val="2"/>
        <charset val="136"/>
      </rPr>
      <t>米白色</t>
    </r>
    <r>
      <rPr>
        <sz val="12"/>
        <color theme="1"/>
        <rFont val="Calibri"/>
        <family val="2"/>
      </rPr>
      <t>)</t>
    </r>
  </si>
  <si>
    <r>
      <rPr>
        <sz val="12"/>
        <color theme="1"/>
        <rFont val="微軟正黑體"/>
        <family val="2"/>
        <charset val="136"/>
      </rPr>
      <t>土壤四合一偵測器</t>
    </r>
    <r>
      <rPr>
        <sz val="12"/>
        <color theme="1"/>
        <rFont val="Calibri"/>
        <family val="2"/>
      </rPr>
      <t>JSMHP</t>
    </r>
  </si>
  <si>
    <r>
      <rPr>
        <sz val="12"/>
        <color theme="1"/>
        <rFont val="微軟正黑體"/>
        <family val="2"/>
        <charset val="136"/>
      </rPr>
      <t>紅外線網路攝影機</t>
    </r>
    <r>
      <rPr>
        <sz val="12"/>
        <color theme="1"/>
        <rFont val="Calibri"/>
        <family val="2"/>
      </rPr>
      <t>(2M 60</t>
    </r>
    <r>
      <rPr>
        <sz val="12"/>
        <color theme="1"/>
        <rFont val="微軟正黑體"/>
        <family val="2"/>
        <charset val="136"/>
      </rPr>
      <t>米</t>
    </r>
    <r>
      <rPr>
        <sz val="12"/>
        <color theme="1"/>
        <rFont val="Calibri"/>
        <family val="2"/>
      </rPr>
      <t>)KI7755V</t>
    </r>
  </si>
  <si>
    <r>
      <rPr>
        <sz val="12"/>
        <color theme="1"/>
        <rFont val="微軟正黑體"/>
        <family val="2"/>
        <charset val="136"/>
      </rPr>
      <t>攝影機</t>
    </r>
    <r>
      <rPr>
        <sz val="12"/>
        <color theme="1"/>
        <rFont val="Calibri"/>
        <family val="2"/>
      </rPr>
      <t>KI7785V-720P</t>
    </r>
    <r>
      <rPr>
        <sz val="12"/>
        <color theme="1"/>
        <rFont val="微軟正黑體"/>
        <family val="2"/>
        <charset val="136"/>
      </rPr>
      <t>百萬畫素</t>
    </r>
    <r>
      <rPr>
        <sz val="12"/>
        <color theme="1"/>
        <rFont val="Calibri"/>
        <family val="2"/>
      </rPr>
      <t>50</t>
    </r>
    <r>
      <rPr>
        <sz val="12"/>
        <color theme="1"/>
        <rFont val="微軟正黑體"/>
        <family val="2"/>
        <charset val="136"/>
      </rPr>
      <t>米紅外線一體成型</t>
    </r>
  </si>
  <si>
    <r>
      <rPr>
        <sz val="12"/>
        <color theme="1"/>
        <rFont val="微軟正黑體"/>
        <family val="2"/>
        <charset val="136"/>
      </rPr>
      <t>紅外線攝影機</t>
    </r>
    <r>
      <rPr>
        <sz val="12"/>
        <color theme="1"/>
        <rFont val="Calibri"/>
        <family val="2"/>
      </rPr>
      <t>-AHD720P30</t>
    </r>
    <r>
      <rPr>
        <sz val="12"/>
        <color theme="1"/>
        <rFont val="微軟正黑體"/>
        <family val="2"/>
        <charset val="136"/>
      </rPr>
      <t>米含</t>
    </r>
    <r>
      <rPr>
        <sz val="12"/>
        <color theme="1"/>
        <rFont val="Calibri"/>
        <family val="2"/>
      </rPr>
      <t>6mm</t>
    </r>
    <r>
      <rPr>
        <sz val="12"/>
        <color theme="1"/>
        <rFont val="微軟正黑體"/>
        <family val="2"/>
        <charset val="136"/>
      </rPr>
      <t>固定鏡頭</t>
    </r>
  </si>
  <si>
    <r>
      <rPr>
        <sz val="12"/>
        <color theme="1"/>
        <rFont val="微軟正黑體"/>
        <family val="2"/>
        <charset val="136"/>
      </rPr>
      <t>塑膠盒</t>
    </r>
    <r>
      <rPr>
        <sz val="12"/>
        <color theme="1"/>
        <rFont val="Calibri"/>
        <family val="2"/>
      </rPr>
      <t>150*250*130</t>
    </r>
  </si>
  <si>
    <r>
      <rPr>
        <sz val="12"/>
        <color theme="1"/>
        <rFont val="微軟正黑體"/>
        <family val="2"/>
        <charset val="136"/>
      </rPr>
      <t>塑膠盒</t>
    </r>
    <r>
      <rPr>
        <sz val="12"/>
        <color theme="1"/>
        <rFont val="Calibri"/>
        <family val="2"/>
      </rPr>
      <t>200*200*130</t>
    </r>
  </si>
  <si>
    <r>
      <rPr>
        <sz val="12"/>
        <color theme="1"/>
        <rFont val="微軟正黑體"/>
        <family val="2"/>
        <charset val="136"/>
      </rPr>
      <t>機房雙空調控制器</t>
    </r>
    <r>
      <rPr>
        <sz val="12"/>
        <color theme="1"/>
        <rFont val="Calibri"/>
        <family val="2"/>
      </rPr>
      <t>AC220V</t>
    </r>
    <r>
      <rPr>
        <sz val="12"/>
        <color theme="1"/>
        <rFont val="微軟正黑體"/>
        <family val="2"/>
        <charset val="136"/>
      </rPr>
      <t>含溫度感知器</t>
    </r>
  </si>
  <si>
    <r>
      <rPr>
        <sz val="12"/>
        <color theme="1"/>
        <rFont val="微軟正黑體"/>
        <family val="2"/>
        <charset val="136"/>
      </rPr>
      <t>鋁軌</t>
    </r>
    <r>
      <rPr>
        <sz val="12"/>
        <color theme="1"/>
        <rFont val="Calibri"/>
        <family val="2"/>
      </rPr>
      <t>_</t>
    </r>
    <r>
      <rPr>
        <sz val="12"/>
        <color theme="1"/>
        <rFont val="微軟正黑體"/>
        <family val="2"/>
        <charset val="136"/>
      </rPr>
      <t>無陽極</t>
    </r>
    <r>
      <rPr>
        <sz val="12"/>
        <color theme="1"/>
        <rFont val="Calibri"/>
        <family val="2"/>
      </rPr>
      <t xml:space="preserve"> (35mm)</t>
    </r>
  </si>
  <si>
    <r>
      <t>(+-)</t>
    </r>
    <r>
      <rPr>
        <sz val="12"/>
        <color theme="1"/>
        <rFont val="微軟正黑體"/>
        <family val="2"/>
        <charset val="136"/>
      </rPr>
      <t>鋁軌</t>
    </r>
    <r>
      <rPr>
        <sz val="12"/>
        <color theme="1"/>
        <rFont val="Calibri"/>
        <family val="2"/>
      </rPr>
      <t>-</t>
    </r>
    <r>
      <rPr>
        <sz val="12"/>
        <color theme="1"/>
        <rFont val="微軟正黑體"/>
        <family val="2"/>
        <charset val="136"/>
      </rPr>
      <t>無陽極</t>
    </r>
  </si>
  <si>
    <r>
      <t>LED-10</t>
    </r>
    <r>
      <rPr>
        <sz val="12"/>
        <color theme="1"/>
        <rFont val="微軟正黑體"/>
        <family val="2"/>
        <charset val="136"/>
      </rPr>
      <t>燈泡</t>
    </r>
    <r>
      <rPr>
        <sz val="12"/>
        <color theme="1"/>
        <rFont val="Calibri"/>
        <family val="2"/>
      </rPr>
      <t>24V</t>
    </r>
  </si>
  <si>
    <r>
      <t>(SH)S-9LED</t>
    </r>
    <r>
      <rPr>
        <sz val="12"/>
        <color theme="1"/>
        <rFont val="微軟正黑體"/>
        <family val="2"/>
        <charset val="136"/>
      </rPr>
      <t>燈泡</t>
    </r>
    <r>
      <rPr>
        <sz val="12"/>
        <color theme="1"/>
        <rFont val="Calibri"/>
        <family val="2"/>
      </rPr>
      <t>220V(</t>
    </r>
    <r>
      <rPr>
        <sz val="12"/>
        <color theme="1"/>
        <rFont val="微軟正黑體"/>
        <family val="2"/>
        <charset val="136"/>
      </rPr>
      <t>白色</t>
    </r>
    <r>
      <rPr>
        <sz val="12"/>
        <color theme="1"/>
        <rFont val="Calibri"/>
        <family val="2"/>
      </rPr>
      <t>)</t>
    </r>
  </si>
  <si>
    <r>
      <t>46</t>
    </r>
    <r>
      <rPr>
        <sz val="12"/>
        <color theme="1"/>
        <rFont val="微軟正黑體"/>
        <family val="2"/>
        <charset val="136"/>
      </rPr>
      <t>吋</t>
    </r>
    <r>
      <rPr>
        <sz val="12"/>
        <color theme="1"/>
        <rFont val="Calibri"/>
        <family val="2"/>
      </rPr>
      <t>1920*1080</t>
    </r>
    <r>
      <rPr>
        <sz val="12"/>
        <color theme="1"/>
        <rFont val="微軟正黑體"/>
        <family val="2"/>
        <charset val="136"/>
      </rPr>
      <t>背光</t>
    </r>
    <r>
      <rPr>
        <sz val="12"/>
        <color theme="1"/>
        <rFont val="Calibri"/>
        <family val="2"/>
      </rPr>
      <t>LED</t>
    </r>
    <r>
      <rPr>
        <sz val="12"/>
        <color theme="1"/>
        <rFont val="微軟正黑體"/>
        <family val="2"/>
        <charset val="136"/>
      </rPr>
      <t>亮度</t>
    </r>
    <r>
      <rPr>
        <sz val="12"/>
        <color theme="1"/>
        <rFont val="Calibri"/>
        <family val="2"/>
      </rPr>
      <t>500CD*W2</t>
    </r>
    <r>
      <rPr>
        <sz val="12"/>
        <color theme="1"/>
        <rFont val="微軟正黑體"/>
        <family val="2"/>
        <charset val="136"/>
      </rPr>
      <t>兩邊接縫</t>
    </r>
    <r>
      <rPr>
        <sz val="12"/>
        <color theme="1"/>
        <rFont val="Calibri"/>
        <family val="2"/>
      </rPr>
      <t>5mm</t>
    </r>
  </si>
  <si>
    <r>
      <t>42</t>
    </r>
    <r>
      <rPr>
        <sz val="12"/>
        <color theme="1"/>
        <rFont val="微軟正黑體"/>
        <family val="2"/>
        <charset val="136"/>
      </rPr>
      <t>吋</t>
    </r>
    <r>
      <rPr>
        <sz val="12"/>
        <color theme="1"/>
        <rFont val="Calibri"/>
        <family val="2"/>
      </rPr>
      <t>VC4206</t>
    </r>
  </si>
  <si>
    <r>
      <rPr>
        <sz val="12"/>
        <color theme="1"/>
        <rFont val="微軟正黑體"/>
        <family val="2"/>
        <charset val="136"/>
      </rPr>
      <t>電話自動報警機</t>
    </r>
    <r>
      <rPr>
        <sz val="12"/>
        <color theme="1"/>
        <rFont val="Calibri"/>
        <family val="2"/>
      </rPr>
      <t xml:space="preserve"> </t>
    </r>
    <r>
      <rPr>
        <sz val="12"/>
        <color theme="1"/>
        <rFont val="微軟正黑體"/>
        <family val="2"/>
        <charset val="136"/>
      </rPr>
      <t>單觸發</t>
    </r>
    <r>
      <rPr>
        <sz val="12"/>
        <color theme="1"/>
        <rFont val="Calibri"/>
        <family val="2"/>
      </rPr>
      <t xml:space="preserve"> </t>
    </r>
    <r>
      <rPr>
        <sz val="12"/>
        <color theme="1"/>
        <rFont val="微軟正黑體"/>
        <family val="2"/>
        <charset val="136"/>
      </rPr>
      <t>單語音</t>
    </r>
  </si>
  <si>
    <r>
      <t>LK-120S</t>
    </r>
    <r>
      <rPr>
        <sz val="12"/>
        <color theme="1"/>
        <rFont val="微軟正黑體"/>
        <family val="2"/>
        <charset val="136"/>
      </rPr>
      <t>簡訊發報機</t>
    </r>
  </si>
  <si>
    <r>
      <rPr>
        <sz val="12"/>
        <color theme="1"/>
        <rFont val="微軟正黑體"/>
        <family val="2"/>
        <charset val="136"/>
      </rPr>
      <t>拉線式緊急壓扣開關</t>
    </r>
    <r>
      <rPr>
        <sz val="12"/>
        <color theme="1"/>
        <rFont val="Calibri"/>
        <family val="2"/>
      </rPr>
      <t>(</t>
    </r>
    <r>
      <rPr>
        <sz val="12"/>
        <color theme="1"/>
        <rFont val="微軟正黑體"/>
        <family val="2"/>
        <charset val="136"/>
      </rPr>
      <t>龍光</t>
    </r>
    <r>
      <rPr>
        <sz val="12"/>
        <color theme="1"/>
        <rFont val="Calibri"/>
        <family val="2"/>
      </rPr>
      <t>)</t>
    </r>
  </si>
  <si>
    <r>
      <rPr>
        <sz val="12"/>
        <color theme="1"/>
        <rFont val="微軟正黑體"/>
        <family val="2"/>
        <charset val="136"/>
      </rPr>
      <t>電源供應器</t>
    </r>
    <r>
      <rPr>
        <sz val="12"/>
        <color theme="1"/>
        <rFont val="Calibri"/>
        <family val="2"/>
      </rPr>
      <t>_LRS-350-12   350</t>
    </r>
    <r>
      <rPr>
        <sz val="12"/>
        <color theme="1"/>
        <rFont val="微軟正黑體"/>
        <family val="2"/>
        <charset val="136"/>
      </rPr>
      <t>瓦</t>
    </r>
    <r>
      <rPr>
        <sz val="12"/>
        <color theme="1"/>
        <rFont val="Calibri"/>
        <family val="2"/>
      </rPr>
      <t>12</t>
    </r>
    <r>
      <rPr>
        <sz val="12"/>
        <color theme="1"/>
        <rFont val="微軟正黑體"/>
        <family val="2"/>
        <charset val="136"/>
      </rPr>
      <t>伏特</t>
    </r>
    <r>
      <rPr>
        <sz val="12"/>
        <color theme="1"/>
        <rFont val="Calibri"/>
        <family val="2"/>
      </rPr>
      <t xml:space="preserve">  (</t>
    </r>
    <r>
      <rPr>
        <sz val="12"/>
        <color theme="1"/>
        <rFont val="微軟正黑體"/>
        <family val="2"/>
        <charset val="136"/>
      </rPr>
      <t>永鉅電機</t>
    </r>
    <r>
      <rPr>
        <sz val="12"/>
        <color theme="1"/>
        <rFont val="Calibri"/>
        <family val="2"/>
      </rPr>
      <t>)</t>
    </r>
  </si>
  <si>
    <r>
      <rPr>
        <sz val="12"/>
        <color theme="1"/>
        <rFont val="微軟正黑體"/>
        <family val="2"/>
        <charset val="136"/>
      </rPr>
      <t>電源供應器</t>
    </r>
    <r>
      <rPr>
        <sz val="12"/>
        <color theme="1"/>
        <rFont val="Calibri"/>
        <family val="2"/>
      </rPr>
      <t>_ DV 12V (</t>
    </r>
    <r>
      <rPr>
        <sz val="12"/>
        <color theme="1"/>
        <rFont val="微軟正黑體"/>
        <family val="2"/>
        <charset val="136"/>
      </rPr>
      <t>明緯</t>
    </r>
    <r>
      <rPr>
        <sz val="12"/>
        <color theme="1"/>
        <rFont val="Calibri"/>
        <family val="2"/>
      </rPr>
      <t>_</t>
    </r>
    <r>
      <rPr>
        <sz val="12"/>
        <color theme="1"/>
        <rFont val="微軟正黑體"/>
        <family val="2"/>
        <charset val="136"/>
      </rPr>
      <t>永鉅</t>
    </r>
    <r>
      <rPr>
        <sz val="12"/>
        <color theme="1"/>
        <rFont val="Calibri"/>
        <family val="2"/>
      </rPr>
      <t>)</t>
    </r>
  </si>
  <si>
    <r>
      <rPr>
        <sz val="12"/>
        <color theme="1"/>
        <rFont val="微軟正黑體"/>
        <family val="2"/>
        <charset val="136"/>
      </rPr>
      <t>鋁軌擋片</t>
    </r>
  </si>
  <si>
    <r>
      <rPr>
        <sz val="12"/>
        <color theme="1"/>
        <rFont val="微軟正黑體"/>
        <family val="2"/>
        <charset val="136"/>
      </rPr>
      <t>維修費</t>
    </r>
  </si>
  <si>
    <r>
      <rPr>
        <sz val="12"/>
        <color theme="1"/>
        <rFont val="微軟正黑體"/>
        <family val="2"/>
        <charset val="136"/>
      </rPr>
      <t>數位電表</t>
    </r>
    <r>
      <rPr>
        <sz val="12"/>
        <color theme="1"/>
        <rFont val="Calibri"/>
        <family val="2"/>
      </rPr>
      <t>-</t>
    </r>
    <r>
      <rPr>
        <sz val="12"/>
        <color theme="1"/>
        <rFont val="微軟正黑體"/>
        <family val="2"/>
        <charset val="136"/>
      </rPr>
      <t>研華</t>
    </r>
  </si>
  <si>
    <r>
      <rPr>
        <sz val="12"/>
        <color theme="1"/>
        <rFont val="微軟正黑體"/>
        <family val="2"/>
        <charset val="136"/>
      </rPr>
      <t>接收端</t>
    </r>
    <r>
      <rPr>
        <sz val="12"/>
        <color theme="1"/>
        <rFont val="Calibri"/>
        <family val="2"/>
      </rPr>
      <t>(R</t>
    </r>
    <r>
      <rPr>
        <sz val="12"/>
        <color theme="1"/>
        <rFont val="微軟正黑體"/>
        <family val="2"/>
        <charset val="136"/>
      </rPr>
      <t>端</t>
    </r>
    <r>
      <rPr>
        <sz val="12"/>
        <color theme="1"/>
        <rFont val="Calibri"/>
        <family val="2"/>
      </rPr>
      <t>)-HDMI</t>
    </r>
  </si>
  <si>
    <r>
      <rPr>
        <sz val="12"/>
        <color theme="1"/>
        <rFont val="微軟正黑體"/>
        <family val="2"/>
        <charset val="136"/>
      </rPr>
      <t>傳輸端</t>
    </r>
    <r>
      <rPr>
        <sz val="12"/>
        <color theme="1"/>
        <rFont val="Calibri"/>
        <family val="2"/>
      </rPr>
      <t>(T</t>
    </r>
    <r>
      <rPr>
        <sz val="12"/>
        <color theme="1"/>
        <rFont val="微軟正黑體"/>
        <family val="2"/>
        <charset val="136"/>
      </rPr>
      <t>端</t>
    </r>
    <r>
      <rPr>
        <sz val="12"/>
        <color theme="1"/>
        <rFont val="Calibri"/>
        <family val="2"/>
      </rPr>
      <t>)-VGA+USB*2+AUDIO+IRV3.03</t>
    </r>
  </si>
  <si>
    <r>
      <t>Modbus TCP</t>
    </r>
    <r>
      <rPr>
        <sz val="12"/>
        <color theme="1"/>
        <rFont val="微軟正黑體"/>
        <family val="2"/>
        <charset val="136"/>
      </rPr>
      <t>整合</t>
    </r>
    <r>
      <rPr>
        <sz val="12"/>
        <color theme="1"/>
        <rFont val="Calibri"/>
        <family val="2"/>
      </rPr>
      <t>(</t>
    </r>
    <r>
      <rPr>
        <sz val="12"/>
        <color theme="1"/>
        <rFont val="微軟正黑體"/>
        <family val="2"/>
        <charset val="136"/>
      </rPr>
      <t>每門授權</t>
    </r>
    <r>
      <rPr>
        <sz val="12"/>
        <color theme="1"/>
        <rFont val="Calibri"/>
        <family val="2"/>
      </rPr>
      <t>)</t>
    </r>
  </si>
  <si>
    <r>
      <rPr>
        <sz val="12"/>
        <color theme="1"/>
        <rFont val="微軟正黑體"/>
        <family val="2"/>
        <charset val="136"/>
      </rPr>
      <t>硬碟</t>
    </r>
    <r>
      <rPr>
        <sz val="12"/>
        <color theme="1"/>
        <rFont val="Calibri"/>
        <family val="2"/>
      </rPr>
      <t>4TB HDD</t>
    </r>
  </si>
  <si>
    <r>
      <t>1U</t>
    </r>
    <r>
      <rPr>
        <sz val="12"/>
        <color theme="1"/>
        <rFont val="微軟正黑體"/>
        <family val="2"/>
        <charset val="136"/>
      </rPr>
      <t>橫向</t>
    </r>
    <r>
      <rPr>
        <sz val="12"/>
        <color theme="1"/>
        <rFont val="Calibri"/>
        <family val="2"/>
      </rPr>
      <t>3*8</t>
    </r>
    <r>
      <rPr>
        <sz val="12"/>
        <color theme="1"/>
        <rFont val="微軟正黑體"/>
        <family val="2"/>
        <charset val="136"/>
      </rPr>
      <t>只式電源組</t>
    </r>
    <r>
      <rPr>
        <sz val="12"/>
        <color theme="1"/>
        <rFont val="Calibri"/>
        <family val="2"/>
      </rPr>
      <t>20A</t>
    </r>
  </si>
  <si>
    <r>
      <rPr>
        <sz val="12"/>
        <color theme="1"/>
        <rFont val="微軟正黑體"/>
        <family val="2"/>
        <charset val="136"/>
      </rPr>
      <t>陰極鎖</t>
    </r>
    <r>
      <rPr>
        <sz val="12"/>
        <color theme="1"/>
        <rFont val="Calibri"/>
        <family val="2"/>
      </rPr>
      <t>(</t>
    </r>
    <r>
      <rPr>
        <sz val="12"/>
        <color theme="1"/>
        <rFont val="微軟正黑體"/>
        <family val="2"/>
        <charset val="136"/>
      </rPr>
      <t>自動復位功能</t>
    </r>
    <r>
      <rPr>
        <sz val="12"/>
        <color theme="1"/>
        <rFont val="Calibri"/>
        <family val="2"/>
      </rPr>
      <t>)</t>
    </r>
  </si>
  <si>
    <r>
      <rPr>
        <sz val="12"/>
        <color theme="1"/>
        <rFont val="微軟正黑體"/>
        <family val="2"/>
        <charset val="136"/>
      </rPr>
      <t>電源供應器</t>
    </r>
    <r>
      <rPr>
        <sz val="12"/>
        <color theme="1"/>
        <rFont val="Calibri"/>
        <family val="2"/>
      </rPr>
      <t>100W-</t>
    </r>
    <r>
      <rPr>
        <sz val="12"/>
        <color theme="1"/>
        <rFont val="微軟正黑體"/>
        <family val="2"/>
        <charset val="136"/>
      </rPr>
      <t>鋁軌式</t>
    </r>
  </si>
  <si>
    <r>
      <t>485</t>
    </r>
    <r>
      <rPr>
        <sz val="12"/>
        <color theme="1"/>
        <rFont val="微軟正黑體"/>
        <family val="2"/>
        <charset val="136"/>
      </rPr>
      <t>轉</t>
    </r>
    <r>
      <rPr>
        <sz val="12"/>
        <color theme="1"/>
        <rFont val="Calibri"/>
        <family val="2"/>
      </rPr>
      <t>TCP</t>
    </r>
    <r>
      <rPr>
        <sz val="12"/>
        <color theme="1"/>
        <rFont val="微軟正黑體"/>
        <family val="2"/>
        <charset val="136"/>
      </rPr>
      <t>工業網路轉換器</t>
    </r>
  </si>
  <si>
    <r>
      <rPr>
        <sz val="12"/>
        <color theme="1"/>
        <rFont val="微軟正黑體"/>
        <family val="2"/>
        <charset val="136"/>
      </rPr>
      <t>郵局</t>
    </r>
  </si>
  <si>
    <r>
      <rPr>
        <sz val="12"/>
        <color theme="1"/>
        <rFont val="微軟正黑體"/>
        <family val="2"/>
        <charset val="136"/>
      </rPr>
      <t>環境自動化控制平套插母</t>
    </r>
  </si>
  <si>
    <r>
      <rPr>
        <sz val="12"/>
        <color theme="1"/>
        <rFont val="微軟正黑體"/>
        <family val="2"/>
        <charset val="136"/>
      </rPr>
      <t>門禁讀卡機</t>
    </r>
    <r>
      <rPr>
        <sz val="12"/>
        <color theme="1"/>
        <rFont val="Calibri"/>
        <family val="2"/>
      </rPr>
      <t>(</t>
    </r>
    <r>
      <rPr>
        <sz val="12"/>
        <color theme="1"/>
        <rFont val="微軟正黑體"/>
        <family val="2"/>
        <charset val="136"/>
      </rPr>
      <t>按鍵</t>
    </r>
    <r>
      <rPr>
        <sz val="12"/>
        <color theme="1"/>
        <rFont val="Calibri"/>
        <family val="2"/>
      </rPr>
      <t>)</t>
    </r>
    <r>
      <rPr>
        <sz val="12"/>
        <color theme="1"/>
        <rFont val="微軟正黑體"/>
        <family val="2"/>
        <charset val="136"/>
      </rPr>
      <t>漢軍</t>
    </r>
  </si>
  <si>
    <r>
      <rPr>
        <sz val="12"/>
        <color theme="1"/>
        <rFont val="微軟正黑體"/>
        <family val="2"/>
        <charset val="136"/>
      </rPr>
      <t>電源供應器</t>
    </r>
    <r>
      <rPr>
        <sz val="12"/>
        <color theme="1"/>
        <rFont val="Calibri"/>
        <family val="2"/>
      </rPr>
      <t>PHS-35-24</t>
    </r>
  </si>
  <si>
    <r>
      <rPr>
        <sz val="12"/>
        <color theme="1"/>
        <rFont val="微軟正黑體"/>
        <family val="2"/>
        <charset val="136"/>
      </rPr>
      <t>繼電器座</t>
    </r>
  </si>
  <si>
    <r>
      <rPr>
        <sz val="12"/>
        <color theme="1"/>
        <rFont val="微軟正黑體"/>
        <family val="2"/>
        <charset val="136"/>
      </rPr>
      <t>按鈕開關</t>
    </r>
    <r>
      <rPr>
        <sz val="12"/>
        <color theme="1"/>
        <rFont val="Calibri"/>
        <family val="2"/>
      </rPr>
      <t>(</t>
    </r>
    <r>
      <rPr>
        <sz val="12"/>
        <color theme="1"/>
        <rFont val="微軟正黑體"/>
        <family val="2"/>
        <charset val="136"/>
      </rPr>
      <t>綠色</t>
    </r>
    <r>
      <rPr>
        <sz val="12"/>
        <color theme="1"/>
        <rFont val="Calibri"/>
        <family val="2"/>
      </rPr>
      <t>)</t>
    </r>
  </si>
  <si>
    <r>
      <rPr>
        <sz val="12"/>
        <color theme="1"/>
        <rFont val="微軟正黑體"/>
        <family val="2"/>
        <charset val="136"/>
      </rPr>
      <t>按鈕開關</t>
    </r>
    <r>
      <rPr>
        <sz val="12"/>
        <color theme="1"/>
        <rFont val="Calibri"/>
        <family val="2"/>
      </rPr>
      <t>(</t>
    </r>
    <r>
      <rPr>
        <sz val="12"/>
        <color theme="1"/>
        <rFont val="微軟正黑體"/>
        <family val="2"/>
        <charset val="136"/>
      </rPr>
      <t>紅色</t>
    </r>
    <r>
      <rPr>
        <sz val="12"/>
        <color theme="1"/>
        <rFont val="Calibri"/>
        <family val="2"/>
      </rPr>
      <t>)</t>
    </r>
  </si>
  <si>
    <r>
      <t>R410A_</t>
    </r>
    <r>
      <rPr>
        <sz val="12"/>
        <color theme="1"/>
        <rFont val="微軟正黑體"/>
        <family val="2"/>
        <charset val="136"/>
      </rPr>
      <t>空調設備</t>
    </r>
  </si>
  <si>
    <r>
      <t xml:space="preserve">RAM-155JKQB </t>
    </r>
    <r>
      <rPr>
        <sz val="12"/>
        <color theme="1"/>
        <rFont val="微軟正黑體"/>
        <family val="2"/>
        <charset val="136"/>
      </rPr>
      <t>空調設備</t>
    </r>
  </si>
  <si>
    <r>
      <t xml:space="preserve">RAS-110NX1 </t>
    </r>
    <r>
      <rPr>
        <sz val="12"/>
        <color theme="1"/>
        <rFont val="微軟正黑體"/>
        <family val="2"/>
        <charset val="136"/>
      </rPr>
      <t>空調機器設備</t>
    </r>
  </si>
  <si>
    <r>
      <rPr>
        <sz val="12"/>
        <color theme="1"/>
        <rFont val="微軟正黑體"/>
        <family val="2"/>
        <charset val="136"/>
      </rPr>
      <t>繼電器</t>
    </r>
  </si>
  <si>
    <r>
      <t>NES-100-24(24V4.5A 100W)</t>
    </r>
    <r>
      <rPr>
        <sz val="12"/>
        <color theme="1"/>
        <rFont val="微軟正黑體"/>
        <family val="2"/>
        <charset val="136"/>
      </rPr>
      <t>單電源</t>
    </r>
    <r>
      <rPr>
        <sz val="12"/>
        <color theme="1"/>
        <rFont val="Calibri"/>
        <family val="2"/>
      </rPr>
      <t>/</t>
    </r>
    <r>
      <rPr>
        <sz val="12"/>
        <color theme="1"/>
        <rFont val="微軟正黑體"/>
        <family val="2"/>
        <charset val="136"/>
      </rPr>
      <t>電源供應器</t>
    </r>
  </si>
  <si>
    <r>
      <t>12V/3A 35W</t>
    </r>
    <r>
      <rPr>
        <sz val="12"/>
        <color theme="1"/>
        <rFont val="微軟正黑體"/>
        <family val="2"/>
        <charset val="136"/>
      </rPr>
      <t>單電源</t>
    </r>
  </si>
  <si>
    <r>
      <rPr>
        <sz val="12"/>
        <color theme="1"/>
        <rFont val="微軟正黑體"/>
        <family val="2"/>
        <charset val="136"/>
      </rPr>
      <t>陽極鎖</t>
    </r>
    <r>
      <rPr>
        <sz val="12"/>
        <color theme="1"/>
        <rFont val="Calibri"/>
        <family val="2"/>
      </rPr>
      <t>-DA-L62</t>
    </r>
    <r>
      <rPr>
        <sz val="12"/>
        <color theme="1"/>
        <rFont val="微軟正黑體"/>
        <family val="2"/>
        <charset val="136"/>
      </rPr>
      <t>磁簧式陽極鎖</t>
    </r>
  </si>
  <si>
    <r>
      <rPr>
        <sz val="12"/>
        <color theme="1"/>
        <rFont val="微軟正黑體"/>
        <family val="2"/>
        <charset val="136"/>
      </rPr>
      <t>端子台</t>
    </r>
    <r>
      <rPr>
        <sz val="12"/>
        <color theme="1"/>
        <rFont val="Calibri"/>
        <family val="2"/>
      </rPr>
      <t>SHINING TR-10(</t>
    </r>
    <r>
      <rPr>
        <sz val="12"/>
        <color theme="1"/>
        <rFont val="微軟正黑體"/>
        <family val="2"/>
        <charset val="136"/>
      </rPr>
      <t>含短路片</t>
    </r>
    <r>
      <rPr>
        <sz val="12"/>
        <color theme="1"/>
        <rFont val="Calibri"/>
        <family val="2"/>
      </rPr>
      <t>)</t>
    </r>
  </si>
  <si>
    <r>
      <rPr>
        <sz val="12"/>
        <color theme="1"/>
        <rFont val="微軟正黑體"/>
        <family val="2"/>
        <charset val="136"/>
      </rPr>
      <t>電磁流量計</t>
    </r>
  </si>
  <si>
    <r>
      <t>SNT-8D0120TF_</t>
    </r>
    <r>
      <rPr>
        <sz val="12"/>
        <color theme="1"/>
        <rFont val="微軟正黑體"/>
        <family val="2"/>
        <charset val="136"/>
      </rPr>
      <t>攝影機</t>
    </r>
    <r>
      <rPr>
        <sz val="12"/>
        <color theme="1"/>
        <rFont val="Calibri"/>
        <family val="2"/>
      </rPr>
      <t>(</t>
    </r>
    <r>
      <rPr>
        <sz val="12"/>
        <color theme="1"/>
        <rFont val="微軟正黑體"/>
        <family val="2"/>
        <charset val="136"/>
      </rPr>
      <t>禾企電子</t>
    </r>
    <r>
      <rPr>
        <sz val="12"/>
        <color theme="1"/>
        <rFont val="Calibri"/>
        <family val="2"/>
      </rPr>
      <t>)</t>
    </r>
  </si>
  <si>
    <r>
      <t>1/3"SONY NTSC,420tvl,6mm DC 12V</t>
    </r>
    <r>
      <rPr>
        <sz val="12"/>
        <color theme="1"/>
        <rFont val="微軟正黑體"/>
        <family val="2"/>
        <charset val="136"/>
      </rPr>
      <t>紅外線攝影機</t>
    </r>
  </si>
  <si>
    <r>
      <t>Soyal 727CM-V2 TCP/IP</t>
    </r>
    <r>
      <rPr>
        <sz val="12"/>
        <color theme="1"/>
        <rFont val="微軟正黑體"/>
        <family val="2"/>
        <charset val="136"/>
      </rPr>
      <t>轉換器</t>
    </r>
  </si>
  <si>
    <r>
      <t>Mifare-Reader/Writer USB (</t>
    </r>
    <r>
      <rPr>
        <sz val="12"/>
        <color theme="1"/>
        <rFont val="微軟正黑體"/>
        <family val="2"/>
        <charset val="136"/>
      </rPr>
      <t>含寫入軟體</t>
    </r>
    <r>
      <rPr>
        <sz val="12"/>
        <color theme="1"/>
        <rFont val="Calibri"/>
        <family val="2"/>
      </rPr>
      <t>)</t>
    </r>
  </si>
  <si>
    <r>
      <t>AR-829E 13.56MHz RS-485</t>
    </r>
    <r>
      <rPr>
        <sz val="12"/>
        <color theme="1"/>
        <rFont val="微軟正黑體"/>
        <family val="2"/>
        <charset val="136"/>
      </rPr>
      <t>門禁卡鐘</t>
    </r>
  </si>
  <si>
    <r>
      <rPr>
        <sz val="12"/>
        <color theme="1"/>
        <rFont val="微軟正黑體"/>
        <family val="2"/>
        <charset val="136"/>
      </rPr>
      <t>陰極鎖</t>
    </r>
  </si>
  <si>
    <r>
      <rPr>
        <sz val="12"/>
        <color theme="1"/>
        <rFont val="微軟正黑體"/>
        <family val="2"/>
        <charset val="136"/>
      </rPr>
      <t>壓條</t>
    </r>
  </si>
  <si>
    <r>
      <rPr>
        <sz val="12"/>
        <color theme="1"/>
        <rFont val="微軟正黑體"/>
        <family val="2"/>
        <charset val="136"/>
      </rPr>
      <t>電料</t>
    </r>
  </si>
  <si>
    <r>
      <rPr>
        <sz val="12"/>
        <color theme="1"/>
        <rFont val="微軟正黑體"/>
        <family val="2"/>
        <charset val="136"/>
      </rPr>
      <t>橡膠插頭</t>
    </r>
    <r>
      <rPr>
        <sz val="12"/>
        <color theme="1"/>
        <rFont val="Calibri"/>
        <family val="2"/>
      </rPr>
      <t>15A/125V</t>
    </r>
  </si>
  <si>
    <r>
      <rPr>
        <sz val="12"/>
        <color theme="1"/>
        <rFont val="微軟正黑體"/>
        <family val="2"/>
        <charset val="136"/>
      </rPr>
      <t>比流器</t>
    </r>
    <r>
      <rPr>
        <sz val="12"/>
        <color theme="1"/>
        <rFont val="Calibri"/>
        <family val="2"/>
      </rPr>
      <t>150</t>
    </r>
    <r>
      <rPr>
        <sz val="12"/>
        <color theme="1"/>
        <rFont val="微軟正黑體"/>
        <family val="2"/>
        <charset val="136"/>
      </rPr>
      <t>安培</t>
    </r>
  </si>
  <si>
    <r>
      <rPr>
        <sz val="12"/>
        <color theme="1"/>
        <rFont val="微軟正黑體"/>
        <family val="2"/>
        <charset val="136"/>
      </rPr>
      <t>五金材料</t>
    </r>
  </si>
  <si>
    <r>
      <t>24V</t>
    </r>
    <r>
      <rPr>
        <sz val="12"/>
        <color theme="1"/>
        <rFont val="微軟正黑體"/>
        <family val="2"/>
        <charset val="136"/>
      </rPr>
      <t>繼電器座</t>
    </r>
    <r>
      <rPr>
        <sz val="12"/>
        <color theme="1"/>
        <rFont val="Calibri"/>
        <family val="2"/>
      </rPr>
      <t>(Relay)</t>
    </r>
  </si>
  <si>
    <r>
      <t>24V</t>
    </r>
    <r>
      <rPr>
        <sz val="12"/>
        <color theme="1"/>
        <rFont val="微軟正黑體"/>
        <family val="2"/>
        <charset val="136"/>
      </rPr>
      <t>焊接式繼電器</t>
    </r>
    <r>
      <rPr>
        <sz val="12"/>
        <color theme="1"/>
        <rFont val="Calibri"/>
        <family val="2"/>
      </rPr>
      <t>(Relay)</t>
    </r>
  </si>
  <si>
    <r>
      <t>Y</t>
    </r>
    <r>
      <rPr>
        <sz val="12"/>
        <color theme="1"/>
        <rFont val="微軟正黑體"/>
        <family val="2"/>
        <charset val="136"/>
      </rPr>
      <t>型絕緣端子</t>
    </r>
    <r>
      <rPr>
        <sz val="12"/>
        <color theme="1"/>
        <rFont val="Calibri"/>
        <family val="2"/>
      </rPr>
      <t>1.25 3S</t>
    </r>
  </si>
  <si>
    <r>
      <rPr>
        <sz val="12"/>
        <color theme="1"/>
        <rFont val="微軟正黑體"/>
        <family val="2"/>
        <charset val="136"/>
      </rPr>
      <t>集合式電錶配件</t>
    </r>
  </si>
  <si>
    <r>
      <rPr>
        <sz val="12"/>
        <color theme="1"/>
        <rFont val="微軟正黑體"/>
        <family val="2"/>
        <charset val="136"/>
      </rPr>
      <t>壁掛型溫溼度傳送器</t>
    </r>
  </si>
  <si>
    <r>
      <t>3</t>
    </r>
    <r>
      <rPr>
        <sz val="12"/>
        <color theme="1"/>
        <rFont val="微軟正黑體"/>
        <family val="2"/>
        <charset val="136"/>
      </rPr>
      <t>公分玻璃保險絲</t>
    </r>
    <r>
      <rPr>
        <sz val="12"/>
        <color theme="1"/>
        <rFont val="Calibri"/>
        <family val="2"/>
      </rPr>
      <t>10A   TJMC-10A</t>
    </r>
  </si>
  <si>
    <r>
      <t>3</t>
    </r>
    <r>
      <rPr>
        <sz val="12"/>
        <color theme="1"/>
        <rFont val="微軟正黑體"/>
        <family val="2"/>
        <charset val="136"/>
      </rPr>
      <t>公分玻璃保險絲</t>
    </r>
    <r>
      <rPr>
        <sz val="12"/>
        <color theme="1"/>
        <rFont val="Calibri"/>
        <family val="2"/>
      </rPr>
      <t>1A  TJMA-1A</t>
    </r>
  </si>
  <si>
    <r>
      <t>3</t>
    </r>
    <r>
      <rPr>
        <sz val="12"/>
        <color theme="1"/>
        <rFont val="微軟正黑體"/>
        <family val="2"/>
        <charset val="136"/>
      </rPr>
      <t>公分玻璃保險絲</t>
    </r>
    <r>
      <rPr>
        <sz val="12"/>
        <color theme="1"/>
        <rFont val="Calibri"/>
        <family val="2"/>
      </rPr>
      <t>6A  TJMC-6A</t>
    </r>
  </si>
  <si>
    <r>
      <rPr>
        <sz val="12"/>
        <color theme="1"/>
        <rFont val="微軟正黑體"/>
        <family val="2"/>
        <charset val="136"/>
      </rPr>
      <t>費用</t>
    </r>
    <r>
      <rPr>
        <sz val="12"/>
        <color theme="1"/>
        <rFont val="Calibri"/>
        <family val="2"/>
      </rPr>
      <t>-</t>
    </r>
    <r>
      <rPr>
        <sz val="12"/>
        <color theme="1"/>
        <rFont val="微軟正黑體"/>
        <family val="2"/>
        <charset val="136"/>
      </rPr>
      <t>合作金庫</t>
    </r>
  </si>
  <si>
    <r>
      <rPr>
        <sz val="12"/>
        <color theme="1"/>
        <rFont val="微軟正黑體"/>
        <family val="2"/>
        <charset val="136"/>
      </rPr>
      <t>設備</t>
    </r>
    <r>
      <rPr>
        <sz val="12"/>
        <color theme="1"/>
        <rFont val="Calibri"/>
        <family val="2"/>
      </rPr>
      <t>-</t>
    </r>
    <r>
      <rPr>
        <sz val="12"/>
        <color theme="1"/>
        <rFont val="微軟正黑體"/>
        <family val="2"/>
        <charset val="136"/>
      </rPr>
      <t>德盈</t>
    </r>
    <r>
      <rPr>
        <sz val="12"/>
        <color theme="1"/>
        <rFont val="Calibri"/>
        <family val="2"/>
      </rPr>
      <t>-</t>
    </r>
    <r>
      <rPr>
        <sz val="12"/>
        <color theme="1"/>
        <rFont val="微軟正黑體"/>
        <family val="2"/>
        <charset val="136"/>
      </rPr>
      <t>彰化台電</t>
    </r>
  </si>
  <si>
    <r>
      <rPr>
        <sz val="12"/>
        <color theme="1"/>
        <rFont val="微軟正黑體"/>
        <family val="2"/>
        <charset val="136"/>
      </rPr>
      <t>施工費</t>
    </r>
    <r>
      <rPr>
        <sz val="12"/>
        <color theme="1"/>
        <rFont val="Calibri"/>
        <family val="2"/>
      </rPr>
      <t>-</t>
    </r>
    <r>
      <rPr>
        <sz val="12"/>
        <color theme="1"/>
        <rFont val="微軟正黑體"/>
        <family val="2"/>
        <charset val="136"/>
      </rPr>
      <t>國晉</t>
    </r>
  </si>
  <si>
    <r>
      <rPr>
        <sz val="12"/>
        <color theme="1"/>
        <rFont val="微軟正黑體"/>
        <family val="2"/>
        <charset val="136"/>
      </rPr>
      <t>聯國台化麥寮施工費</t>
    </r>
    <r>
      <rPr>
        <sz val="12"/>
        <color theme="1"/>
        <rFont val="Calibri"/>
        <family val="2"/>
      </rPr>
      <t>-1</t>
    </r>
    <r>
      <rPr>
        <sz val="12"/>
        <color theme="1"/>
        <rFont val="微軟正黑體"/>
        <family val="2"/>
        <charset val="136"/>
      </rPr>
      <t>台</t>
    </r>
  </si>
  <si>
    <r>
      <rPr>
        <sz val="12"/>
        <color theme="1"/>
        <rFont val="微軟正黑體"/>
        <family val="2"/>
        <charset val="136"/>
      </rPr>
      <t>聯國台化麥寮施工費</t>
    </r>
    <r>
      <rPr>
        <sz val="12"/>
        <color theme="1"/>
        <rFont val="Calibri"/>
        <family val="2"/>
      </rPr>
      <t>-2</t>
    </r>
    <r>
      <rPr>
        <sz val="12"/>
        <color theme="1"/>
        <rFont val="微軟正黑體"/>
        <family val="2"/>
        <charset val="136"/>
      </rPr>
      <t>台</t>
    </r>
  </si>
  <si>
    <r>
      <rPr>
        <sz val="12"/>
        <color theme="1"/>
        <rFont val="微軟正黑體"/>
        <family val="2"/>
        <charset val="136"/>
      </rPr>
      <t>正昀</t>
    </r>
    <r>
      <rPr>
        <sz val="12"/>
        <color theme="1"/>
        <rFont val="Calibri"/>
        <family val="2"/>
      </rPr>
      <t>-</t>
    </r>
    <r>
      <rPr>
        <sz val="12"/>
        <color theme="1"/>
        <rFont val="微軟正黑體"/>
        <family val="2"/>
        <charset val="136"/>
      </rPr>
      <t>台塑麥寮閘道器安裝施工費</t>
    </r>
  </si>
  <si>
    <r>
      <rPr>
        <sz val="12"/>
        <color theme="1"/>
        <rFont val="微軟正黑體"/>
        <family val="2"/>
        <charset val="136"/>
      </rPr>
      <t>施工費</t>
    </r>
    <r>
      <rPr>
        <sz val="12"/>
        <color theme="1"/>
        <rFont val="Calibri"/>
        <family val="2"/>
      </rPr>
      <t>-</t>
    </r>
    <r>
      <rPr>
        <sz val="12"/>
        <color theme="1"/>
        <rFont val="微軟正黑體"/>
        <family val="2"/>
        <charset val="136"/>
      </rPr>
      <t>星晟</t>
    </r>
  </si>
  <si>
    <r>
      <rPr>
        <sz val="12"/>
        <color theme="1"/>
        <rFont val="微軟正黑體"/>
        <family val="2"/>
        <charset val="136"/>
      </rPr>
      <t>運費</t>
    </r>
    <r>
      <rPr>
        <sz val="12"/>
        <color theme="1"/>
        <rFont val="Calibri"/>
        <family val="2"/>
      </rPr>
      <t>-</t>
    </r>
    <r>
      <rPr>
        <sz val="12"/>
        <color theme="1"/>
        <rFont val="微軟正黑體"/>
        <family val="2"/>
        <charset val="136"/>
      </rPr>
      <t>奕龍</t>
    </r>
  </si>
  <si>
    <r>
      <rPr>
        <sz val="12"/>
        <color theme="1"/>
        <rFont val="微軟正黑體"/>
        <family val="2"/>
        <charset val="136"/>
      </rPr>
      <t>費用</t>
    </r>
    <r>
      <rPr>
        <sz val="12"/>
        <color theme="1"/>
        <rFont val="Calibri"/>
        <family val="2"/>
      </rPr>
      <t>-</t>
    </r>
    <r>
      <rPr>
        <sz val="12"/>
        <color theme="1"/>
        <rFont val="微軟正黑體"/>
        <family val="2"/>
        <charset val="136"/>
      </rPr>
      <t>漢陽</t>
    </r>
  </si>
  <si>
    <r>
      <rPr>
        <sz val="12"/>
        <color theme="1"/>
        <rFont val="微軟正黑體"/>
        <family val="2"/>
        <charset val="136"/>
      </rPr>
      <t>施工費</t>
    </r>
    <r>
      <rPr>
        <sz val="12"/>
        <color theme="1"/>
        <rFont val="Calibri"/>
        <family val="2"/>
      </rPr>
      <t>-</t>
    </r>
    <r>
      <rPr>
        <sz val="12"/>
        <color theme="1"/>
        <rFont val="微軟正黑體"/>
        <family val="2"/>
        <charset val="136"/>
      </rPr>
      <t>城智</t>
    </r>
  </si>
  <si>
    <r>
      <rPr>
        <sz val="12"/>
        <color theme="1"/>
        <rFont val="微軟正黑體"/>
        <family val="2"/>
        <charset val="136"/>
      </rPr>
      <t>台電機房</t>
    </r>
    <r>
      <rPr>
        <sz val="12"/>
        <color theme="1"/>
        <rFont val="Calibri"/>
        <family val="2"/>
      </rPr>
      <t>Dell R760</t>
    </r>
    <r>
      <rPr>
        <sz val="12"/>
        <color theme="1"/>
        <rFont val="微軟正黑體"/>
        <family val="2"/>
        <charset val="136"/>
      </rPr>
      <t>設備買賣及人力服務第一期款</t>
    </r>
    <r>
      <rPr>
        <sz val="12"/>
        <color theme="1"/>
        <rFont val="Calibri"/>
        <family val="2"/>
      </rPr>
      <t>(70%)</t>
    </r>
  </si>
  <si>
    <r>
      <t>48*96</t>
    </r>
    <r>
      <rPr>
        <sz val="12"/>
        <color theme="1"/>
        <rFont val="微軟正黑體"/>
        <family val="2"/>
        <charset val="136"/>
      </rPr>
      <t>盤內固定盤</t>
    </r>
  </si>
  <si>
    <r>
      <rPr>
        <sz val="12"/>
        <color theme="1"/>
        <rFont val="微軟正黑體"/>
        <family val="2"/>
        <charset val="136"/>
      </rPr>
      <t>資料控制器</t>
    </r>
  </si>
  <si>
    <r>
      <t>8PORT</t>
    </r>
    <r>
      <rPr>
        <sz val="12"/>
        <color theme="1"/>
        <rFont val="微軟正黑體"/>
        <family val="2"/>
        <charset val="136"/>
      </rPr>
      <t>高速</t>
    </r>
    <r>
      <rPr>
        <sz val="12"/>
        <color theme="1"/>
        <rFont val="Calibri"/>
        <family val="2"/>
      </rPr>
      <t>POE</t>
    </r>
    <r>
      <rPr>
        <sz val="12"/>
        <color theme="1"/>
        <rFont val="微軟正黑體"/>
        <family val="2"/>
        <charset val="136"/>
      </rPr>
      <t>網路交換器</t>
    </r>
  </si>
  <si>
    <r>
      <rPr>
        <sz val="12"/>
        <color theme="1"/>
        <rFont val="微軟正黑體"/>
        <family val="2"/>
        <charset val="136"/>
      </rPr>
      <t>大圓頭連桿液位開關</t>
    </r>
  </si>
  <si>
    <r>
      <t>USB 2.0</t>
    </r>
    <r>
      <rPr>
        <sz val="12"/>
        <color theme="1"/>
        <rFont val="微軟正黑體"/>
        <family val="2"/>
        <charset val="136"/>
      </rPr>
      <t>訊號延長器</t>
    </r>
  </si>
  <si>
    <r>
      <rPr>
        <sz val="12"/>
        <color theme="1"/>
        <rFont val="微軟正黑體"/>
        <family val="2"/>
        <charset val="136"/>
      </rPr>
      <t>數字式電表</t>
    </r>
    <r>
      <rPr>
        <sz val="12"/>
        <color theme="1"/>
        <rFont val="Calibri"/>
        <family val="2"/>
      </rPr>
      <t>AC115/230V1</t>
    </r>
  </si>
  <si>
    <r>
      <rPr>
        <sz val="12"/>
        <color theme="1"/>
        <rFont val="微軟正黑體"/>
        <family val="2"/>
        <charset val="136"/>
      </rPr>
      <t>中文遠端監控軟體</t>
    </r>
  </si>
  <si>
    <r>
      <rPr>
        <sz val="12"/>
        <color theme="1"/>
        <rFont val="微軟正黑體"/>
        <family val="2"/>
        <charset val="136"/>
      </rPr>
      <t>微軟伺服器作業系統</t>
    </r>
  </si>
  <si>
    <r>
      <t>SC-SC</t>
    </r>
    <r>
      <rPr>
        <sz val="12"/>
        <color theme="1"/>
        <rFont val="微軟正黑體"/>
        <family val="2"/>
        <charset val="136"/>
      </rPr>
      <t>接頭單模單芯光纖短跳線</t>
    </r>
    <r>
      <rPr>
        <sz val="12"/>
        <color theme="1"/>
        <rFont val="Calibri"/>
        <family val="2"/>
      </rPr>
      <t>-20cm  15-FS001SC-SC-02</t>
    </r>
  </si>
  <si>
    <r>
      <t>SC-SC</t>
    </r>
    <r>
      <rPr>
        <sz val="12"/>
        <color theme="1"/>
        <rFont val="微軟正黑體"/>
        <family val="2"/>
        <charset val="136"/>
      </rPr>
      <t>接頭單模單芯光纖短跳線</t>
    </r>
    <r>
      <rPr>
        <sz val="12"/>
        <color theme="1"/>
        <rFont val="Calibri"/>
        <family val="2"/>
      </rPr>
      <t>-1M  15-FS001SC-SC-1</t>
    </r>
  </si>
  <si>
    <r>
      <rPr>
        <sz val="12"/>
        <color theme="1"/>
        <rFont val="微軟正黑體"/>
        <family val="2"/>
        <charset val="136"/>
      </rPr>
      <t>維修服務</t>
    </r>
    <r>
      <rPr>
        <sz val="12"/>
        <color theme="1"/>
        <rFont val="Calibri"/>
        <family val="2"/>
      </rPr>
      <t xml:space="preserve"> RMA Service Charge Domestic</t>
    </r>
  </si>
  <si>
    <r>
      <t xml:space="preserve">(TEND) </t>
    </r>
    <r>
      <rPr>
        <sz val="12"/>
        <color theme="1"/>
        <rFont val="微軟正黑體"/>
        <family val="2"/>
        <charset val="136"/>
      </rPr>
      <t>臥式保險座</t>
    </r>
    <r>
      <rPr>
        <sz val="12"/>
        <color theme="1"/>
        <rFont val="Calibri"/>
        <family val="2"/>
      </rPr>
      <t>1P</t>
    </r>
  </si>
  <si>
    <r>
      <rPr>
        <sz val="12"/>
        <color theme="1"/>
        <rFont val="微軟正黑體"/>
        <family val="2"/>
        <charset val="136"/>
      </rPr>
      <t>插牌</t>
    </r>
    <r>
      <rPr>
        <sz val="12"/>
        <color theme="1"/>
        <rFont val="Calibri"/>
        <family val="2"/>
      </rPr>
      <t>#2mm+2mm(20*6cm)</t>
    </r>
    <r>
      <rPr>
        <sz val="12"/>
        <color theme="1"/>
        <rFont val="微軟正黑體"/>
        <family val="2"/>
        <charset val="136"/>
      </rPr>
      <t>背</t>
    </r>
    <r>
      <rPr>
        <sz val="12"/>
        <color theme="1"/>
        <rFont val="Calibri"/>
        <family val="2"/>
      </rPr>
      <t>3M</t>
    </r>
  </si>
  <si>
    <r>
      <rPr>
        <sz val="12"/>
        <color theme="1"/>
        <rFont val="微軟正黑體"/>
        <family val="2"/>
        <charset val="136"/>
      </rPr>
      <t>動力銅排</t>
    </r>
    <r>
      <rPr>
        <sz val="12"/>
        <color theme="1"/>
        <rFont val="Calibri"/>
        <family val="2"/>
      </rPr>
      <t xml:space="preserve"> 250A-7P</t>
    </r>
  </si>
  <si>
    <r>
      <t>(JH) AL 250A7P</t>
    </r>
    <r>
      <rPr>
        <sz val="12"/>
        <color theme="1"/>
        <rFont val="微軟正黑體"/>
        <family val="2"/>
        <charset val="136"/>
      </rPr>
      <t>動力接地銅排</t>
    </r>
  </si>
  <si>
    <r>
      <t>(</t>
    </r>
    <r>
      <rPr>
        <sz val="12"/>
        <color theme="1"/>
        <rFont val="微軟正黑體"/>
        <family val="2"/>
        <charset val="136"/>
      </rPr>
      <t>士林</t>
    </r>
    <r>
      <rPr>
        <sz val="12"/>
        <color theme="1"/>
        <rFont val="Calibri"/>
        <family val="2"/>
      </rPr>
      <t xml:space="preserve">) </t>
    </r>
    <r>
      <rPr>
        <sz val="12"/>
        <color theme="1"/>
        <rFont val="微軟正黑體"/>
        <family val="2"/>
        <charset val="136"/>
      </rPr>
      <t>小型斷路器</t>
    </r>
    <r>
      <rPr>
        <sz val="12"/>
        <color theme="1"/>
        <rFont val="Calibri"/>
        <family val="2"/>
      </rPr>
      <t>BHA-1PC32A</t>
    </r>
  </si>
  <si>
    <r>
      <t>(</t>
    </r>
    <r>
      <rPr>
        <sz val="12"/>
        <color theme="1"/>
        <rFont val="微軟正黑體"/>
        <family val="2"/>
        <charset val="136"/>
      </rPr>
      <t>士林</t>
    </r>
    <r>
      <rPr>
        <sz val="12"/>
        <color theme="1"/>
        <rFont val="Calibri"/>
        <family val="2"/>
      </rPr>
      <t xml:space="preserve">) </t>
    </r>
    <r>
      <rPr>
        <sz val="12"/>
        <color theme="1"/>
        <rFont val="微軟正黑體"/>
        <family val="2"/>
        <charset val="136"/>
      </rPr>
      <t>小型斷路器</t>
    </r>
    <r>
      <rPr>
        <sz val="12"/>
        <color theme="1"/>
        <rFont val="Calibri"/>
        <family val="2"/>
      </rPr>
      <t>3PC-30A</t>
    </r>
  </si>
  <si>
    <r>
      <t>(</t>
    </r>
    <r>
      <rPr>
        <sz val="12"/>
        <color theme="1"/>
        <rFont val="微軟正黑體"/>
        <family val="2"/>
        <charset val="136"/>
      </rPr>
      <t>士林</t>
    </r>
    <r>
      <rPr>
        <sz val="12"/>
        <color theme="1"/>
        <rFont val="Calibri"/>
        <family val="2"/>
      </rPr>
      <t>)</t>
    </r>
    <r>
      <rPr>
        <sz val="12"/>
        <color theme="1"/>
        <rFont val="微軟正黑體"/>
        <family val="2"/>
        <charset val="136"/>
      </rPr>
      <t>小型斷路器</t>
    </r>
    <r>
      <rPr>
        <sz val="12"/>
        <color theme="1"/>
        <rFont val="Calibri"/>
        <family val="2"/>
      </rPr>
      <t>(3PC-32A)</t>
    </r>
  </si>
  <si>
    <r>
      <rPr>
        <sz val="12"/>
        <color theme="1"/>
        <rFont val="微軟正黑體"/>
        <family val="2"/>
        <charset val="136"/>
      </rPr>
      <t>網路鉗</t>
    </r>
    <r>
      <rPr>
        <sz val="12"/>
        <color theme="1"/>
        <rFont val="Calibri"/>
        <family val="2"/>
      </rPr>
      <t xml:space="preserve"> EYTT-06</t>
    </r>
  </si>
  <si>
    <r>
      <rPr>
        <sz val="12"/>
        <color theme="1"/>
        <rFont val="微軟正黑體"/>
        <family val="2"/>
        <charset val="136"/>
      </rPr>
      <t>短路片</t>
    </r>
    <r>
      <rPr>
        <sz val="12"/>
        <color theme="1"/>
        <rFont val="Calibri"/>
        <family val="2"/>
      </rPr>
      <t>20A*12P</t>
    </r>
  </si>
  <si>
    <r>
      <rPr>
        <sz val="12"/>
        <color theme="1"/>
        <rFont val="微軟正黑體"/>
        <family val="2"/>
        <charset val="136"/>
      </rPr>
      <t>附鎖平式門扣</t>
    </r>
    <r>
      <rPr>
        <sz val="12"/>
        <color theme="1"/>
        <rFont val="Calibri"/>
        <family val="2"/>
      </rPr>
      <t>83*28 LTKJ047</t>
    </r>
  </si>
  <si>
    <r>
      <t>2P</t>
    </r>
    <r>
      <rPr>
        <sz val="12"/>
        <color theme="1"/>
        <rFont val="微軟正黑體"/>
        <family val="2"/>
        <charset val="136"/>
      </rPr>
      <t>短路片</t>
    </r>
    <r>
      <rPr>
        <sz val="12"/>
        <color theme="1"/>
        <rFont val="Calibri"/>
        <family val="2"/>
      </rPr>
      <t xml:space="preserve"> FBS2-6</t>
    </r>
  </si>
  <si>
    <r>
      <rPr>
        <sz val="12"/>
        <color theme="1"/>
        <rFont val="微軟正黑體"/>
        <family val="2"/>
        <charset val="136"/>
      </rPr>
      <t>運費</t>
    </r>
    <r>
      <rPr>
        <sz val="12"/>
        <color theme="1"/>
        <rFont val="Calibri"/>
        <family val="2"/>
      </rPr>
      <t>-</t>
    </r>
    <r>
      <rPr>
        <sz val="12"/>
        <color theme="1"/>
        <rFont val="微軟正黑體"/>
        <family val="2"/>
        <charset val="136"/>
      </rPr>
      <t>紀泰</t>
    </r>
  </si>
  <si>
    <r>
      <rPr>
        <sz val="12"/>
        <color theme="1"/>
        <rFont val="微軟正黑體"/>
        <family val="2"/>
        <charset val="136"/>
      </rPr>
      <t>控制線</t>
    </r>
    <r>
      <rPr>
        <sz val="12"/>
        <color theme="1"/>
        <rFont val="Calibri"/>
        <family val="2"/>
      </rPr>
      <t xml:space="preserve"> ROHS </t>
    </r>
    <r>
      <rPr>
        <sz val="12"/>
        <color theme="1"/>
        <rFont val="微軟正黑體"/>
        <family val="2"/>
        <charset val="136"/>
      </rPr>
      <t>大亞</t>
    </r>
    <r>
      <rPr>
        <sz val="12"/>
        <color theme="1"/>
        <rFont val="Calibri"/>
        <family val="2"/>
      </rPr>
      <t xml:space="preserve"> 0.75*01C</t>
    </r>
  </si>
  <si>
    <r>
      <rPr>
        <sz val="12"/>
        <color theme="1"/>
        <rFont val="微軟正黑體"/>
        <family val="2"/>
        <charset val="136"/>
      </rPr>
      <t>水晶頭專用保護套</t>
    </r>
    <r>
      <rPr>
        <sz val="12"/>
        <color theme="1"/>
        <rFont val="Calibri"/>
        <family val="2"/>
      </rPr>
      <t>(</t>
    </r>
    <r>
      <rPr>
        <sz val="12"/>
        <color theme="1"/>
        <rFont val="微軟正黑體"/>
        <family val="2"/>
        <charset val="136"/>
      </rPr>
      <t>透明</t>
    </r>
    <r>
      <rPr>
        <sz val="12"/>
        <color theme="1"/>
        <rFont val="Calibri"/>
        <family val="2"/>
      </rPr>
      <t>) 8.0mm</t>
    </r>
  </si>
  <si>
    <r>
      <rPr>
        <sz val="12"/>
        <color theme="1"/>
        <rFont val="微軟正黑體"/>
        <family val="2"/>
        <charset val="136"/>
      </rPr>
      <t>網路頭</t>
    </r>
    <r>
      <rPr>
        <sz val="12"/>
        <color theme="1"/>
        <rFont val="Calibri"/>
        <family val="2"/>
      </rPr>
      <t xml:space="preserve"> 8P8C </t>
    </r>
    <r>
      <rPr>
        <sz val="12"/>
        <color theme="1"/>
        <rFont val="微軟正黑體"/>
        <family val="2"/>
        <charset val="136"/>
      </rPr>
      <t>圓新三叉片</t>
    </r>
    <r>
      <rPr>
        <sz val="12"/>
        <color theme="1"/>
        <rFont val="Calibri"/>
        <family val="2"/>
      </rPr>
      <t xml:space="preserve"> 50U</t>
    </r>
    <r>
      <rPr>
        <sz val="12"/>
        <color theme="1"/>
        <rFont val="微軟正黑體"/>
        <family val="2"/>
        <charset val="136"/>
      </rPr>
      <t>大孔徑</t>
    </r>
    <r>
      <rPr>
        <sz val="12"/>
        <color theme="1"/>
        <rFont val="Calibri"/>
        <family val="2"/>
      </rPr>
      <t>1.5mm</t>
    </r>
  </si>
  <si>
    <r>
      <rPr>
        <sz val="12"/>
        <color theme="1"/>
        <rFont val="微軟正黑體"/>
        <family val="2"/>
        <charset val="136"/>
      </rPr>
      <t>網路線</t>
    </r>
    <r>
      <rPr>
        <sz val="12"/>
        <color theme="1"/>
        <rFont val="Calibri"/>
        <family val="2"/>
      </rPr>
      <t xml:space="preserve"> CAT6A U/FTP Cable (</t>
    </r>
    <r>
      <rPr>
        <sz val="12"/>
        <color theme="1"/>
        <rFont val="微軟正黑體"/>
        <family val="2"/>
        <charset val="136"/>
      </rPr>
      <t>灰</t>
    </r>
    <r>
      <rPr>
        <sz val="12"/>
        <color theme="1"/>
        <rFont val="Calibri"/>
        <family val="2"/>
      </rPr>
      <t>)</t>
    </r>
  </si>
  <si>
    <r>
      <rPr>
        <sz val="12"/>
        <color theme="1"/>
        <rFont val="微軟正黑體"/>
        <family val="2"/>
        <charset val="136"/>
      </rPr>
      <t>運費</t>
    </r>
    <r>
      <rPr>
        <sz val="12"/>
        <color theme="1"/>
        <rFont val="Calibri"/>
        <family val="2"/>
      </rPr>
      <t>-</t>
    </r>
    <r>
      <rPr>
        <sz val="12"/>
        <color theme="1"/>
        <rFont val="微軟正黑體"/>
        <family val="2"/>
        <charset val="136"/>
      </rPr>
      <t>凱士士</t>
    </r>
  </si>
  <si>
    <r>
      <rPr>
        <sz val="12"/>
        <color theme="1"/>
        <rFont val="微軟正黑體"/>
        <family val="2"/>
        <charset val="136"/>
      </rPr>
      <t>針型裸端子</t>
    </r>
    <r>
      <rPr>
        <sz val="12"/>
        <color theme="1"/>
        <rFont val="Calibri"/>
        <family val="2"/>
      </rPr>
      <t>(</t>
    </r>
    <r>
      <rPr>
        <sz val="12"/>
        <color theme="1"/>
        <rFont val="微軟正黑體"/>
        <family val="2"/>
        <charset val="136"/>
      </rPr>
      <t>扁型</t>
    </r>
    <r>
      <rPr>
        <sz val="12"/>
        <color theme="1"/>
        <rFont val="Calibri"/>
        <family val="2"/>
      </rPr>
      <t>) (100P) LBD5-10</t>
    </r>
  </si>
  <si>
    <r>
      <rPr>
        <sz val="12"/>
        <color theme="1"/>
        <rFont val="微軟正黑體"/>
        <family val="2"/>
        <charset val="136"/>
      </rPr>
      <t>絕緣配線槽</t>
    </r>
    <r>
      <rPr>
        <sz val="12"/>
        <color theme="1"/>
        <rFont val="Calibri"/>
        <family val="2"/>
      </rPr>
      <t>(45*65*1.7</t>
    </r>
    <r>
      <rPr>
        <sz val="12"/>
        <color theme="1"/>
        <rFont val="微軟正黑體"/>
        <family val="2"/>
        <charset val="136"/>
      </rPr>
      <t>密</t>
    </r>
    <r>
      <rPr>
        <sz val="12"/>
        <color theme="1"/>
        <rFont val="Calibri"/>
        <family val="2"/>
      </rPr>
      <t>) LMD5</t>
    </r>
  </si>
  <si>
    <r>
      <t>RJ45</t>
    </r>
    <r>
      <rPr>
        <sz val="12"/>
        <color theme="1"/>
        <rFont val="微軟正黑體"/>
        <family val="2"/>
        <charset val="136"/>
      </rPr>
      <t>接頭遮蔽型</t>
    </r>
    <r>
      <rPr>
        <sz val="12"/>
        <color theme="1"/>
        <rFont val="Calibri"/>
        <family val="2"/>
      </rPr>
      <t xml:space="preserve">  RJ45-8C6A</t>
    </r>
  </si>
  <si>
    <r>
      <t>Y</t>
    </r>
    <r>
      <rPr>
        <sz val="12"/>
        <color theme="1"/>
        <rFont val="微軟正黑體"/>
        <family val="2"/>
        <charset val="136"/>
      </rPr>
      <t>型端子</t>
    </r>
    <r>
      <rPr>
        <sz val="12"/>
        <color theme="1"/>
        <rFont val="Calibri"/>
        <family val="2"/>
      </rPr>
      <t xml:space="preserve"> Y1.25-3S</t>
    </r>
  </si>
  <si>
    <r>
      <rPr>
        <sz val="12"/>
        <color theme="1"/>
        <rFont val="微軟正黑體"/>
        <family val="2"/>
        <charset val="136"/>
      </rPr>
      <t>安全開關</t>
    </r>
    <r>
      <rPr>
        <sz val="12"/>
        <color theme="1"/>
        <rFont val="Calibri"/>
        <family val="2"/>
      </rPr>
      <t>-ZA-58-2P1E-5A</t>
    </r>
  </si>
  <si>
    <r>
      <rPr>
        <sz val="12"/>
        <color theme="1"/>
        <rFont val="微軟正黑體"/>
        <family val="2"/>
        <charset val="136"/>
      </rPr>
      <t>勾式接地電阻計</t>
    </r>
  </si>
  <si>
    <r>
      <t>2CO/24VDC</t>
    </r>
    <r>
      <rPr>
        <sz val="12"/>
        <color theme="1"/>
        <rFont val="微軟正黑體"/>
        <family val="2"/>
        <charset val="136"/>
      </rPr>
      <t>繼電器</t>
    </r>
    <r>
      <rPr>
        <sz val="12"/>
        <color theme="1"/>
        <rFont val="Calibri"/>
        <family val="2"/>
      </rPr>
      <t xml:space="preserve"> RIF-1RPT-LDP-24DC/2X21</t>
    </r>
  </si>
  <si>
    <r>
      <rPr>
        <sz val="12"/>
        <color theme="1"/>
        <rFont val="微軟正黑體"/>
        <family val="2"/>
        <charset val="136"/>
      </rPr>
      <t>電源供應器</t>
    </r>
    <r>
      <rPr>
        <sz val="12"/>
        <color theme="1"/>
        <rFont val="Calibri"/>
        <family val="2"/>
      </rPr>
      <t xml:space="preserve"> NDR-480-24</t>
    </r>
  </si>
  <si>
    <r>
      <rPr>
        <sz val="12"/>
        <color theme="1"/>
        <rFont val="微軟正黑體"/>
        <family val="2"/>
        <charset val="136"/>
      </rPr>
      <t>漏水偵測帶</t>
    </r>
  </si>
  <si>
    <r>
      <t>4G</t>
    </r>
    <r>
      <rPr>
        <sz val="12"/>
        <color theme="1"/>
        <rFont val="微軟正黑體"/>
        <family val="2"/>
        <charset val="136"/>
      </rPr>
      <t>簡訊機</t>
    </r>
  </si>
  <si>
    <r>
      <t xml:space="preserve">20A </t>
    </r>
    <r>
      <rPr>
        <sz val="12"/>
        <color theme="1"/>
        <rFont val="微軟正黑體"/>
        <family val="2"/>
        <charset val="136"/>
      </rPr>
      <t>雙層軌道式端子盤</t>
    </r>
    <r>
      <rPr>
        <sz val="12"/>
        <color theme="1"/>
        <rFont val="Calibri"/>
        <family val="2"/>
      </rPr>
      <t xml:space="preserve"> TBD-20</t>
    </r>
  </si>
  <si>
    <r>
      <rPr>
        <sz val="12"/>
        <color theme="1"/>
        <rFont val="微軟正黑體"/>
        <family val="2"/>
        <charset val="136"/>
      </rPr>
      <t>寬軌固定擋片</t>
    </r>
    <r>
      <rPr>
        <sz val="12"/>
        <color theme="1"/>
        <rFont val="Calibri"/>
        <family val="2"/>
      </rPr>
      <t xml:space="preserve"> TBR-F</t>
    </r>
  </si>
  <si>
    <r>
      <rPr>
        <sz val="12"/>
        <color theme="1"/>
        <rFont val="微軟正黑體"/>
        <family val="2"/>
        <charset val="136"/>
      </rPr>
      <t>點數授權升級</t>
    </r>
  </si>
  <si>
    <r>
      <rPr>
        <sz val="12"/>
        <color theme="1"/>
        <rFont val="微軟正黑體"/>
        <family val="2"/>
        <charset val="136"/>
      </rPr>
      <t>日照總輻射傳感器</t>
    </r>
  </si>
  <si>
    <r>
      <rPr>
        <sz val="12"/>
        <color theme="1"/>
        <rFont val="微軟正黑體"/>
        <family val="2"/>
        <charset val="136"/>
      </rPr>
      <t>太陽能支架</t>
    </r>
  </si>
  <si>
    <r>
      <rPr>
        <sz val="12"/>
        <color theme="1"/>
        <rFont val="微軟正黑體"/>
        <family val="2"/>
        <charset val="136"/>
      </rPr>
      <t>水電材料</t>
    </r>
  </si>
  <si>
    <r>
      <rPr>
        <sz val="12"/>
        <color theme="1"/>
        <rFont val="微軟正黑體"/>
        <family val="2"/>
        <charset val="136"/>
      </rPr>
      <t>刷卡機底座</t>
    </r>
  </si>
  <si>
    <r>
      <rPr>
        <sz val="12"/>
        <color theme="1"/>
        <rFont val="微軟正黑體"/>
        <family val="2"/>
        <charset val="136"/>
      </rPr>
      <t>勾表</t>
    </r>
  </si>
  <si>
    <r>
      <rPr>
        <sz val="12"/>
        <color theme="1"/>
        <rFont val="微軟正黑體"/>
        <family val="2"/>
        <charset val="136"/>
      </rPr>
      <t>光照度傳感器</t>
    </r>
  </si>
  <si>
    <r>
      <rPr>
        <sz val="12"/>
        <color theme="1"/>
        <rFont val="微軟正黑體"/>
        <family val="2"/>
        <charset val="136"/>
      </rPr>
      <t>電動風門控制箱</t>
    </r>
  </si>
  <si>
    <r>
      <rPr>
        <sz val="12"/>
        <color theme="1"/>
        <rFont val="微軟正黑體"/>
        <family val="2"/>
        <charset val="136"/>
      </rPr>
      <t>彰化台電待銷</t>
    </r>
  </si>
  <si>
    <r>
      <rPr>
        <sz val="12"/>
        <color theme="1"/>
        <rFont val="微軟正黑體"/>
        <family val="2"/>
        <charset val="136"/>
      </rPr>
      <t>庫存</t>
    </r>
    <r>
      <rPr>
        <sz val="12"/>
        <color theme="1"/>
        <rFont val="Calibri"/>
        <family val="2"/>
      </rPr>
      <t>*1</t>
    </r>
  </si>
  <si>
    <r>
      <rPr>
        <sz val="12"/>
        <color theme="1"/>
        <rFont val="微軟正黑體"/>
        <family val="2"/>
        <charset val="136"/>
      </rPr>
      <t>原能會待銷</t>
    </r>
  </si>
  <si>
    <r>
      <rPr>
        <sz val="12"/>
        <color theme="1"/>
        <rFont val="微軟正黑體"/>
        <family val="2"/>
        <charset val="136"/>
      </rPr>
      <t>市警局</t>
    </r>
  </si>
  <si>
    <r>
      <rPr>
        <sz val="12"/>
        <color theme="1"/>
        <rFont val="微軟正黑體"/>
        <family val="2"/>
        <charset val="136"/>
      </rPr>
      <t>電信所機房汰換</t>
    </r>
  </si>
  <si>
    <r>
      <rPr>
        <sz val="12"/>
        <color theme="1"/>
        <rFont val="微軟正黑體"/>
        <family val="2"/>
        <charset val="136"/>
      </rPr>
      <t>研華大田</t>
    </r>
  </si>
  <si>
    <r>
      <rPr>
        <sz val="12"/>
        <color theme="1"/>
        <rFont val="微軟正黑體"/>
        <family val="2"/>
        <charset val="136"/>
      </rPr>
      <t>三冠王有線</t>
    </r>
  </si>
  <si>
    <r>
      <rPr>
        <sz val="12"/>
        <color theme="1"/>
        <rFont val="微軟正黑體"/>
        <family val="2"/>
        <charset val="136"/>
      </rPr>
      <t>台大農場</t>
    </r>
  </si>
  <si>
    <r>
      <rPr>
        <sz val="12"/>
        <color theme="1"/>
        <rFont val="微軟正黑體"/>
        <family val="2"/>
        <charset val="136"/>
      </rPr>
      <t>海總電視牆</t>
    </r>
  </si>
  <si>
    <r>
      <rPr>
        <sz val="12"/>
        <color theme="1"/>
        <rFont val="微軟正黑體"/>
        <family val="2"/>
        <charset val="136"/>
      </rPr>
      <t>健訊</t>
    </r>
  </si>
  <si>
    <r>
      <rPr>
        <sz val="12"/>
        <color theme="1"/>
        <rFont val="微軟正黑體"/>
        <family val="2"/>
        <charset val="136"/>
      </rPr>
      <t>中嘉</t>
    </r>
    <r>
      <rPr>
        <sz val="12"/>
        <color theme="1"/>
        <rFont val="Calibri"/>
        <family val="2"/>
      </rPr>
      <t>-</t>
    </r>
    <r>
      <rPr>
        <sz val="12"/>
        <color theme="1"/>
        <rFont val="微軟正黑體"/>
        <family val="2"/>
        <charset val="136"/>
      </rPr>
      <t>北健</t>
    </r>
  </si>
  <si>
    <r>
      <rPr>
        <sz val="12"/>
        <color theme="1"/>
        <rFont val="微軟正黑體"/>
        <family val="2"/>
        <charset val="136"/>
      </rPr>
      <t>龍潭雄獅大樓</t>
    </r>
  </si>
  <si>
    <r>
      <rPr>
        <sz val="12"/>
        <color theme="1"/>
        <rFont val="微軟正黑體"/>
        <family val="2"/>
        <charset val="136"/>
      </rPr>
      <t>研華農展</t>
    </r>
  </si>
  <si>
    <r>
      <rPr>
        <sz val="12"/>
        <color theme="1"/>
        <rFont val="微軟正黑體"/>
        <family val="2"/>
        <charset val="136"/>
      </rPr>
      <t>台大</t>
    </r>
    <r>
      <rPr>
        <sz val="12"/>
        <color theme="1"/>
        <rFont val="Calibri"/>
        <family val="2"/>
      </rPr>
      <t>E</t>
    </r>
    <r>
      <rPr>
        <sz val="12"/>
        <color theme="1"/>
        <rFont val="微軟正黑體"/>
        <family val="2"/>
        <charset val="136"/>
      </rPr>
      <t>化</t>
    </r>
    <r>
      <rPr>
        <sz val="12"/>
        <color theme="1"/>
        <rFont val="Calibri"/>
        <family val="2"/>
      </rPr>
      <t>-</t>
    </r>
    <r>
      <rPr>
        <sz val="12"/>
        <color theme="1"/>
        <rFont val="微軟正黑體"/>
        <family val="2"/>
        <charset val="136"/>
      </rPr>
      <t>崴康</t>
    </r>
  </si>
  <si>
    <r>
      <rPr>
        <sz val="12"/>
        <color theme="1"/>
        <rFont val="微軟正黑體"/>
        <family val="2"/>
        <charset val="136"/>
      </rPr>
      <t>台北通信隊</t>
    </r>
  </si>
  <si>
    <r>
      <rPr>
        <sz val="12"/>
        <color theme="1"/>
        <rFont val="微軟正黑體"/>
        <family val="2"/>
        <charset val="136"/>
      </rPr>
      <t>海總</t>
    </r>
    <r>
      <rPr>
        <sz val="12"/>
        <color theme="1"/>
        <rFont val="Calibri"/>
        <family val="2"/>
      </rPr>
      <t>.</t>
    </r>
    <r>
      <rPr>
        <sz val="12"/>
        <color theme="1"/>
        <rFont val="微軟正黑體"/>
        <family val="2"/>
        <charset val="136"/>
      </rPr>
      <t>聯維有線</t>
    </r>
  </si>
  <si>
    <r>
      <rPr>
        <sz val="12"/>
        <color theme="1"/>
        <rFont val="微軟正黑體"/>
        <family val="2"/>
        <charset val="136"/>
      </rPr>
      <t>庫存</t>
    </r>
    <r>
      <rPr>
        <sz val="12"/>
        <color theme="1"/>
        <rFont val="Calibri"/>
        <family val="2"/>
      </rPr>
      <t>*2/</t>
    </r>
    <r>
      <rPr>
        <sz val="12"/>
        <color theme="1"/>
        <rFont val="微軟正黑體"/>
        <family val="2"/>
        <charset val="136"/>
      </rPr>
      <t>德霖</t>
    </r>
    <r>
      <rPr>
        <sz val="12"/>
        <color theme="1"/>
        <rFont val="Calibri"/>
        <family val="2"/>
      </rPr>
      <t>*1/</t>
    </r>
    <r>
      <rPr>
        <sz val="12"/>
        <color theme="1"/>
        <rFont val="微軟正黑體"/>
        <family val="2"/>
        <charset val="136"/>
      </rPr>
      <t>研華</t>
    </r>
    <r>
      <rPr>
        <sz val="12"/>
        <color theme="1"/>
        <rFont val="Calibri"/>
        <family val="2"/>
      </rPr>
      <t>*4</t>
    </r>
  </si>
  <si>
    <r>
      <rPr>
        <sz val="12"/>
        <color theme="1"/>
        <rFont val="微軟正黑體"/>
        <family val="2"/>
        <charset val="136"/>
      </rPr>
      <t>傑晟</t>
    </r>
    <r>
      <rPr>
        <sz val="12"/>
        <color theme="1"/>
        <rFont val="Calibri"/>
        <family val="2"/>
      </rPr>
      <t>-146</t>
    </r>
    <r>
      <rPr>
        <sz val="12"/>
        <color theme="1"/>
        <rFont val="微軟正黑體"/>
        <family val="2"/>
        <charset val="136"/>
      </rPr>
      <t>艦隊待銷</t>
    </r>
  </si>
  <si>
    <r>
      <rPr>
        <sz val="12"/>
        <color theme="1"/>
        <rFont val="微軟正黑體"/>
        <family val="2"/>
        <charset val="136"/>
      </rPr>
      <t>大田</t>
    </r>
  </si>
  <si>
    <r>
      <rPr>
        <sz val="12"/>
        <color theme="1"/>
        <rFont val="微軟正黑體"/>
        <family val="2"/>
        <charset val="136"/>
      </rPr>
      <t>中科院蘇澳外台</t>
    </r>
  </si>
  <si>
    <r>
      <rPr>
        <sz val="12"/>
        <color theme="1"/>
        <rFont val="微軟正黑體"/>
        <family val="2"/>
        <charset val="136"/>
      </rPr>
      <t>中科院基隆本部</t>
    </r>
  </si>
  <si>
    <r>
      <rPr>
        <sz val="12"/>
        <color theme="1"/>
        <rFont val="微軟正黑體"/>
        <family val="2"/>
        <charset val="136"/>
      </rPr>
      <t>長榮待銷</t>
    </r>
  </si>
  <si>
    <r>
      <rPr>
        <sz val="12"/>
        <color theme="1"/>
        <rFont val="微軟正黑體"/>
        <family val="2"/>
        <charset val="136"/>
      </rPr>
      <t>中科院</t>
    </r>
  </si>
  <si>
    <r>
      <rPr>
        <sz val="12"/>
        <color theme="1"/>
        <rFont val="微軟正黑體"/>
        <family val="2"/>
        <charset val="136"/>
      </rPr>
      <t>中嘉</t>
    </r>
  </si>
  <si>
    <r>
      <rPr>
        <sz val="12"/>
        <color theme="1"/>
        <rFont val="微軟正黑體"/>
        <family val="2"/>
        <charset val="136"/>
      </rPr>
      <t>崴康</t>
    </r>
    <r>
      <rPr>
        <sz val="12"/>
        <color theme="1"/>
        <rFont val="Calibri"/>
        <family val="2"/>
      </rPr>
      <t>-</t>
    </r>
    <r>
      <rPr>
        <sz val="12"/>
        <color theme="1"/>
        <rFont val="微軟正黑體"/>
        <family val="2"/>
        <charset val="136"/>
      </rPr>
      <t>台大</t>
    </r>
  </si>
  <si>
    <r>
      <rPr>
        <sz val="12"/>
        <color theme="1"/>
        <rFont val="微軟正黑體"/>
        <family val="2"/>
        <charset val="136"/>
      </rPr>
      <t>中油</t>
    </r>
  </si>
  <si>
    <r>
      <rPr>
        <sz val="12"/>
        <color theme="1"/>
        <rFont val="微軟正黑體"/>
        <family val="2"/>
        <charset val="136"/>
      </rPr>
      <t>驊宏</t>
    </r>
    <r>
      <rPr>
        <sz val="12"/>
        <color theme="1"/>
        <rFont val="Calibri"/>
        <family val="2"/>
      </rPr>
      <t>-</t>
    </r>
    <r>
      <rPr>
        <sz val="12"/>
        <color theme="1"/>
        <rFont val="微軟正黑體"/>
        <family val="2"/>
        <charset val="136"/>
      </rPr>
      <t>郵局保養</t>
    </r>
  </si>
  <si>
    <r>
      <rPr>
        <sz val="12"/>
        <color theme="1"/>
        <rFont val="微軟正黑體"/>
        <family val="2"/>
        <charset val="136"/>
      </rPr>
      <t>屏北</t>
    </r>
  </si>
  <si>
    <r>
      <rPr>
        <sz val="12"/>
        <color theme="1"/>
        <rFont val="微軟正黑體"/>
        <family val="2"/>
        <charset val="136"/>
      </rPr>
      <t>中科院</t>
    </r>
    <r>
      <rPr>
        <sz val="12"/>
        <color theme="1"/>
        <rFont val="Calibri"/>
        <family val="2"/>
      </rPr>
      <t>-</t>
    </r>
    <r>
      <rPr>
        <sz val="12"/>
        <color theme="1"/>
        <rFont val="微軟正黑體"/>
        <family val="2"/>
        <charset val="136"/>
      </rPr>
      <t>基隆</t>
    </r>
  </si>
  <si>
    <t>TP-M10261-1</t>
  </si>
  <si>
    <t>Z-DA-SFPBS4648SC-20</t>
  </si>
  <si>
    <t>Z-DT00024141</t>
  </si>
  <si>
    <t>Z-DT00024144</t>
  </si>
  <si>
    <t>Z-GT-EA2-01UL</t>
  </si>
  <si>
    <t>Z-M10182-1</t>
  </si>
  <si>
    <r>
      <rPr>
        <sz val="12"/>
        <color theme="1"/>
        <rFont val="微軟正黑體"/>
        <family val="2"/>
        <charset val="136"/>
      </rPr>
      <t>訊達待銷</t>
    </r>
  </si>
  <si>
    <r>
      <rPr>
        <sz val="12"/>
        <color theme="1"/>
        <rFont val="微軟正黑體"/>
        <family val="2"/>
        <charset val="136"/>
      </rPr>
      <t>訊達</t>
    </r>
  </si>
  <si>
    <r>
      <rPr>
        <sz val="12"/>
        <color theme="1"/>
        <rFont val="微軟正黑體"/>
        <family val="2"/>
        <charset val="136"/>
      </rPr>
      <t>台電</t>
    </r>
    <r>
      <rPr>
        <sz val="12"/>
        <color theme="1"/>
        <rFont val="Calibri"/>
        <family val="2"/>
      </rPr>
      <t>3D</t>
    </r>
    <r>
      <rPr>
        <sz val="12"/>
        <color theme="1"/>
        <rFont val="微軟正黑體"/>
        <family val="2"/>
        <charset val="136"/>
      </rPr>
      <t>圖控開發</t>
    </r>
    <r>
      <rPr>
        <sz val="12"/>
        <color theme="1"/>
        <rFont val="Calibri"/>
        <family val="2"/>
      </rPr>
      <t>-</t>
    </r>
    <r>
      <rPr>
        <sz val="12"/>
        <color theme="1"/>
        <rFont val="微軟正黑體"/>
        <family val="2"/>
        <charset val="136"/>
      </rPr>
      <t>交貨款</t>
    </r>
    <r>
      <rPr>
        <sz val="12"/>
        <color theme="1"/>
        <rFont val="Calibri"/>
        <family val="2"/>
      </rPr>
      <t>-50%</t>
    </r>
  </si>
  <si>
    <r>
      <t>SC-SC</t>
    </r>
    <r>
      <rPr>
        <sz val="12"/>
        <color theme="1"/>
        <rFont val="微軟正黑體"/>
        <family val="2"/>
        <charset val="136"/>
      </rPr>
      <t>接頭單模單芯光纖短跳線</t>
    </r>
    <r>
      <rPr>
        <sz val="12"/>
        <color theme="1"/>
        <rFont val="Calibri"/>
        <family val="2"/>
      </rPr>
      <t>-5cm  15-FS001SC-SC-5</t>
    </r>
  </si>
  <si>
    <r>
      <t xml:space="preserve">1.25G BIDI-SC </t>
    </r>
    <r>
      <rPr>
        <sz val="12"/>
        <color theme="1"/>
        <rFont val="微軟正黑體"/>
        <family val="2"/>
        <charset val="136"/>
      </rPr>
      <t>單模單芯</t>
    </r>
    <r>
      <rPr>
        <sz val="12"/>
        <color theme="1"/>
        <rFont val="Calibri"/>
        <family val="2"/>
      </rPr>
      <t xml:space="preserve">,T1550/R1310 20km SFP </t>
    </r>
    <r>
      <rPr>
        <sz val="12"/>
        <color theme="1"/>
        <rFont val="微軟正黑體"/>
        <family val="2"/>
        <charset val="136"/>
      </rPr>
      <t>模組</t>
    </r>
    <r>
      <rPr>
        <sz val="12"/>
        <color theme="1"/>
        <rFont val="Calibri"/>
        <family val="2"/>
      </rPr>
      <t>(</t>
    </r>
    <r>
      <rPr>
        <sz val="12"/>
        <color theme="1"/>
        <rFont val="微軟正黑體"/>
        <family val="2"/>
        <charset val="136"/>
      </rPr>
      <t>黃</t>
    </r>
    <r>
      <rPr>
        <sz val="12"/>
        <color theme="1"/>
        <rFont val="Calibri"/>
        <family val="2"/>
      </rPr>
      <t>/B</t>
    </r>
    <r>
      <rPr>
        <sz val="12"/>
        <color theme="1"/>
        <rFont val="微軟正黑體"/>
        <family val="2"/>
        <charset val="136"/>
      </rPr>
      <t>端</t>
    </r>
    <r>
      <rPr>
        <sz val="12"/>
        <color theme="1"/>
        <rFont val="Calibri"/>
        <family val="2"/>
      </rPr>
      <t>)</t>
    </r>
  </si>
  <si>
    <r>
      <t xml:space="preserve">1.25G BIDI-SC </t>
    </r>
    <r>
      <rPr>
        <sz val="12"/>
        <color theme="1"/>
        <rFont val="微軟正黑體"/>
        <family val="2"/>
        <charset val="136"/>
      </rPr>
      <t>單模單芯</t>
    </r>
    <r>
      <rPr>
        <sz val="12"/>
        <color theme="1"/>
        <rFont val="Calibri"/>
        <family val="2"/>
      </rPr>
      <t xml:space="preserve">,T1310/R1550 20km SFP </t>
    </r>
    <r>
      <rPr>
        <sz val="12"/>
        <color theme="1"/>
        <rFont val="微軟正黑體"/>
        <family val="2"/>
        <charset val="136"/>
      </rPr>
      <t>模組</t>
    </r>
    <r>
      <rPr>
        <sz val="12"/>
        <color theme="1"/>
        <rFont val="Calibri"/>
        <family val="2"/>
      </rPr>
      <t>(</t>
    </r>
    <r>
      <rPr>
        <sz val="12"/>
        <color theme="1"/>
        <rFont val="微軟正黑體"/>
        <family val="2"/>
        <charset val="136"/>
      </rPr>
      <t>藍</t>
    </r>
    <r>
      <rPr>
        <sz val="12"/>
        <color theme="1"/>
        <rFont val="Calibri"/>
        <family val="2"/>
      </rPr>
      <t>/A</t>
    </r>
    <r>
      <rPr>
        <sz val="12"/>
        <color theme="1"/>
        <rFont val="微軟正黑體"/>
        <family val="2"/>
        <charset val="136"/>
      </rPr>
      <t>端</t>
    </r>
    <r>
      <rPr>
        <sz val="12"/>
        <color theme="1"/>
        <rFont val="Calibri"/>
        <family val="2"/>
      </rPr>
      <t>)</t>
    </r>
  </si>
  <si>
    <r>
      <t xml:space="preserve">Windows Server 2025Standard </t>
    </r>
    <r>
      <rPr>
        <sz val="12"/>
        <color theme="1"/>
        <rFont val="微軟正黑體"/>
        <family val="2"/>
        <charset val="136"/>
      </rPr>
      <t>中文隨機版</t>
    </r>
    <r>
      <rPr>
        <sz val="12"/>
        <color theme="1"/>
        <rFont val="Calibri"/>
        <family val="2"/>
      </rPr>
      <t xml:space="preserve"> </t>
    </r>
    <r>
      <rPr>
        <sz val="12"/>
        <color theme="1"/>
        <rFont val="微軟正黑體"/>
        <family val="2"/>
        <charset val="136"/>
      </rPr>
      <t>不含</t>
    </r>
    <r>
      <rPr>
        <sz val="12"/>
        <color theme="1"/>
        <rFont val="Calibri"/>
        <family val="2"/>
      </rPr>
      <t>CAL</t>
    </r>
  </si>
  <si>
    <r>
      <t xml:space="preserve">Windows Server 2025-5Clt User CAL </t>
    </r>
    <r>
      <rPr>
        <sz val="12"/>
        <color theme="1"/>
        <rFont val="微軟正黑體"/>
        <family val="2"/>
        <charset val="136"/>
      </rPr>
      <t>中文隨機版</t>
    </r>
    <r>
      <rPr>
        <sz val="12"/>
        <color theme="1"/>
        <rFont val="Calibri"/>
        <family val="2"/>
      </rPr>
      <t>(EP2-25276)</t>
    </r>
  </si>
  <si>
    <r>
      <t>UL</t>
    </r>
    <r>
      <rPr>
        <sz val="12"/>
        <color theme="1"/>
        <rFont val="微軟正黑體"/>
        <family val="2"/>
        <charset val="136"/>
      </rPr>
      <t>控制線</t>
    </r>
    <r>
      <rPr>
        <sz val="12"/>
        <color theme="1"/>
        <rFont val="Calibri"/>
        <family val="2"/>
      </rPr>
      <t>105c 2X1C    EA2-01UL</t>
    </r>
  </si>
  <si>
    <r>
      <rPr>
        <sz val="12"/>
        <color theme="1"/>
        <rFont val="微軟正黑體"/>
        <family val="2"/>
        <charset val="136"/>
      </rPr>
      <t>運費</t>
    </r>
    <r>
      <rPr>
        <sz val="12"/>
        <color theme="1"/>
        <rFont val="Calibri"/>
        <family val="2"/>
      </rPr>
      <t>-</t>
    </r>
    <r>
      <rPr>
        <sz val="12"/>
        <color theme="1"/>
        <rFont val="微軟正黑體"/>
        <family val="2"/>
        <charset val="136"/>
      </rPr>
      <t>科寶</t>
    </r>
  </si>
  <si>
    <r>
      <rPr>
        <sz val="12"/>
        <color theme="1"/>
        <rFont val="微軟正黑體"/>
        <family val="2"/>
        <charset val="136"/>
      </rPr>
      <t>借出</t>
    </r>
    <r>
      <rPr>
        <sz val="12"/>
        <color theme="1"/>
        <rFont val="Calibri"/>
        <family val="2"/>
      </rPr>
      <t>:2010.11.17</t>
    </r>
    <r>
      <rPr>
        <sz val="12"/>
        <color theme="1"/>
        <rFont val="微軟正黑體"/>
        <family val="2"/>
        <charset val="136"/>
      </rPr>
      <t>涂全佑測</t>
    </r>
    <r>
      <rPr>
        <sz val="12"/>
        <color theme="1"/>
        <rFont val="Calibri"/>
        <family val="2"/>
      </rPr>
      <t>*1/</t>
    </r>
    <r>
      <rPr>
        <sz val="12"/>
        <color theme="1"/>
        <rFont val="微軟正黑體"/>
        <family val="2"/>
        <charset val="136"/>
      </rPr>
      <t>借入</t>
    </r>
    <r>
      <rPr>
        <sz val="12"/>
        <color theme="1"/>
        <rFont val="Calibri"/>
        <family val="2"/>
      </rPr>
      <t>:2011.6.23</t>
    </r>
    <r>
      <rPr>
        <sz val="12"/>
        <color theme="1"/>
        <rFont val="微軟正黑體"/>
        <family val="2"/>
        <charset val="136"/>
      </rPr>
      <t>台大</t>
    </r>
    <r>
      <rPr>
        <sz val="12"/>
        <color theme="1"/>
        <rFont val="Calibri"/>
        <family val="2"/>
      </rPr>
      <t>*1,2011.6.1</t>
    </r>
    <r>
      <rPr>
        <sz val="12"/>
        <color theme="1"/>
        <rFont val="微軟正黑體"/>
        <family val="2"/>
        <charset val="136"/>
      </rPr>
      <t>銓盛</t>
    </r>
    <r>
      <rPr>
        <sz val="12"/>
        <color theme="1"/>
        <rFont val="Calibri"/>
        <family val="2"/>
      </rPr>
      <t>*2</t>
    </r>
    <phoneticPr fontId="6" type="noConversion"/>
  </si>
  <si>
    <t>C-ACTI-GNR350</t>
  </si>
  <si>
    <t>8 Post POE Switch  PPSW-0102</t>
  </si>
  <si>
    <t>A14</t>
    <phoneticPr fontId="6" type="noConversion"/>
  </si>
  <si>
    <t>DEMO BOX</t>
    <phoneticPr fontId="6" type="noConversion"/>
  </si>
  <si>
    <t>DEMO+A12</t>
    <phoneticPr fontId="6" type="noConversion"/>
  </si>
  <si>
    <t>A12</t>
    <phoneticPr fontId="6" type="noConversion"/>
  </si>
  <si>
    <t>DEMO+A14</t>
    <phoneticPr fontId="6" type="noConversion"/>
  </si>
  <si>
    <t>A13</t>
    <phoneticPr fontId="6" type="noConversion"/>
  </si>
  <si>
    <t>20260319003 Cynthiax2</t>
    <phoneticPr fontId="6" type="noConversion"/>
  </si>
  <si>
    <t>A10+A11</t>
    <phoneticPr fontId="6" type="noConversion"/>
  </si>
  <si>
    <t>DEMO+A07</t>
    <phoneticPr fontId="6" type="noConversion"/>
  </si>
  <si>
    <r>
      <rPr>
        <b/>
        <sz val="12"/>
        <color theme="1"/>
        <rFont val="微軟正黑體"/>
        <family val="2"/>
        <charset val="136"/>
      </rPr>
      <t>未來掛單銷貨</t>
    </r>
    <phoneticPr fontId="2" type="noConversion"/>
  </si>
  <si>
    <r>
      <rPr>
        <sz val="12"/>
        <color theme="1"/>
        <rFont val="微軟正黑體"/>
        <family val="2"/>
        <charset val="136"/>
      </rPr>
      <t>錄影主機</t>
    </r>
    <r>
      <rPr>
        <sz val="12"/>
        <color theme="1"/>
        <rFont val="Calibri"/>
        <family val="2"/>
      </rPr>
      <t xml:space="preserve"> 100channel 6-bay tower standalone NVR</t>
    </r>
  </si>
  <si>
    <r>
      <rPr>
        <b/>
        <sz val="12"/>
        <color theme="1"/>
        <rFont val="微軟正黑體"/>
        <family val="2"/>
        <charset val="136"/>
      </rPr>
      <t>後續處理狀態</t>
    </r>
    <phoneticPr fontId="2" type="noConversion"/>
  </si>
  <si>
    <t>951-2C-220AN ROHS</t>
  </si>
  <si>
    <t>A303-LDR-100</t>
  </si>
  <si>
    <r>
      <rPr>
        <sz val="12"/>
        <color theme="1"/>
        <rFont val="微軟正黑體"/>
        <family val="2"/>
        <charset val="136"/>
      </rPr>
      <t>奕龍</t>
    </r>
    <r>
      <rPr>
        <sz val="12"/>
        <color theme="1"/>
        <rFont val="Calibri"/>
        <family val="2"/>
      </rPr>
      <t xml:space="preserve">/ </t>
    </r>
    <r>
      <rPr>
        <sz val="12"/>
        <color theme="1"/>
        <rFont val="微軟正黑體"/>
        <family val="2"/>
        <charset val="136"/>
      </rPr>
      <t>鋁軌</t>
    </r>
    <r>
      <rPr>
        <sz val="12"/>
        <color theme="1"/>
        <rFont val="Calibri"/>
        <family val="2"/>
      </rPr>
      <t>-</t>
    </r>
    <r>
      <rPr>
        <sz val="12"/>
        <color theme="1"/>
        <rFont val="微軟正黑體"/>
        <family val="2"/>
        <charset val="136"/>
      </rPr>
      <t>無陽極</t>
    </r>
    <r>
      <rPr>
        <sz val="12"/>
        <color theme="1"/>
        <rFont val="Calibri"/>
        <family val="2"/>
      </rPr>
      <t xml:space="preserve"> (35mm)</t>
    </r>
  </si>
  <si>
    <t>A307-202407001-27</t>
  </si>
  <si>
    <r>
      <rPr>
        <sz val="12"/>
        <color theme="1"/>
        <rFont val="微軟正黑體"/>
        <family val="2"/>
        <charset val="136"/>
      </rPr>
      <t>奕龍</t>
    </r>
    <r>
      <rPr>
        <sz val="12"/>
        <color theme="1"/>
        <rFont val="Calibri"/>
        <family val="2"/>
      </rPr>
      <t xml:space="preserve">/ </t>
    </r>
    <r>
      <rPr>
        <sz val="12"/>
        <color theme="1"/>
        <rFont val="微軟正黑體"/>
        <family val="2"/>
        <charset val="136"/>
      </rPr>
      <t>五金零料</t>
    </r>
    <r>
      <rPr>
        <sz val="12"/>
        <color theme="1"/>
        <rFont val="Calibri"/>
        <family val="2"/>
      </rPr>
      <t>-</t>
    </r>
    <r>
      <rPr>
        <sz val="12"/>
        <color theme="1"/>
        <rFont val="微軟正黑體"/>
        <family val="2"/>
        <charset val="136"/>
      </rPr>
      <t>德盈</t>
    </r>
    <r>
      <rPr>
        <sz val="12"/>
        <color theme="1"/>
        <rFont val="Calibri"/>
        <family val="2"/>
      </rPr>
      <t>-</t>
    </r>
    <r>
      <rPr>
        <sz val="12"/>
        <color theme="1"/>
        <rFont val="微軟正黑體"/>
        <family val="2"/>
        <charset val="136"/>
      </rPr>
      <t>彰化台電</t>
    </r>
  </si>
  <si>
    <r>
      <rPr>
        <sz val="12"/>
        <color theme="1"/>
        <rFont val="微軟正黑體"/>
        <family val="2"/>
        <charset val="136"/>
      </rPr>
      <t>傑晟</t>
    </r>
    <r>
      <rPr>
        <sz val="12"/>
        <color theme="1"/>
        <rFont val="Calibri"/>
        <family val="2"/>
      </rPr>
      <t>-146</t>
    </r>
    <r>
      <rPr>
        <sz val="12"/>
        <color theme="1"/>
        <rFont val="微軟正黑體"/>
        <family val="2"/>
        <charset val="136"/>
      </rPr>
      <t>艦隊待銷</t>
    </r>
    <r>
      <rPr>
        <sz val="12"/>
        <color theme="1"/>
        <rFont val="Calibri"/>
        <family val="2"/>
      </rPr>
      <t>*2</t>
    </r>
  </si>
  <si>
    <t>C105-LL100-C1314-10A</t>
  </si>
  <si>
    <r>
      <rPr>
        <sz val="12"/>
        <color theme="1"/>
        <rFont val="微軟正黑體"/>
        <family val="2"/>
        <charset val="136"/>
      </rPr>
      <t>奕龍</t>
    </r>
    <r>
      <rPr>
        <sz val="12"/>
        <color theme="1"/>
        <rFont val="Calibri"/>
        <family val="2"/>
      </rPr>
      <t>/ QE</t>
    </r>
    <r>
      <rPr>
        <sz val="12"/>
        <color theme="1"/>
        <rFont val="微軟正黑體"/>
        <family val="2"/>
        <charset val="136"/>
      </rPr>
      <t>電源線</t>
    </r>
    <r>
      <rPr>
        <sz val="12"/>
        <color theme="1"/>
        <rFont val="Calibri"/>
        <family val="2"/>
      </rPr>
      <t>C13.C14 1.8</t>
    </r>
    <r>
      <rPr>
        <sz val="12"/>
        <color theme="1"/>
        <rFont val="微軟正黑體"/>
        <family val="2"/>
        <charset val="136"/>
      </rPr>
      <t>米</t>
    </r>
    <r>
      <rPr>
        <sz val="12"/>
        <color theme="1"/>
        <rFont val="Calibri"/>
        <family val="2"/>
      </rPr>
      <t xml:space="preserve"> 10A</t>
    </r>
  </si>
  <si>
    <t>C105-LL100-C1314-15A</t>
  </si>
  <si>
    <r>
      <rPr>
        <sz val="12"/>
        <color theme="1"/>
        <rFont val="微軟正黑體"/>
        <family val="2"/>
        <charset val="136"/>
      </rPr>
      <t>奕龍</t>
    </r>
    <r>
      <rPr>
        <sz val="12"/>
        <color theme="1"/>
        <rFont val="Calibri"/>
        <family val="2"/>
      </rPr>
      <t>/ QE</t>
    </r>
    <r>
      <rPr>
        <sz val="12"/>
        <color theme="1"/>
        <rFont val="微軟正黑體"/>
        <family val="2"/>
        <charset val="136"/>
      </rPr>
      <t>電源線</t>
    </r>
    <r>
      <rPr>
        <sz val="12"/>
        <color theme="1"/>
        <rFont val="Calibri"/>
        <family val="2"/>
      </rPr>
      <t>C13.C14 1.8</t>
    </r>
    <r>
      <rPr>
        <sz val="12"/>
        <color theme="1"/>
        <rFont val="微軟正黑體"/>
        <family val="2"/>
        <charset val="136"/>
      </rPr>
      <t>米</t>
    </r>
    <r>
      <rPr>
        <sz val="12"/>
        <color theme="1"/>
        <rFont val="Calibri"/>
        <family val="2"/>
      </rPr>
      <t xml:space="preserve"> 15A</t>
    </r>
  </si>
  <si>
    <t>C106-BMEC-15A</t>
  </si>
  <si>
    <r>
      <rPr>
        <sz val="12"/>
        <color theme="1"/>
        <rFont val="微軟正黑體"/>
        <family val="2"/>
        <charset val="136"/>
      </rPr>
      <t>奕龍</t>
    </r>
    <r>
      <rPr>
        <sz val="12"/>
        <color theme="1"/>
        <rFont val="Calibri"/>
        <family val="2"/>
      </rPr>
      <t>/ NHD</t>
    </r>
    <r>
      <rPr>
        <sz val="12"/>
        <color theme="1"/>
        <rFont val="微軟正黑體"/>
        <family val="2"/>
        <charset val="136"/>
      </rPr>
      <t>組合式端子台</t>
    </r>
    <r>
      <rPr>
        <sz val="12"/>
        <color theme="1"/>
        <rFont val="Calibri"/>
        <family val="2"/>
      </rPr>
      <t xml:space="preserve"> MEC-15A</t>
    </r>
  </si>
  <si>
    <t>C106-BTBH-10A</t>
  </si>
  <si>
    <r>
      <rPr>
        <sz val="12"/>
        <color theme="1"/>
        <rFont val="微軟正黑體"/>
        <family val="2"/>
        <charset val="136"/>
      </rPr>
      <t>奕龍</t>
    </r>
    <r>
      <rPr>
        <sz val="12"/>
        <color theme="1"/>
        <rFont val="Calibri"/>
        <family val="2"/>
      </rPr>
      <t>/ TEND</t>
    </r>
    <r>
      <rPr>
        <sz val="12"/>
        <color theme="1"/>
        <rFont val="微軟正黑體"/>
        <family val="2"/>
        <charset val="136"/>
      </rPr>
      <t>雙層端子台</t>
    </r>
    <r>
      <rPr>
        <sz val="12"/>
        <color theme="1"/>
        <rFont val="Calibri"/>
        <family val="2"/>
      </rPr>
      <t xml:space="preserve"> TBH-10A</t>
    </r>
  </si>
  <si>
    <t>C-ACTI-A820</t>
  </si>
  <si>
    <r>
      <t>400</t>
    </r>
    <r>
      <rPr>
        <sz val="12"/>
        <color theme="1"/>
        <rFont val="微軟正黑體"/>
        <family val="2"/>
        <charset val="136"/>
      </rPr>
      <t>萬畫素球型攝影機</t>
    </r>
    <r>
      <rPr>
        <sz val="12"/>
        <color theme="1"/>
        <rFont val="Calibri"/>
        <family val="2"/>
      </rPr>
      <t xml:space="preserve">  A820-00C-V01-261</t>
    </r>
  </si>
  <si>
    <t>C-ACTI-PPSW-0102</t>
  </si>
  <si>
    <t>C-ADV-ADAM-4055-C</t>
  </si>
  <si>
    <r>
      <t>16-ch DI/DO</t>
    </r>
    <r>
      <rPr>
        <sz val="12"/>
        <color theme="1"/>
        <rFont val="微軟正黑體"/>
        <family val="2"/>
        <charset val="136"/>
      </rPr>
      <t>模組</t>
    </r>
    <r>
      <rPr>
        <sz val="12"/>
        <color theme="1"/>
        <rFont val="Calibri"/>
        <family val="2"/>
      </rPr>
      <t xml:space="preserve"> ADAM-4055-c</t>
    </r>
  </si>
  <si>
    <t>C-ADV-ECU-1051TL-R10AAE</t>
  </si>
  <si>
    <t>C-ADV-ECU-1051TL-R10ABU</t>
  </si>
  <si>
    <t>C-ASUS-X1502A</t>
  </si>
  <si>
    <t>C-HPE-DL320-GEN1144LFF</t>
  </si>
  <si>
    <r>
      <t xml:space="preserve">HPE-DL320-GEN1144LFF </t>
    </r>
    <r>
      <rPr>
        <sz val="12"/>
        <color theme="1"/>
        <rFont val="微軟正黑體"/>
        <family val="2"/>
        <charset val="136"/>
      </rPr>
      <t>主機</t>
    </r>
    <r>
      <rPr>
        <sz val="12"/>
        <color theme="1"/>
        <rFont val="Calibri"/>
        <family val="2"/>
      </rPr>
      <t xml:space="preserve">   Altos S330 F6 Zbox</t>
    </r>
  </si>
  <si>
    <t>C-ST6000NM0125</t>
  </si>
  <si>
    <r>
      <rPr>
        <sz val="12"/>
        <color theme="1"/>
        <rFont val="微軟正黑體"/>
        <family val="2"/>
        <charset val="136"/>
      </rPr>
      <t>整新</t>
    </r>
    <r>
      <rPr>
        <sz val="12"/>
        <color theme="1"/>
        <rFont val="Calibri"/>
        <family val="2"/>
      </rPr>
      <t>6TB3.5</t>
    </r>
    <r>
      <rPr>
        <sz val="12"/>
        <color theme="1"/>
        <rFont val="微軟正黑體"/>
        <family val="2"/>
        <charset val="136"/>
      </rPr>
      <t>吋</t>
    </r>
    <r>
      <rPr>
        <sz val="12"/>
        <color theme="1"/>
        <rFont val="Calibri"/>
        <family val="2"/>
      </rPr>
      <t xml:space="preserve"> SATSIII 7200</t>
    </r>
    <r>
      <rPr>
        <sz val="12"/>
        <color theme="1"/>
        <rFont val="微軟正黑體"/>
        <family val="2"/>
        <charset val="136"/>
      </rPr>
      <t>轉</t>
    </r>
    <r>
      <rPr>
        <sz val="12"/>
        <color theme="1"/>
        <rFont val="Calibri"/>
        <family val="2"/>
      </rPr>
      <t xml:space="preserve"> </t>
    </r>
    <r>
      <rPr>
        <sz val="12"/>
        <color theme="1"/>
        <rFont val="微軟正黑體"/>
        <family val="2"/>
        <charset val="136"/>
      </rPr>
      <t>企業級硬碟</t>
    </r>
    <r>
      <rPr>
        <sz val="12"/>
        <color theme="1"/>
        <rFont val="Calibri"/>
        <family val="2"/>
      </rPr>
      <t xml:space="preserve"> </t>
    </r>
    <r>
      <rPr>
        <sz val="12"/>
        <color theme="1"/>
        <rFont val="微軟正黑體"/>
        <family val="2"/>
        <charset val="136"/>
      </rPr>
      <t>保固三年</t>
    </r>
  </si>
  <si>
    <t>C-SY-AR-321L485-5V</t>
  </si>
  <si>
    <r>
      <t>TTL/RS-485</t>
    </r>
    <r>
      <rPr>
        <sz val="12"/>
        <color theme="1"/>
        <rFont val="微軟正黑體"/>
        <family val="2"/>
        <charset val="136"/>
      </rPr>
      <t>轉換器</t>
    </r>
    <r>
      <rPr>
        <sz val="12"/>
        <color theme="1"/>
        <rFont val="Calibri"/>
        <family val="2"/>
      </rPr>
      <t xml:space="preserve">   AR-321L485-5V</t>
    </r>
  </si>
  <si>
    <t>C-SY-AR-401-IO-0016R-M</t>
  </si>
  <si>
    <r>
      <rPr>
        <sz val="12"/>
        <color theme="1"/>
        <rFont val="微軟正黑體"/>
        <family val="2"/>
        <charset val="136"/>
      </rPr>
      <t>電梯樓層控制器</t>
    </r>
    <r>
      <rPr>
        <sz val="12"/>
        <color theme="1"/>
        <rFont val="Calibri"/>
        <family val="2"/>
      </rPr>
      <t xml:space="preserve"> AR-401-IO-0016R-M</t>
    </r>
  </si>
  <si>
    <t>H009-IP5178E-3.6</t>
  </si>
  <si>
    <r>
      <rPr>
        <sz val="12"/>
        <color theme="1"/>
        <rFont val="微軟正黑體"/>
        <family val="2"/>
        <charset val="136"/>
      </rPr>
      <t>鎧鋒</t>
    </r>
    <r>
      <rPr>
        <sz val="12"/>
        <color theme="1"/>
        <rFont val="Calibri"/>
        <family val="2"/>
      </rPr>
      <t>/ 5MP 20</t>
    </r>
    <r>
      <rPr>
        <sz val="12"/>
        <color theme="1"/>
        <rFont val="微軟正黑體"/>
        <family val="2"/>
        <charset val="136"/>
      </rPr>
      <t>米</t>
    </r>
    <r>
      <rPr>
        <sz val="12"/>
        <color theme="1"/>
        <rFont val="Calibri"/>
        <family val="2"/>
      </rPr>
      <t xml:space="preserve"> IR IP DOME POE 3.6mm</t>
    </r>
  </si>
  <si>
    <t>IT-ADAM-5550KW-AE-</t>
  </si>
  <si>
    <t>L602-N0172</t>
  </si>
  <si>
    <r>
      <rPr>
        <sz val="12"/>
        <color theme="1"/>
        <rFont val="微軟正黑體"/>
        <family val="2"/>
        <charset val="136"/>
      </rPr>
      <t>嘉園科技</t>
    </r>
    <r>
      <rPr>
        <sz val="12"/>
        <color theme="1"/>
        <rFont val="Calibri"/>
        <family val="2"/>
      </rPr>
      <t>/</t>
    </r>
    <r>
      <rPr>
        <sz val="12"/>
        <color theme="1"/>
        <rFont val="微軟正黑體"/>
        <family val="2"/>
        <charset val="136"/>
      </rPr>
      <t>辦公室門禁系統專業版</t>
    </r>
  </si>
  <si>
    <t>L602-N0181-100</t>
  </si>
  <si>
    <r>
      <rPr>
        <sz val="12"/>
        <color theme="1"/>
        <rFont val="微軟正黑體"/>
        <family val="2"/>
        <charset val="136"/>
      </rPr>
      <t>嘉園科技</t>
    </r>
    <r>
      <rPr>
        <sz val="12"/>
        <color theme="1"/>
        <rFont val="Calibri"/>
        <family val="2"/>
      </rPr>
      <t>/</t>
    </r>
    <r>
      <rPr>
        <sz val="12"/>
        <color theme="1"/>
        <rFont val="微軟正黑體"/>
        <family val="2"/>
        <charset val="136"/>
      </rPr>
      <t>單門控制器授權費</t>
    </r>
    <r>
      <rPr>
        <sz val="12"/>
        <color theme="1"/>
        <rFont val="Calibri"/>
        <family val="2"/>
      </rPr>
      <t>(</t>
    </r>
    <r>
      <rPr>
        <sz val="12"/>
        <color theme="1"/>
        <rFont val="微軟正黑體"/>
        <family val="2"/>
        <charset val="136"/>
      </rPr>
      <t>總數第</t>
    </r>
    <r>
      <rPr>
        <sz val="12"/>
        <color theme="1"/>
        <rFont val="Calibri"/>
        <family val="2"/>
      </rPr>
      <t>1~100)</t>
    </r>
  </si>
  <si>
    <t>L602-N0181-200</t>
  </si>
  <si>
    <r>
      <rPr>
        <sz val="12"/>
        <color theme="1"/>
        <rFont val="微軟正黑體"/>
        <family val="2"/>
        <charset val="136"/>
      </rPr>
      <t>嘉園科技</t>
    </r>
    <r>
      <rPr>
        <sz val="12"/>
        <color theme="1"/>
        <rFont val="Calibri"/>
        <family val="2"/>
      </rPr>
      <t>/</t>
    </r>
    <r>
      <rPr>
        <sz val="12"/>
        <color theme="1"/>
        <rFont val="微軟正黑體"/>
        <family val="2"/>
        <charset val="136"/>
      </rPr>
      <t>單門控制器授權費</t>
    </r>
    <r>
      <rPr>
        <sz val="12"/>
        <color theme="1"/>
        <rFont val="Calibri"/>
        <family val="2"/>
      </rPr>
      <t>(</t>
    </r>
    <r>
      <rPr>
        <sz val="12"/>
        <color theme="1"/>
        <rFont val="微軟正黑體"/>
        <family val="2"/>
        <charset val="136"/>
      </rPr>
      <t>總數第</t>
    </r>
    <r>
      <rPr>
        <sz val="12"/>
        <color theme="1"/>
        <rFont val="Calibri"/>
        <family val="2"/>
      </rPr>
      <t>101~200)</t>
    </r>
  </si>
  <si>
    <t>L602-N0310</t>
  </si>
  <si>
    <r>
      <rPr>
        <sz val="12"/>
        <color theme="1"/>
        <rFont val="微軟正黑體"/>
        <family val="2"/>
        <charset val="136"/>
      </rPr>
      <t>嘉園科技</t>
    </r>
    <r>
      <rPr>
        <sz val="12"/>
        <color theme="1"/>
        <rFont val="Calibri"/>
        <family val="2"/>
      </rPr>
      <t>/</t>
    </r>
    <r>
      <rPr>
        <sz val="12"/>
        <color theme="1"/>
        <rFont val="微軟正黑體"/>
        <family val="2"/>
        <charset val="136"/>
      </rPr>
      <t>動態平行資料上下載模型</t>
    </r>
  </si>
  <si>
    <t>L602-N0328-100</t>
  </si>
  <si>
    <r>
      <rPr>
        <sz val="12"/>
        <color theme="1"/>
        <rFont val="微軟正黑體"/>
        <family val="2"/>
        <charset val="136"/>
      </rPr>
      <t>嘉園科技</t>
    </r>
    <r>
      <rPr>
        <sz val="12"/>
        <color theme="1"/>
        <rFont val="Calibri"/>
        <family val="2"/>
      </rPr>
      <t xml:space="preserve">/ Modbus TCP </t>
    </r>
    <r>
      <rPr>
        <sz val="12"/>
        <color theme="1"/>
        <rFont val="微軟正黑體"/>
        <family val="2"/>
        <charset val="136"/>
      </rPr>
      <t>整合</t>
    </r>
    <r>
      <rPr>
        <sz val="12"/>
        <color theme="1"/>
        <rFont val="Calibri"/>
        <family val="2"/>
      </rPr>
      <t>(</t>
    </r>
    <r>
      <rPr>
        <sz val="12"/>
        <color theme="1"/>
        <rFont val="微軟正黑體"/>
        <family val="2"/>
        <charset val="136"/>
      </rPr>
      <t>總數第</t>
    </r>
    <r>
      <rPr>
        <sz val="12"/>
        <color theme="1"/>
        <rFont val="Calibri"/>
        <family val="2"/>
      </rPr>
      <t>1~100)</t>
    </r>
  </si>
  <si>
    <t>L602-N0328-200</t>
  </si>
  <si>
    <r>
      <rPr>
        <sz val="12"/>
        <color theme="1"/>
        <rFont val="微軟正黑體"/>
        <family val="2"/>
        <charset val="136"/>
      </rPr>
      <t>嘉園科技</t>
    </r>
    <r>
      <rPr>
        <sz val="12"/>
        <color theme="1"/>
        <rFont val="Calibri"/>
        <family val="2"/>
      </rPr>
      <t xml:space="preserve">/ Modbus TCP </t>
    </r>
    <r>
      <rPr>
        <sz val="12"/>
        <color theme="1"/>
        <rFont val="微軟正黑體"/>
        <family val="2"/>
        <charset val="136"/>
      </rPr>
      <t>整合</t>
    </r>
    <r>
      <rPr>
        <sz val="12"/>
        <color theme="1"/>
        <rFont val="Calibri"/>
        <family val="2"/>
      </rPr>
      <t>(</t>
    </r>
    <r>
      <rPr>
        <sz val="12"/>
        <color theme="1"/>
        <rFont val="微軟正黑體"/>
        <family val="2"/>
        <charset val="136"/>
      </rPr>
      <t>總數第</t>
    </r>
    <r>
      <rPr>
        <sz val="12"/>
        <color theme="1"/>
        <rFont val="Calibri"/>
        <family val="2"/>
      </rPr>
      <t>101~200)</t>
    </r>
  </si>
  <si>
    <t>L602-NRE-WATU</t>
  </si>
  <si>
    <r>
      <rPr>
        <sz val="12"/>
        <color theme="1"/>
        <rFont val="微軟正黑體"/>
        <family val="2"/>
        <charset val="136"/>
      </rPr>
      <t>研華</t>
    </r>
    <r>
      <rPr>
        <sz val="12"/>
        <color theme="1"/>
        <rFont val="Calibri"/>
        <family val="2"/>
      </rPr>
      <t>/ Webaccess additional 600 tags</t>
    </r>
  </si>
  <si>
    <t>LA23TJ-AG-1525-1</t>
  </si>
  <si>
    <t>LE9-220V-W</t>
  </si>
  <si>
    <t>MEMO</t>
  </si>
  <si>
    <t>PLP-1100D-24</t>
  </si>
  <si>
    <t>PS-PS-121(OLD)</t>
  </si>
  <si>
    <t>PXR-93MTK</t>
  </si>
  <si>
    <t>PYHPB-25-R</t>
  </si>
  <si>
    <t>S208-WS</t>
  </si>
  <si>
    <r>
      <rPr>
        <sz val="12"/>
        <color theme="1"/>
        <rFont val="微軟正黑體"/>
        <family val="2"/>
        <charset val="136"/>
      </rPr>
      <t>安誼電機</t>
    </r>
    <r>
      <rPr>
        <sz val="12"/>
        <color theme="1"/>
        <rFont val="Calibri"/>
        <family val="2"/>
      </rPr>
      <t xml:space="preserve">/ </t>
    </r>
    <r>
      <rPr>
        <sz val="12"/>
        <color theme="1"/>
        <rFont val="微軟正黑體"/>
        <family val="2"/>
        <charset val="136"/>
      </rPr>
      <t>網路轉換器</t>
    </r>
    <r>
      <rPr>
        <sz val="12"/>
        <color theme="1"/>
        <rFont val="Calibri"/>
        <family val="2"/>
      </rPr>
      <t xml:space="preserve"> input:RS485 Modbus RTU output; modbus TCP/IP </t>
    </r>
    <r>
      <rPr>
        <sz val="12"/>
        <color theme="1"/>
        <rFont val="微軟正黑體"/>
        <family val="2"/>
        <charset val="136"/>
      </rPr>
      <t>乙太網</t>
    </r>
    <r>
      <rPr>
        <sz val="12"/>
        <color theme="1"/>
        <rFont val="Calibri"/>
        <family val="2"/>
      </rPr>
      <t xml:space="preserve"> RJ45 Display:N/A AXU.Power:12 to30 VDC</t>
    </r>
  </si>
  <si>
    <t>S209-ADAM-4051-C</t>
  </si>
  <si>
    <r>
      <rPr>
        <sz val="12"/>
        <color theme="1"/>
        <rFont val="微軟正黑體"/>
        <family val="2"/>
        <charset val="136"/>
      </rPr>
      <t>研華</t>
    </r>
    <r>
      <rPr>
        <sz val="12"/>
        <color theme="1"/>
        <rFont val="Calibri"/>
        <family val="2"/>
      </rPr>
      <t>/CIRCUIT MODULE 16-CH ISOLATED DI MODUKE W/ LED &amp; MODBUS</t>
    </r>
  </si>
  <si>
    <t>SP-01</t>
  </si>
  <si>
    <t>SP-017-15A</t>
  </si>
  <si>
    <t>ST-CT 500/5A</t>
  </si>
  <si>
    <t>TP-C0295-2</t>
  </si>
  <si>
    <t>TP-C0311-2024072401-2</t>
  </si>
  <si>
    <t>TP-C0319-2025062501</t>
  </si>
  <si>
    <t>TP-C0385-2</t>
  </si>
  <si>
    <t>U-FIX HOLDER</t>
  </si>
  <si>
    <t>U-RFS-5</t>
  </si>
  <si>
    <t>Z-15-FS001SC-SC-02</t>
  </si>
  <si>
    <t>Z-15-FS001SC-SC-5</t>
  </si>
  <si>
    <t>Z-ACTI-PMAX-0357</t>
  </si>
  <si>
    <r>
      <rPr>
        <sz val="12"/>
        <color theme="1"/>
        <rFont val="微軟正黑體"/>
        <family val="2"/>
        <charset val="136"/>
      </rPr>
      <t>攝影機支架</t>
    </r>
    <r>
      <rPr>
        <sz val="12"/>
        <color theme="1"/>
        <rFont val="Calibri"/>
        <family val="2"/>
      </rPr>
      <t xml:space="preserve">  PMAX-0357</t>
    </r>
  </si>
  <si>
    <t>Z-ADV-NRE-WATU</t>
  </si>
  <si>
    <t>Z-DA-SFPBS1513SC-20</t>
  </si>
  <si>
    <t>Z-M10216-2</t>
  </si>
  <si>
    <t>ZN-58-2P1E-5A</t>
  </si>
  <si>
    <t>Z-PROVA-5601</t>
  </si>
  <si>
    <t>Z-RIF-1RPT-LDP-24DC/2X21</t>
  </si>
  <si>
    <t>ZS-1F</t>
  </si>
  <si>
    <t>ZYXEL-ES-110O</t>
  </si>
  <si>
    <t>A15</t>
    <phoneticPr fontId="6" type="noConversion"/>
  </si>
  <si>
    <r>
      <rPr>
        <b/>
        <sz val="12"/>
        <color theme="1"/>
        <rFont val="微軟正黑體"/>
        <family val="2"/>
        <charset val="136"/>
      </rPr>
      <t>實盤</t>
    </r>
    <phoneticPr fontId="6" type="noConversion"/>
  </si>
  <si>
    <r>
      <rPr>
        <b/>
        <sz val="12"/>
        <color theme="1"/>
        <rFont val="微軟正黑體"/>
        <family val="2"/>
        <charset val="136"/>
      </rPr>
      <t>存放位置</t>
    </r>
    <phoneticPr fontId="6" type="noConversion"/>
  </si>
  <si>
    <r>
      <rPr>
        <b/>
        <sz val="12"/>
        <color theme="1"/>
        <rFont val="微軟正黑體"/>
        <family val="2"/>
        <charset val="136"/>
      </rPr>
      <t>借出單號</t>
    </r>
    <phoneticPr fontId="6" type="noConversion"/>
  </si>
  <si>
    <t>A09</t>
    <phoneticPr fontId="6" type="noConversion"/>
  </si>
  <si>
    <t>A08</t>
    <phoneticPr fontId="6" type="noConversion"/>
  </si>
  <si>
    <t>20260319003 Cynthiax1</t>
    <phoneticPr fontId="6" type="noConversion"/>
  </si>
  <si>
    <t>20260319003 Cynthiax10</t>
    <phoneticPr fontId="6" type="noConversion"/>
  </si>
  <si>
    <t>ADAM-5056D-AE</t>
    <phoneticPr fontId="6" type="noConversion"/>
  </si>
  <si>
    <t>Z-ADV-1750005865</t>
    <phoneticPr fontId="6" type="noConversion"/>
  </si>
  <si>
    <r>
      <t>2026/4/30</t>
    </r>
    <r>
      <rPr>
        <b/>
        <u/>
        <sz val="14"/>
        <color theme="1"/>
        <rFont val="微軟正黑體"/>
        <family val="2"/>
        <charset val="136"/>
      </rPr>
      <t>庫存進銷明細</t>
    </r>
    <phoneticPr fontId="2" type="noConversion"/>
  </si>
  <si>
    <r>
      <rPr>
        <b/>
        <sz val="12"/>
        <color theme="1"/>
        <rFont val="微軟正黑體"/>
        <family val="2"/>
        <charset val="136"/>
      </rPr>
      <t xml:space="preserve">預計銷貨
</t>
    </r>
    <r>
      <rPr>
        <b/>
        <sz val="12"/>
        <color theme="1"/>
        <rFont val="Calibri"/>
        <family val="2"/>
      </rPr>
      <t>(</t>
    </r>
    <r>
      <rPr>
        <b/>
        <sz val="12"/>
        <color theme="1"/>
        <rFont val="微軟正黑體"/>
        <family val="2"/>
        <charset val="136"/>
      </rPr>
      <t>未銷貨</t>
    </r>
    <r>
      <rPr>
        <b/>
        <sz val="12"/>
        <color theme="1"/>
        <rFont val="Calibri"/>
        <family val="2"/>
      </rPr>
      <t>)</t>
    </r>
    <phoneticPr fontId="2" type="noConversion"/>
  </si>
  <si>
    <r>
      <rPr>
        <b/>
        <sz val="12"/>
        <color theme="1"/>
        <rFont val="微軟正黑體"/>
        <family val="2"/>
        <charset val="136"/>
      </rPr>
      <t xml:space="preserve">出貨倉
</t>
    </r>
    <r>
      <rPr>
        <b/>
        <sz val="12"/>
        <color theme="1"/>
        <rFont val="Calibri"/>
        <family val="2"/>
      </rPr>
      <t>(</t>
    </r>
    <r>
      <rPr>
        <b/>
        <sz val="12"/>
        <color theme="1"/>
        <rFont val="微軟正黑體"/>
        <family val="2"/>
        <charset val="136"/>
      </rPr>
      <t>台電</t>
    </r>
    <r>
      <rPr>
        <b/>
        <sz val="12"/>
        <color theme="1"/>
        <rFont val="Calibri"/>
        <family val="2"/>
      </rPr>
      <t>)</t>
    </r>
    <phoneticPr fontId="6" type="noConversion"/>
  </si>
  <si>
    <r>
      <rPr>
        <b/>
        <sz val="12"/>
        <color theme="1"/>
        <rFont val="微軟正黑體"/>
        <family val="2"/>
        <charset val="136"/>
      </rPr>
      <t xml:space="preserve">出貨倉
</t>
    </r>
    <r>
      <rPr>
        <b/>
        <sz val="12"/>
        <color theme="1"/>
        <rFont val="Calibri"/>
        <family val="2"/>
      </rPr>
      <t>(</t>
    </r>
    <r>
      <rPr>
        <b/>
        <sz val="12"/>
        <color theme="1"/>
        <rFont val="微軟正黑體"/>
        <family val="2"/>
        <charset val="136"/>
      </rPr>
      <t>其他</t>
    </r>
    <r>
      <rPr>
        <b/>
        <sz val="12"/>
        <color theme="1"/>
        <rFont val="Calibri"/>
        <family val="2"/>
      </rPr>
      <t>)</t>
    </r>
    <phoneticPr fontId="6" type="noConversion"/>
  </si>
  <si>
    <t>3M-S-1F</t>
  </si>
  <si>
    <r>
      <t xml:space="preserve">3M </t>
    </r>
    <r>
      <rPr>
        <sz val="12"/>
        <color indexed="8"/>
        <rFont val="微軟正黑體"/>
        <family val="2"/>
        <charset val="136"/>
      </rPr>
      <t>漏水檢知帶</t>
    </r>
  </si>
  <si>
    <r>
      <t xml:space="preserve">3M </t>
    </r>
    <r>
      <rPr>
        <sz val="12"/>
        <color theme="1"/>
        <rFont val="微軟正黑體"/>
        <family val="2"/>
        <charset val="136"/>
      </rPr>
      <t>漏水檢知器高感度型</t>
    </r>
  </si>
  <si>
    <t>61F-GPN-V50  110V</t>
  </si>
  <si>
    <r>
      <rPr>
        <sz val="12"/>
        <color theme="1"/>
        <rFont val="微軟正黑體"/>
        <family val="2"/>
        <charset val="136"/>
      </rPr>
      <t>漏水檢知器</t>
    </r>
    <r>
      <rPr>
        <sz val="12"/>
        <color theme="1"/>
        <rFont val="Calibri"/>
        <family val="2"/>
      </rPr>
      <t>-</t>
    </r>
    <r>
      <rPr>
        <sz val="12"/>
        <color theme="1"/>
        <rFont val="微軟正黑體"/>
        <family val="2"/>
        <charset val="136"/>
      </rPr>
      <t>本體</t>
    </r>
  </si>
  <si>
    <t>961.1004.0101.01330</t>
    <phoneticPr fontId="6" type="noConversion"/>
  </si>
  <si>
    <t>A06</t>
    <phoneticPr fontId="6" type="noConversion"/>
  </si>
  <si>
    <r>
      <t xml:space="preserve">20260319002 </t>
    </r>
    <r>
      <rPr>
        <sz val="12"/>
        <color theme="1"/>
        <rFont val="微軟正黑體"/>
        <family val="2"/>
        <charset val="136"/>
      </rPr>
      <t>台電</t>
    </r>
    <r>
      <rPr>
        <sz val="12"/>
        <color theme="1"/>
        <rFont val="Calibri"/>
        <family val="2"/>
      </rPr>
      <t>x20</t>
    </r>
    <phoneticPr fontId="6" type="noConversion"/>
  </si>
  <si>
    <r>
      <rPr>
        <sz val="12"/>
        <color theme="1"/>
        <rFont val="微軟正黑體"/>
        <family val="2"/>
        <charset val="136"/>
      </rPr>
      <t>出貨</t>
    </r>
    <r>
      <rPr>
        <sz val="12"/>
        <color theme="1"/>
        <rFont val="Calibri"/>
        <family val="2"/>
      </rPr>
      <t>-</t>
    </r>
    <r>
      <rPr>
        <sz val="12"/>
        <color theme="1"/>
        <rFont val="微軟正黑體"/>
        <family val="2"/>
        <charset val="136"/>
      </rPr>
      <t>台電</t>
    </r>
    <r>
      <rPr>
        <sz val="12"/>
        <color theme="1"/>
        <rFont val="Calibri"/>
        <family val="2"/>
      </rPr>
      <t>x20</t>
    </r>
    <phoneticPr fontId="6" type="noConversion"/>
  </si>
  <si>
    <t>A303-LK-4500A</t>
  </si>
  <si>
    <r>
      <rPr>
        <sz val="12"/>
        <color indexed="8"/>
        <rFont val="微軟正黑體"/>
        <family val="2"/>
        <charset val="136"/>
      </rPr>
      <t>龍光</t>
    </r>
    <r>
      <rPr>
        <sz val="12"/>
        <color indexed="8"/>
        <rFont val="Calibri"/>
        <family val="2"/>
      </rPr>
      <t>/</t>
    </r>
    <r>
      <rPr>
        <sz val="12"/>
        <color indexed="8"/>
        <rFont val="微軟正黑體"/>
        <family val="2"/>
        <charset val="136"/>
      </rPr>
      <t>緊急壓扣開關</t>
    </r>
    <r>
      <rPr>
        <sz val="12"/>
        <color indexed="8"/>
        <rFont val="Calibri"/>
        <family val="2"/>
      </rPr>
      <t xml:space="preserve"> </t>
    </r>
    <r>
      <rPr>
        <sz val="12"/>
        <color indexed="8"/>
        <rFont val="微軟正黑體"/>
        <family val="2"/>
        <charset val="136"/>
      </rPr>
      <t>塑膠面板</t>
    </r>
    <r>
      <rPr>
        <sz val="12"/>
        <color indexed="8"/>
        <rFont val="Calibri"/>
        <family val="2"/>
      </rPr>
      <t xml:space="preserve"> </t>
    </r>
    <r>
      <rPr>
        <sz val="12"/>
        <color indexed="8"/>
        <rFont val="微軟正黑體"/>
        <family val="2"/>
        <charset val="136"/>
      </rPr>
      <t>埋入式</t>
    </r>
  </si>
  <si>
    <t>A305-AR-716-E16-A</t>
    <phoneticPr fontId="6" type="noConversion"/>
  </si>
  <si>
    <r>
      <rPr>
        <sz val="12"/>
        <color theme="1"/>
        <rFont val="微軟正黑體"/>
        <family val="2"/>
        <charset val="136"/>
      </rPr>
      <t>茂旭</t>
    </r>
    <r>
      <rPr>
        <sz val="12"/>
        <color theme="1"/>
        <rFont val="Calibri"/>
        <family val="2"/>
      </rPr>
      <t>/ AR-727</t>
    </r>
    <r>
      <rPr>
        <sz val="12"/>
        <color theme="1"/>
        <rFont val="微軟正黑體"/>
        <family val="2"/>
        <charset val="136"/>
      </rPr>
      <t>主板</t>
    </r>
    <phoneticPr fontId="6" type="noConversion"/>
  </si>
  <si>
    <r>
      <rPr>
        <sz val="12"/>
        <color theme="1"/>
        <rFont val="微軟正黑體"/>
        <family val="2"/>
        <charset val="136"/>
      </rPr>
      <t>長榮待銷</t>
    </r>
    <r>
      <rPr>
        <sz val="12"/>
        <color theme="1"/>
        <rFont val="Calibri"/>
        <family val="2"/>
      </rPr>
      <t>*1,</t>
    </r>
    <r>
      <rPr>
        <sz val="12"/>
        <color theme="1"/>
        <rFont val="微軟正黑體"/>
        <family val="2"/>
        <charset val="136"/>
      </rPr>
      <t>傑晟</t>
    </r>
    <r>
      <rPr>
        <sz val="12"/>
        <color theme="1"/>
        <rFont val="Calibri"/>
        <family val="2"/>
      </rPr>
      <t>-146</t>
    </r>
    <r>
      <rPr>
        <sz val="12"/>
        <color theme="1"/>
        <rFont val="微軟正黑體"/>
        <family val="2"/>
        <charset val="136"/>
      </rPr>
      <t>艦隊待銷</t>
    </r>
    <r>
      <rPr>
        <sz val="12"/>
        <color theme="1"/>
        <rFont val="Calibri"/>
        <family val="2"/>
      </rPr>
      <t>*1,</t>
    </r>
    <r>
      <rPr>
        <sz val="12"/>
        <color theme="1"/>
        <rFont val="微軟正黑體"/>
        <family val="2"/>
        <charset val="136"/>
      </rPr>
      <t>故障</t>
    </r>
    <r>
      <rPr>
        <sz val="12"/>
        <color theme="1"/>
        <rFont val="Calibri"/>
        <family val="2"/>
      </rPr>
      <t>*1</t>
    </r>
  </si>
  <si>
    <r>
      <t xml:space="preserve">20260319002 </t>
    </r>
    <r>
      <rPr>
        <sz val="12"/>
        <color theme="1"/>
        <rFont val="微軟正黑體"/>
        <family val="2"/>
        <charset val="136"/>
      </rPr>
      <t>台電</t>
    </r>
    <r>
      <rPr>
        <sz val="12"/>
        <color theme="1"/>
        <rFont val="Calibri"/>
        <family val="2"/>
      </rPr>
      <t>x1</t>
    </r>
    <phoneticPr fontId="6" type="noConversion"/>
  </si>
  <si>
    <r>
      <rPr>
        <sz val="12"/>
        <color theme="1"/>
        <rFont val="微軟正黑體"/>
        <family val="2"/>
        <charset val="136"/>
      </rPr>
      <t>出貨</t>
    </r>
    <r>
      <rPr>
        <sz val="12"/>
        <color theme="1"/>
        <rFont val="Calibri"/>
        <family val="2"/>
      </rPr>
      <t>-</t>
    </r>
    <r>
      <rPr>
        <sz val="12"/>
        <color theme="1"/>
        <rFont val="微軟正黑體"/>
        <family val="2"/>
        <charset val="136"/>
      </rPr>
      <t>台電</t>
    </r>
    <r>
      <rPr>
        <sz val="12"/>
        <color theme="1"/>
        <rFont val="Calibri"/>
        <family val="2"/>
      </rPr>
      <t>x1</t>
    </r>
    <phoneticPr fontId="6" type="noConversion"/>
  </si>
  <si>
    <t>A307-LB2</t>
  </si>
  <si>
    <r>
      <rPr>
        <sz val="12"/>
        <color indexed="8"/>
        <rFont val="微軟正黑體"/>
        <family val="2"/>
        <charset val="136"/>
      </rPr>
      <t>奕龍</t>
    </r>
    <r>
      <rPr>
        <sz val="12"/>
        <color indexed="8"/>
        <rFont val="Calibri"/>
        <family val="2"/>
      </rPr>
      <t>/(KSS)b2</t>
    </r>
    <r>
      <rPr>
        <sz val="12"/>
        <color indexed="8"/>
        <rFont val="微軟正黑體"/>
        <family val="2"/>
        <charset val="136"/>
      </rPr>
      <t>長銅管</t>
    </r>
    <r>
      <rPr>
        <sz val="12"/>
        <color indexed="8"/>
        <rFont val="Calibri"/>
        <family val="2"/>
      </rPr>
      <t xml:space="preserve"> (100PC)</t>
    </r>
  </si>
  <si>
    <r>
      <t xml:space="preserve">20260319001 </t>
    </r>
    <r>
      <rPr>
        <sz val="12"/>
        <color theme="1"/>
        <rFont val="微軟正黑體"/>
        <family val="2"/>
        <charset val="136"/>
      </rPr>
      <t>駿詠</t>
    </r>
    <r>
      <rPr>
        <sz val="12"/>
        <color theme="1"/>
        <rFont val="Calibri"/>
        <family val="2"/>
      </rPr>
      <t>x1</t>
    </r>
    <phoneticPr fontId="6" type="noConversion"/>
  </si>
  <si>
    <r>
      <rPr>
        <sz val="12"/>
        <color theme="1"/>
        <rFont val="微軟正黑體"/>
        <family val="2"/>
        <charset val="136"/>
      </rPr>
      <t>待銷</t>
    </r>
    <r>
      <rPr>
        <sz val="12"/>
        <color theme="1"/>
        <rFont val="Calibri"/>
        <family val="2"/>
      </rPr>
      <t>-</t>
    </r>
    <r>
      <rPr>
        <sz val="12"/>
        <color theme="1"/>
        <rFont val="微軟正黑體"/>
        <family val="2"/>
        <charset val="136"/>
      </rPr>
      <t>駿詠</t>
    </r>
    <r>
      <rPr>
        <sz val="12"/>
        <color theme="1"/>
        <rFont val="Calibri"/>
        <family val="2"/>
      </rPr>
      <t>x1(</t>
    </r>
    <r>
      <rPr>
        <sz val="12"/>
        <color theme="1"/>
        <rFont val="微軟正黑體"/>
        <family val="2"/>
        <charset val="136"/>
      </rPr>
      <t>借</t>
    </r>
    <r>
      <rPr>
        <sz val="12"/>
        <color theme="1"/>
        <rFont val="Calibri"/>
        <family val="2"/>
      </rPr>
      <t>)</t>
    </r>
    <phoneticPr fontId="6" type="noConversion"/>
  </si>
  <si>
    <t>ADAM-4017+-CE</t>
  </si>
  <si>
    <r>
      <t xml:space="preserve">ADAM-4017+-CE 8ch </t>
    </r>
    <r>
      <rPr>
        <sz val="12"/>
        <color theme="1"/>
        <rFont val="微軟正黑體"/>
        <family val="2"/>
        <charset val="136"/>
      </rPr>
      <t>數位輸入模組</t>
    </r>
  </si>
  <si>
    <r>
      <rPr>
        <sz val="12"/>
        <color theme="1"/>
        <rFont val="微軟正黑體"/>
        <family val="2"/>
        <charset val="136"/>
      </rPr>
      <t>防滴防誤觸保護盒</t>
    </r>
  </si>
  <si>
    <r>
      <rPr>
        <sz val="12"/>
        <color theme="1"/>
        <rFont val="微軟正黑體"/>
        <family val="2"/>
        <charset val="136"/>
      </rPr>
      <t>副感應讀卡機</t>
    </r>
  </si>
  <si>
    <t>AR-PB-2A</t>
  </si>
  <si>
    <r>
      <rPr>
        <sz val="12"/>
        <color theme="1"/>
        <rFont val="微軟正黑體"/>
        <family val="2"/>
        <charset val="136"/>
      </rPr>
      <t>機械式開門按鈕</t>
    </r>
    <r>
      <rPr>
        <sz val="12"/>
        <color theme="1"/>
        <rFont val="Calibri"/>
        <family val="2"/>
      </rPr>
      <t>/</t>
    </r>
    <r>
      <rPr>
        <sz val="12"/>
        <color theme="1"/>
        <rFont val="微軟正黑體"/>
        <family val="2"/>
        <charset val="136"/>
      </rPr>
      <t>圓弧</t>
    </r>
    <r>
      <rPr>
        <sz val="12"/>
        <color theme="1"/>
        <rFont val="Calibri"/>
        <family val="2"/>
      </rPr>
      <t>/</t>
    </r>
    <r>
      <rPr>
        <sz val="12"/>
        <color theme="1"/>
        <rFont val="微軟正黑體"/>
        <family val="2"/>
        <charset val="136"/>
      </rPr>
      <t>銀色</t>
    </r>
    <r>
      <rPr>
        <sz val="12"/>
        <color theme="1"/>
        <rFont val="Calibri"/>
        <family val="2"/>
      </rPr>
      <t>*5*70*115mm</t>
    </r>
  </si>
  <si>
    <r>
      <rPr>
        <sz val="12"/>
        <color theme="1"/>
        <rFont val="微軟正黑體"/>
        <family val="2"/>
        <charset val="136"/>
      </rPr>
      <t>待銷</t>
    </r>
    <r>
      <rPr>
        <sz val="12"/>
        <color theme="1"/>
        <rFont val="Calibri"/>
        <family val="2"/>
      </rPr>
      <t>-</t>
    </r>
    <r>
      <rPr>
        <sz val="12"/>
        <color theme="1"/>
        <rFont val="微軟正黑體"/>
        <family val="2"/>
        <charset val="136"/>
      </rPr>
      <t>嘉瑋</t>
    </r>
    <r>
      <rPr>
        <sz val="12"/>
        <color theme="1"/>
        <rFont val="Calibri"/>
        <family val="2"/>
      </rPr>
      <t>x3</t>
    </r>
    <phoneticPr fontId="6" type="noConversion"/>
  </si>
  <si>
    <t>BBHA-C-2P32A</t>
  </si>
  <si>
    <r>
      <rPr>
        <sz val="12"/>
        <color theme="1"/>
        <rFont val="微軟正黑體"/>
        <family val="2"/>
        <charset val="136"/>
      </rPr>
      <t>小型斷路器</t>
    </r>
    <r>
      <rPr>
        <sz val="12"/>
        <color theme="1"/>
        <rFont val="Calibri"/>
        <family val="2"/>
      </rPr>
      <t>2P32A(</t>
    </r>
    <r>
      <rPr>
        <sz val="12"/>
        <color theme="1"/>
        <rFont val="微軟正黑體"/>
        <family val="2"/>
        <charset val="136"/>
      </rPr>
      <t>士林</t>
    </r>
    <r>
      <rPr>
        <sz val="12"/>
        <color theme="1"/>
        <rFont val="Calibri"/>
        <family val="2"/>
      </rPr>
      <t>)_</t>
    </r>
    <r>
      <rPr>
        <sz val="12"/>
        <color theme="1"/>
        <rFont val="微軟正黑體"/>
        <family val="2"/>
        <charset val="136"/>
      </rPr>
      <t>奕龍電機</t>
    </r>
  </si>
  <si>
    <r>
      <t xml:space="preserve">20260319002 </t>
    </r>
    <r>
      <rPr>
        <sz val="12"/>
        <color theme="1"/>
        <rFont val="微軟正黑體"/>
        <family val="2"/>
        <charset val="136"/>
      </rPr>
      <t>台電彰化</t>
    </r>
    <r>
      <rPr>
        <sz val="12"/>
        <color theme="1"/>
        <rFont val="Calibri"/>
        <family val="2"/>
      </rPr>
      <t>x28</t>
    </r>
    <phoneticPr fontId="6" type="noConversion"/>
  </si>
  <si>
    <r>
      <rPr>
        <sz val="12"/>
        <color theme="1"/>
        <rFont val="微軟正黑體"/>
        <family val="2"/>
        <charset val="136"/>
      </rPr>
      <t>出貨</t>
    </r>
    <r>
      <rPr>
        <sz val="12"/>
        <color theme="1"/>
        <rFont val="Calibri"/>
        <family val="2"/>
      </rPr>
      <t>-</t>
    </r>
    <r>
      <rPr>
        <sz val="12"/>
        <color theme="1"/>
        <rFont val="微軟正黑體"/>
        <family val="2"/>
        <charset val="136"/>
      </rPr>
      <t>台電</t>
    </r>
    <r>
      <rPr>
        <sz val="12"/>
        <color theme="1"/>
        <rFont val="Calibri"/>
        <family val="2"/>
      </rPr>
      <t>x28</t>
    </r>
    <phoneticPr fontId="6" type="noConversion"/>
  </si>
  <si>
    <t>C105-CF24-04</t>
  </si>
  <si>
    <r>
      <rPr>
        <sz val="12"/>
        <color indexed="8"/>
        <rFont val="微軟正黑體"/>
        <family val="2"/>
        <charset val="136"/>
      </rPr>
      <t>紀泰電線</t>
    </r>
    <r>
      <rPr>
        <sz val="12"/>
        <color indexed="8"/>
        <rFont val="Calibri"/>
        <family val="2"/>
      </rPr>
      <t>/ UL-</t>
    </r>
    <r>
      <rPr>
        <sz val="12"/>
        <color indexed="8"/>
        <rFont val="微軟正黑體"/>
        <family val="2"/>
        <charset val="136"/>
      </rPr>
      <t>鋁箔隔離</t>
    </r>
    <r>
      <rPr>
        <sz val="12"/>
        <color indexed="8"/>
        <rFont val="Calibri"/>
        <family val="2"/>
      </rPr>
      <t>+</t>
    </r>
    <r>
      <rPr>
        <sz val="12"/>
        <color indexed="8"/>
        <rFont val="微軟正黑體"/>
        <family val="2"/>
        <charset val="136"/>
      </rPr>
      <t>地線</t>
    </r>
    <r>
      <rPr>
        <sz val="12"/>
        <color indexed="8"/>
        <rFont val="Calibri"/>
        <family val="2"/>
      </rPr>
      <t xml:space="preserve"> 24#*04C</t>
    </r>
  </si>
  <si>
    <r>
      <rPr>
        <sz val="12"/>
        <color theme="1"/>
        <rFont val="微軟正黑體"/>
        <family val="2"/>
        <charset val="136"/>
      </rPr>
      <t>佳瑪</t>
    </r>
  </si>
  <si>
    <t>C105-EA075-02</t>
  </si>
  <si>
    <r>
      <rPr>
        <sz val="12"/>
        <color indexed="8"/>
        <rFont val="微軟正黑體"/>
        <family val="2"/>
        <charset val="136"/>
      </rPr>
      <t>紀泰電線</t>
    </r>
    <r>
      <rPr>
        <sz val="12"/>
        <color indexed="8"/>
        <rFont val="Calibri"/>
        <family val="2"/>
      </rPr>
      <t xml:space="preserve">/ </t>
    </r>
    <r>
      <rPr>
        <sz val="12"/>
        <color indexed="8"/>
        <rFont val="微軟正黑體"/>
        <family val="2"/>
        <charset val="136"/>
      </rPr>
      <t>控制線</t>
    </r>
    <r>
      <rPr>
        <sz val="12"/>
        <color indexed="8"/>
        <rFont val="Calibri"/>
        <family val="2"/>
      </rPr>
      <t xml:space="preserve"> 0.75*02C</t>
    </r>
  </si>
  <si>
    <r>
      <t xml:space="preserve">20260319002 </t>
    </r>
    <r>
      <rPr>
        <sz val="12"/>
        <color theme="1"/>
        <rFont val="微軟正黑體"/>
        <family val="2"/>
        <charset val="136"/>
      </rPr>
      <t>台電彰化</t>
    </r>
    <r>
      <rPr>
        <sz val="12"/>
        <color theme="1"/>
        <rFont val="Calibri"/>
        <family val="2"/>
      </rPr>
      <t>x26</t>
    </r>
    <phoneticPr fontId="6" type="noConversion"/>
  </si>
  <si>
    <r>
      <rPr>
        <sz val="12"/>
        <color theme="1"/>
        <rFont val="微軟正黑體"/>
        <family val="2"/>
        <charset val="136"/>
      </rPr>
      <t>出貨</t>
    </r>
    <r>
      <rPr>
        <sz val="12"/>
        <color theme="1"/>
        <rFont val="Calibri"/>
        <family val="2"/>
      </rPr>
      <t>-</t>
    </r>
    <r>
      <rPr>
        <sz val="12"/>
        <color theme="1"/>
        <rFont val="微軟正黑體"/>
        <family val="2"/>
        <charset val="136"/>
      </rPr>
      <t>台電</t>
    </r>
    <r>
      <rPr>
        <sz val="12"/>
        <color theme="1"/>
        <rFont val="Calibri"/>
        <family val="2"/>
      </rPr>
      <t>x26</t>
    </r>
    <phoneticPr fontId="6" type="noConversion"/>
  </si>
  <si>
    <r>
      <t xml:space="preserve">20260319002 </t>
    </r>
    <r>
      <rPr>
        <sz val="12"/>
        <color theme="1"/>
        <rFont val="微軟正黑體"/>
        <family val="2"/>
        <charset val="136"/>
      </rPr>
      <t>台電彰化</t>
    </r>
    <r>
      <rPr>
        <sz val="12"/>
        <color theme="1"/>
        <rFont val="Calibri"/>
        <family val="2"/>
      </rPr>
      <t>x8</t>
    </r>
    <phoneticPr fontId="6" type="noConversion"/>
  </si>
  <si>
    <r>
      <rPr>
        <sz val="12"/>
        <color theme="1"/>
        <rFont val="微軟正黑體"/>
        <family val="2"/>
        <charset val="136"/>
      </rPr>
      <t>出貨</t>
    </r>
    <r>
      <rPr>
        <sz val="12"/>
        <color theme="1"/>
        <rFont val="Calibri"/>
        <family val="2"/>
      </rPr>
      <t>-</t>
    </r>
    <r>
      <rPr>
        <sz val="12"/>
        <color theme="1"/>
        <rFont val="微軟正黑體"/>
        <family val="2"/>
        <charset val="136"/>
      </rPr>
      <t>台電</t>
    </r>
    <r>
      <rPr>
        <sz val="12"/>
        <color theme="1"/>
        <rFont val="Calibri"/>
        <family val="2"/>
      </rPr>
      <t>x8</t>
    </r>
    <phoneticPr fontId="6" type="noConversion"/>
  </si>
  <si>
    <r>
      <t xml:space="preserve">20260319002 </t>
    </r>
    <r>
      <rPr>
        <sz val="12"/>
        <color theme="1"/>
        <rFont val="微軟正黑體"/>
        <family val="2"/>
        <charset val="136"/>
      </rPr>
      <t>台電彰化</t>
    </r>
    <r>
      <rPr>
        <sz val="12"/>
        <color theme="1"/>
        <rFont val="Calibri"/>
        <family val="2"/>
      </rPr>
      <t>x100</t>
    </r>
    <phoneticPr fontId="6" type="noConversion"/>
  </si>
  <si>
    <r>
      <rPr>
        <sz val="12"/>
        <color theme="1"/>
        <rFont val="微軟正黑體"/>
        <family val="2"/>
        <charset val="136"/>
      </rPr>
      <t>出貨</t>
    </r>
    <r>
      <rPr>
        <sz val="12"/>
        <color theme="1"/>
        <rFont val="Calibri"/>
        <family val="2"/>
      </rPr>
      <t>-</t>
    </r>
    <r>
      <rPr>
        <sz val="12"/>
        <color theme="1"/>
        <rFont val="微軟正黑體"/>
        <family val="2"/>
        <charset val="136"/>
      </rPr>
      <t>台電</t>
    </r>
    <r>
      <rPr>
        <sz val="12"/>
        <color theme="1"/>
        <rFont val="Calibri"/>
        <family val="2"/>
      </rPr>
      <t>x100</t>
    </r>
    <phoneticPr fontId="6" type="noConversion"/>
  </si>
  <si>
    <r>
      <rPr>
        <sz val="12"/>
        <color theme="1"/>
        <rFont val="微軟正黑體"/>
        <family val="2"/>
        <charset val="136"/>
      </rPr>
      <t>億鴻</t>
    </r>
  </si>
  <si>
    <t>C106-BTBH-10H</t>
  </si>
  <si>
    <r>
      <rPr>
        <sz val="12"/>
        <color indexed="8"/>
        <rFont val="微軟正黑體"/>
        <family val="2"/>
        <charset val="136"/>
      </rPr>
      <t>奕龍</t>
    </r>
    <r>
      <rPr>
        <sz val="12"/>
        <color indexed="8"/>
        <rFont val="Calibri"/>
        <family val="2"/>
      </rPr>
      <t>/ TEND</t>
    </r>
    <r>
      <rPr>
        <sz val="12"/>
        <color indexed="8"/>
        <rFont val="微軟正黑體"/>
        <family val="2"/>
        <charset val="136"/>
      </rPr>
      <t>雙層端子台</t>
    </r>
    <r>
      <rPr>
        <sz val="12"/>
        <color indexed="8"/>
        <rFont val="Calibri"/>
        <family val="2"/>
      </rPr>
      <t xml:space="preserve"> TBH-10A(</t>
    </r>
    <r>
      <rPr>
        <sz val="12"/>
        <color indexed="8"/>
        <rFont val="微軟正黑體"/>
        <family val="2"/>
        <charset val="136"/>
      </rPr>
      <t>測蓋</t>
    </r>
    <r>
      <rPr>
        <sz val="12"/>
        <color indexed="8"/>
        <rFont val="Calibri"/>
        <family val="2"/>
      </rPr>
      <t>)</t>
    </r>
  </si>
  <si>
    <r>
      <rPr>
        <sz val="12"/>
        <color theme="1"/>
        <rFont val="微軟正黑體"/>
        <family val="2"/>
        <charset val="136"/>
      </rPr>
      <t>築能</t>
    </r>
  </si>
  <si>
    <t>C106-L1.25-4</t>
  </si>
  <si>
    <r>
      <rPr>
        <sz val="12"/>
        <color indexed="8"/>
        <rFont val="微軟正黑體"/>
        <family val="2"/>
        <charset val="136"/>
      </rPr>
      <t>奕龍</t>
    </r>
    <r>
      <rPr>
        <sz val="12"/>
        <color indexed="8"/>
        <rFont val="Calibri"/>
        <family val="2"/>
      </rPr>
      <t>/(KSS) 1.25-4YS</t>
    </r>
    <r>
      <rPr>
        <sz val="12"/>
        <color indexed="8"/>
        <rFont val="微軟正黑體"/>
        <family val="2"/>
        <charset val="136"/>
      </rPr>
      <t>端子</t>
    </r>
  </si>
  <si>
    <t>C106-L1.25-4**</t>
    <phoneticPr fontId="6" type="noConversion"/>
  </si>
  <si>
    <r>
      <rPr>
        <sz val="12"/>
        <color indexed="8"/>
        <rFont val="微軟正黑體"/>
        <family val="2"/>
        <charset val="136"/>
      </rPr>
      <t>奕龍</t>
    </r>
    <r>
      <rPr>
        <sz val="12"/>
        <color indexed="8"/>
        <rFont val="Calibri"/>
        <family val="2"/>
      </rPr>
      <t>/(KSS) 1.25-4YS</t>
    </r>
    <r>
      <rPr>
        <sz val="12"/>
        <color indexed="8"/>
        <rFont val="微軟正黑體"/>
        <family val="2"/>
        <charset val="136"/>
      </rPr>
      <t>端子</t>
    </r>
    <r>
      <rPr>
        <sz val="12"/>
        <color indexed="8"/>
        <rFont val="Calibri"/>
        <family val="2"/>
      </rPr>
      <t>(</t>
    </r>
    <r>
      <rPr>
        <sz val="12"/>
        <color indexed="8"/>
        <rFont val="微軟正黑體"/>
        <family val="2"/>
        <charset val="136"/>
      </rPr>
      <t>散裝</t>
    </r>
    <r>
      <rPr>
        <sz val="12"/>
        <color indexed="8"/>
        <rFont val="Calibri"/>
        <family val="2"/>
      </rPr>
      <t>)</t>
    </r>
  </si>
  <si>
    <t>C106-LCE2</t>
  </si>
  <si>
    <r>
      <rPr>
        <sz val="12"/>
        <color indexed="8"/>
        <rFont val="微軟正黑體"/>
        <family val="2"/>
        <charset val="136"/>
      </rPr>
      <t>奕龍</t>
    </r>
    <r>
      <rPr>
        <sz val="12"/>
        <color indexed="8"/>
        <rFont val="Calibri"/>
        <family val="2"/>
      </rPr>
      <t xml:space="preserve">/(KSS) </t>
    </r>
    <r>
      <rPr>
        <sz val="12"/>
        <color indexed="8"/>
        <rFont val="微軟正黑體"/>
        <family val="2"/>
        <charset val="136"/>
      </rPr>
      <t>閑端端子</t>
    </r>
    <r>
      <rPr>
        <sz val="12"/>
        <color indexed="8"/>
        <rFont val="Calibri"/>
        <family val="2"/>
      </rPr>
      <t>CE2(</t>
    </r>
    <r>
      <rPr>
        <sz val="12"/>
        <color indexed="8"/>
        <rFont val="微軟正黑體"/>
        <family val="2"/>
        <charset val="136"/>
      </rPr>
      <t>本色</t>
    </r>
    <r>
      <rPr>
        <sz val="12"/>
        <color indexed="8"/>
        <rFont val="Calibri"/>
        <family val="2"/>
      </rPr>
      <t>/100PC)</t>
    </r>
  </si>
  <si>
    <t>C106-LET0.75-8WE</t>
  </si>
  <si>
    <r>
      <rPr>
        <sz val="12"/>
        <color indexed="8"/>
        <rFont val="微軟正黑體"/>
        <family val="2"/>
        <charset val="136"/>
      </rPr>
      <t>奕龍</t>
    </r>
    <r>
      <rPr>
        <sz val="12"/>
        <color indexed="8"/>
        <rFont val="Calibri"/>
        <family val="2"/>
      </rPr>
      <t xml:space="preserve">/ (KSS) </t>
    </r>
    <r>
      <rPr>
        <sz val="12"/>
        <color indexed="8"/>
        <rFont val="微軟正黑體"/>
        <family val="2"/>
        <charset val="136"/>
      </rPr>
      <t>歐式端子</t>
    </r>
    <r>
      <rPr>
        <sz val="12"/>
        <color indexed="8"/>
        <rFont val="Calibri"/>
        <family val="2"/>
      </rPr>
      <t>ET0.75-8we(</t>
    </r>
    <r>
      <rPr>
        <sz val="12"/>
        <color indexed="8"/>
        <rFont val="微軟正黑體"/>
        <family val="2"/>
        <charset val="136"/>
      </rPr>
      <t>白色</t>
    </r>
    <r>
      <rPr>
        <sz val="12"/>
        <color indexed="8"/>
        <rFont val="Calibri"/>
        <family val="2"/>
      </rPr>
      <t>)</t>
    </r>
  </si>
  <si>
    <t>C106-TJMC-1A</t>
  </si>
  <si>
    <r>
      <rPr>
        <sz val="12"/>
        <color indexed="8"/>
        <rFont val="微軟正黑體"/>
        <family val="2"/>
        <charset val="136"/>
      </rPr>
      <t>奕龍</t>
    </r>
    <r>
      <rPr>
        <sz val="12"/>
        <color indexed="8"/>
        <rFont val="Calibri"/>
        <family val="2"/>
      </rPr>
      <t>/3</t>
    </r>
    <r>
      <rPr>
        <sz val="12"/>
        <color indexed="8"/>
        <rFont val="微軟正黑體"/>
        <family val="2"/>
        <charset val="136"/>
      </rPr>
      <t>公分玻璃保險絲</t>
    </r>
    <r>
      <rPr>
        <sz val="12"/>
        <color indexed="8"/>
        <rFont val="Calibri"/>
        <family val="2"/>
      </rPr>
      <t>1A</t>
    </r>
  </si>
  <si>
    <t>C106-TJMC-4A</t>
  </si>
  <si>
    <r>
      <rPr>
        <sz val="12"/>
        <color indexed="8"/>
        <rFont val="微軟正黑體"/>
        <family val="2"/>
        <charset val="136"/>
      </rPr>
      <t>奕龍</t>
    </r>
    <r>
      <rPr>
        <sz val="12"/>
        <color indexed="8"/>
        <rFont val="Calibri"/>
        <family val="2"/>
      </rPr>
      <t>/3</t>
    </r>
    <r>
      <rPr>
        <sz val="12"/>
        <color indexed="8"/>
        <rFont val="微軟正黑體"/>
        <family val="2"/>
        <charset val="136"/>
      </rPr>
      <t>公分玻璃保險絲</t>
    </r>
    <r>
      <rPr>
        <sz val="12"/>
        <color indexed="8"/>
        <rFont val="Calibri"/>
        <family val="2"/>
      </rPr>
      <t>4A</t>
    </r>
  </si>
  <si>
    <t>C108-LK-96L</t>
  </si>
  <si>
    <r>
      <rPr>
        <sz val="12"/>
        <color indexed="8"/>
        <rFont val="微軟正黑體"/>
        <family val="2"/>
        <charset val="136"/>
      </rPr>
      <t>龍光</t>
    </r>
    <r>
      <rPr>
        <sz val="12"/>
        <color indexed="8"/>
        <rFont val="Calibri"/>
        <family val="2"/>
      </rPr>
      <t xml:space="preserve">/ </t>
    </r>
    <r>
      <rPr>
        <sz val="12"/>
        <color indexed="8"/>
        <rFont val="微軟正黑體"/>
        <family val="2"/>
        <charset val="136"/>
      </rPr>
      <t>閃光喇叭</t>
    </r>
    <r>
      <rPr>
        <sz val="12"/>
        <color indexed="8"/>
        <rFont val="Calibri"/>
        <family val="2"/>
      </rPr>
      <t>+LED</t>
    </r>
    <r>
      <rPr>
        <sz val="12"/>
        <color indexed="8"/>
        <rFont val="微軟正黑體"/>
        <family val="2"/>
        <charset val="136"/>
      </rPr>
      <t>指示</t>
    </r>
    <r>
      <rPr>
        <sz val="12"/>
        <color indexed="8"/>
        <rFont val="Calibri"/>
        <family val="2"/>
      </rPr>
      <t xml:space="preserve"> </t>
    </r>
    <r>
      <rPr>
        <sz val="12"/>
        <color indexed="8"/>
        <rFont val="微軟正黑體"/>
        <family val="2"/>
        <charset val="136"/>
      </rPr>
      <t>三線式</t>
    </r>
  </si>
  <si>
    <t>C-ACTI-Z910</t>
    <phoneticPr fontId="6" type="noConversion"/>
  </si>
  <si>
    <r>
      <t>2</t>
    </r>
    <r>
      <rPr>
        <sz val="12"/>
        <color theme="1"/>
        <rFont val="微軟正黑體"/>
        <family val="2"/>
        <charset val="136"/>
      </rPr>
      <t>百萬畫素迷你半球型網路攝影機</t>
    </r>
    <r>
      <rPr>
        <sz val="12"/>
        <color theme="1"/>
        <rFont val="Calibri"/>
        <family val="2"/>
      </rPr>
      <t xml:space="preserve"> Z910</t>
    </r>
  </si>
  <si>
    <t>C-ADATA-32G</t>
  </si>
  <si>
    <r>
      <t>32</t>
    </r>
    <r>
      <rPr>
        <sz val="12"/>
        <color theme="1"/>
        <rFont val="微軟正黑體"/>
        <family val="2"/>
        <charset val="136"/>
      </rPr>
      <t>隨身碟</t>
    </r>
  </si>
  <si>
    <r>
      <t xml:space="preserve">20260331004 </t>
    </r>
    <r>
      <rPr>
        <sz val="12"/>
        <color theme="1"/>
        <rFont val="微軟正黑體"/>
        <family val="2"/>
        <charset val="136"/>
      </rPr>
      <t>有萬</t>
    </r>
    <r>
      <rPr>
        <sz val="12"/>
        <color theme="1"/>
        <rFont val="Calibri"/>
        <family val="2"/>
      </rPr>
      <t xml:space="preserve">x1
20260319002 </t>
    </r>
    <r>
      <rPr>
        <sz val="12"/>
        <color theme="1"/>
        <rFont val="微軟正黑體"/>
        <family val="2"/>
        <charset val="136"/>
      </rPr>
      <t>台電彰化</t>
    </r>
    <r>
      <rPr>
        <sz val="12"/>
        <color theme="1"/>
        <rFont val="Calibri"/>
        <family val="2"/>
      </rPr>
      <t xml:space="preserve">x1
20260331005 </t>
    </r>
    <r>
      <rPr>
        <sz val="12"/>
        <color theme="1"/>
        <rFont val="微軟正黑體"/>
        <family val="2"/>
        <charset val="136"/>
      </rPr>
      <t>研華</t>
    </r>
    <r>
      <rPr>
        <sz val="12"/>
        <color theme="1"/>
        <rFont val="Calibri"/>
        <family val="2"/>
      </rPr>
      <t>x20</t>
    </r>
    <phoneticPr fontId="6" type="noConversion"/>
  </si>
  <si>
    <r>
      <rPr>
        <sz val="12"/>
        <color theme="1"/>
        <rFont val="微軟正黑體"/>
        <family val="2"/>
        <charset val="136"/>
      </rPr>
      <t>待銷</t>
    </r>
    <r>
      <rPr>
        <sz val="12"/>
        <color theme="1"/>
        <rFont val="Calibri"/>
        <family val="2"/>
      </rPr>
      <t>-</t>
    </r>
    <r>
      <rPr>
        <sz val="12"/>
        <color theme="1"/>
        <rFont val="微軟正黑體"/>
        <family val="2"/>
        <charset val="136"/>
      </rPr>
      <t>有萬</t>
    </r>
    <r>
      <rPr>
        <sz val="12"/>
        <color theme="1"/>
        <rFont val="Calibri"/>
        <family val="2"/>
      </rPr>
      <t>x1+</t>
    </r>
    <r>
      <rPr>
        <sz val="12"/>
        <color theme="1"/>
        <rFont val="微軟正黑體"/>
        <family val="2"/>
        <charset val="136"/>
      </rPr>
      <t>研華</t>
    </r>
    <r>
      <rPr>
        <sz val="12"/>
        <color theme="1"/>
        <rFont val="Calibri"/>
        <family val="2"/>
      </rPr>
      <t xml:space="preserve">x20
</t>
    </r>
    <r>
      <rPr>
        <sz val="12"/>
        <color theme="1"/>
        <rFont val="微軟正黑體"/>
        <family val="2"/>
        <charset val="136"/>
      </rPr>
      <t>出貨</t>
    </r>
    <r>
      <rPr>
        <sz val="12"/>
        <color theme="1"/>
        <rFont val="Calibri"/>
        <family val="2"/>
      </rPr>
      <t>-</t>
    </r>
    <r>
      <rPr>
        <sz val="12"/>
        <color theme="1"/>
        <rFont val="微軟正黑體"/>
        <family val="2"/>
        <charset val="136"/>
      </rPr>
      <t>台電</t>
    </r>
    <r>
      <rPr>
        <sz val="12"/>
        <color theme="1"/>
        <rFont val="Calibri"/>
        <family val="2"/>
      </rPr>
      <t>x1</t>
    </r>
    <phoneticPr fontId="6" type="noConversion"/>
  </si>
  <si>
    <t>C-ADV-96PD-RYUW131A1</t>
  </si>
  <si>
    <r>
      <rPr>
        <sz val="12"/>
        <color theme="1"/>
        <rFont val="微軟正黑體"/>
        <family val="2"/>
        <charset val="136"/>
      </rPr>
      <t>待銷</t>
    </r>
    <r>
      <rPr>
        <sz val="12"/>
        <color theme="1"/>
        <rFont val="Calibri"/>
        <family val="2"/>
      </rPr>
      <t>-</t>
    </r>
    <r>
      <rPr>
        <sz val="12"/>
        <color theme="1"/>
        <rFont val="微軟正黑體"/>
        <family val="2"/>
        <charset val="136"/>
      </rPr>
      <t>瑞銘</t>
    </r>
    <r>
      <rPr>
        <sz val="12"/>
        <color theme="1"/>
        <rFont val="Calibri"/>
        <family val="2"/>
      </rPr>
      <t>x2</t>
    </r>
    <phoneticPr fontId="6" type="noConversion"/>
  </si>
  <si>
    <t>C-ADV-APAX-5070-BE</t>
  </si>
  <si>
    <r>
      <rPr>
        <sz val="12"/>
        <color theme="1"/>
        <rFont val="微軟正黑體"/>
        <family val="2"/>
        <charset val="136"/>
      </rPr>
      <t>高檢署待銷</t>
    </r>
  </si>
  <si>
    <r>
      <t xml:space="preserve">ECU-1051TL </t>
    </r>
    <r>
      <rPr>
        <sz val="12"/>
        <color theme="1"/>
        <rFont val="微軟正黑體"/>
        <family val="2"/>
        <charset val="136"/>
      </rPr>
      <t>閘道器</t>
    </r>
  </si>
  <si>
    <r>
      <t xml:space="preserve">20260320001 </t>
    </r>
    <r>
      <rPr>
        <sz val="12"/>
        <color theme="1"/>
        <rFont val="微軟正黑體"/>
        <family val="2"/>
        <charset val="136"/>
      </rPr>
      <t>新晨</t>
    </r>
    <r>
      <rPr>
        <sz val="12"/>
        <color theme="1"/>
        <rFont val="Calibri"/>
        <family val="2"/>
      </rPr>
      <t xml:space="preserve">x1
20260320002 </t>
    </r>
    <r>
      <rPr>
        <sz val="12"/>
        <color theme="1"/>
        <rFont val="微軟正黑體"/>
        <family val="2"/>
        <charset val="136"/>
      </rPr>
      <t>台灣智能</t>
    </r>
    <r>
      <rPr>
        <sz val="12"/>
        <color theme="1"/>
        <rFont val="Calibri"/>
        <family val="2"/>
      </rPr>
      <t xml:space="preserve">x2
20260320007 </t>
    </r>
    <r>
      <rPr>
        <sz val="12"/>
        <color theme="1"/>
        <rFont val="微軟正黑體"/>
        <family val="2"/>
        <charset val="136"/>
      </rPr>
      <t>凱煬</t>
    </r>
    <r>
      <rPr>
        <sz val="12"/>
        <color theme="1"/>
        <rFont val="Calibri"/>
        <family val="2"/>
      </rPr>
      <t>x1
20260319003 Cynthiax2</t>
    </r>
    <phoneticPr fontId="6" type="noConversion"/>
  </si>
  <si>
    <r>
      <rPr>
        <sz val="12"/>
        <color theme="1"/>
        <rFont val="微軟正黑體"/>
        <family val="2"/>
        <charset val="136"/>
      </rPr>
      <t>待銷</t>
    </r>
    <r>
      <rPr>
        <sz val="12"/>
        <color theme="1"/>
        <rFont val="Calibri"/>
        <family val="2"/>
      </rPr>
      <t xml:space="preserve">-Cynthiax2
</t>
    </r>
    <r>
      <rPr>
        <sz val="12"/>
        <color theme="1"/>
        <rFont val="微軟正黑體"/>
        <family val="2"/>
        <charset val="136"/>
      </rPr>
      <t>出貨</t>
    </r>
    <r>
      <rPr>
        <sz val="12"/>
        <color theme="1"/>
        <rFont val="Calibri"/>
        <family val="2"/>
      </rPr>
      <t>-</t>
    </r>
    <r>
      <rPr>
        <sz val="12"/>
        <color theme="1"/>
        <rFont val="微軟正黑體"/>
        <family val="2"/>
        <charset val="136"/>
      </rPr>
      <t>全部</t>
    </r>
    <r>
      <rPr>
        <sz val="12"/>
        <color theme="1"/>
        <rFont val="Calibri"/>
        <family val="2"/>
      </rPr>
      <t>x13</t>
    </r>
    <phoneticPr fontId="6" type="noConversion"/>
  </si>
  <si>
    <r>
      <t xml:space="preserve">20260324003 </t>
    </r>
    <r>
      <rPr>
        <sz val="12"/>
        <color theme="1"/>
        <rFont val="微軟正黑體"/>
        <family val="2"/>
        <charset val="136"/>
      </rPr>
      <t>大同</t>
    </r>
    <r>
      <rPr>
        <sz val="12"/>
        <color theme="1"/>
        <rFont val="Calibri"/>
        <family val="2"/>
      </rPr>
      <t xml:space="preserve">x1
20260331002 </t>
    </r>
    <r>
      <rPr>
        <sz val="12"/>
        <color theme="1"/>
        <rFont val="微軟正黑體"/>
        <family val="2"/>
        <charset val="136"/>
      </rPr>
      <t>晨陽</t>
    </r>
    <r>
      <rPr>
        <sz val="12"/>
        <color theme="1"/>
        <rFont val="Calibri"/>
        <family val="2"/>
      </rPr>
      <t xml:space="preserve">x1
20260331003 </t>
    </r>
    <r>
      <rPr>
        <sz val="12"/>
        <color theme="1"/>
        <rFont val="微軟正黑體"/>
        <family val="2"/>
        <charset val="136"/>
      </rPr>
      <t>國棋</t>
    </r>
    <r>
      <rPr>
        <sz val="12"/>
        <color theme="1"/>
        <rFont val="Calibri"/>
        <family val="2"/>
      </rPr>
      <t>x1
20260324001 Derekx2
20260319003 Cynthiax24</t>
    </r>
    <phoneticPr fontId="6" type="noConversion"/>
  </si>
  <si>
    <r>
      <rPr>
        <sz val="12"/>
        <color theme="1"/>
        <rFont val="微軟正黑體"/>
        <family val="2"/>
        <charset val="136"/>
      </rPr>
      <t>待銷</t>
    </r>
    <r>
      <rPr>
        <sz val="12"/>
        <color theme="1"/>
        <rFont val="Calibri"/>
        <family val="2"/>
      </rPr>
      <t xml:space="preserve">-Cynthiax24
</t>
    </r>
    <r>
      <rPr>
        <sz val="12"/>
        <color theme="1"/>
        <rFont val="微軟正黑體"/>
        <family val="2"/>
        <charset val="136"/>
      </rPr>
      <t>出貨</t>
    </r>
    <r>
      <rPr>
        <sz val="12"/>
        <color theme="1"/>
        <rFont val="Calibri"/>
        <family val="2"/>
      </rPr>
      <t>-</t>
    </r>
    <r>
      <rPr>
        <sz val="12"/>
        <color theme="1"/>
        <rFont val="微軟正黑體"/>
        <family val="2"/>
        <charset val="136"/>
      </rPr>
      <t>全部</t>
    </r>
    <r>
      <rPr>
        <sz val="12"/>
        <color theme="1"/>
        <rFont val="Calibri"/>
        <family val="2"/>
      </rPr>
      <t>x4</t>
    </r>
    <phoneticPr fontId="6" type="noConversion"/>
  </si>
  <si>
    <t>C-ATEN-VE801</t>
    <phoneticPr fontId="6" type="noConversion"/>
  </si>
  <si>
    <r>
      <t>HDMI</t>
    </r>
    <r>
      <rPr>
        <sz val="12"/>
        <color theme="1"/>
        <rFont val="微軟正黑體"/>
        <family val="2"/>
        <charset val="136"/>
      </rPr>
      <t>訊號延長器</t>
    </r>
    <r>
      <rPr>
        <sz val="12"/>
        <color theme="1"/>
        <rFont val="Calibri"/>
        <family val="2"/>
      </rPr>
      <t xml:space="preserve">    VE801</t>
    </r>
  </si>
  <si>
    <r>
      <rPr>
        <sz val="12"/>
        <color theme="1"/>
        <rFont val="微軟正黑體"/>
        <family val="2"/>
        <charset val="136"/>
      </rPr>
      <t>出貨</t>
    </r>
    <r>
      <rPr>
        <sz val="12"/>
        <color theme="1"/>
        <rFont val="Calibri"/>
        <family val="2"/>
      </rPr>
      <t xml:space="preserve">- </t>
    </r>
    <r>
      <rPr>
        <sz val="12"/>
        <color theme="1"/>
        <rFont val="微軟正黑體"/>
        <family val="2"/>
        <charset val="136"/>
      </rPr>
      <t>台電</t>
    </r>
    <r>
      <rPr>
        <sz val="12"/>
        <color theme="1"/>
        <rFont val="Calibri"/>
        <family val="2"/>
      </rPr>
      <t>x1</t>
    </r>
    <phoneticPr fontId="6" type="noConversion"/>
  </si>
  <si>
    <t>C-EL-LSL60-400/5</t>
  </si>
  <si>
    <r>
      <t>(AL)</t>
    </r>
    <r>
      <rPr>
        <sz val="12"/>
        <color theme="1"/>
        <rFont val="微軟正黑體"/>
        <family val="2"/>
        <charset val="136"/>
      </rPr>
      <t>開口式比流器</t>
    </r>
    <r>
      <rPr>
        <sz val="12"/>
        <color theme="1"/>
        <rFont val="Calibri"/>
        <family val="2"/>
      </rPr>
      <t>400/5A50</t>
    </r>
  </si>
  <si>
    <r>
      <rPr>
        <sz val="12"/>
        <color theme="1"/>
        <rFont val="微軟正黑體"/>
        <family val="2"/>
        <charset val="136"/>
      </rPr>
      <t>待銷</t>
    </r>
    <r>
      <rPr>
        <sz val="12"/>
        <color theme="1"/>
        <rFont val="Calibri"/>
        <family val="2"/>
      </rPr>
      <t>-Cynthiax2</t>
    </r>
    <phoneticPr fontId="6" type="noConversion"/>
  </si>
  <si>
    <t>C-GD-RU320-B10</t>
    <phoneticPr fontId="6" type="noConversion"/>
  </si>
  <si>
    <t>A19</t>
    <phoneticPr fontId="6" type="noConversion"/>
  </si>
  <si>
    <r>
      <rPr>
        <sz val="12"/>
        <color theme="1"/>
        <rFont val="微軟正黑體"/>
        <family val="2"/>
        <charset val="136"/>
      </rPr>
      <t>彰化台電</t>
    </r>
    <phoneticPr fontId="6" type="noConversion"/>
  </si>
  <si>
    <t>C-JW-600-5A-15VA-0.3</t>
  </si>
  <si>
    <r>
      <rPr>
        <sz val="12"/>
        <color theme="1"/>
        <rFont val="微軟正黑體"/>
        <family val="2"/>
        <charset val="136"/>
      </rPr>
      <t>比流器</t>
    </r>
    <r>
      <rPr>
        <sz val="12"/>
        <color theme="1"/>
        <rFont val="Calibri"/>
        <family val="2"/>
      </rPr>
      <t xml:space="preserve"> 600/5A 15VA 0.3</t>
    </r>
    <r>
      <rPr>
        <sz val="12"/>
        <color theme="1"/>
        <rFont val="微軟正黑體"/>
        <family val="2"/>
        <charset val="136"/>
      </rPr>
      <t>級</t>
    </r>
    <r>
      <rPr>
        <sz val="12"/>
        <color theme="1"/>
        <rFont val="Calibri"/>
        <family val="2"/>
      </rPr>
      <t xml:space="preserve"> </t>
    </r>
    <r>
      <rPr>
        <sz val="12"/>
        <color theme="1"/>
        <rFont val="微軟正黑體"/>
        <family val="2"/>
        <charset val="136"/>
      </rPr>
      <t>孔徑</t>
    </r>
    <r>
      <rPr>
        <sz val="12"/>
        <color theme="1"/>
        <rFont val="Calibri"/>
        <family val="2"/>
      </rPr>
      <t>50mm</t>
    </r>
  </si>
  <si>
    <t>C-KCA-IP5277E-3.6</t>
    <phoneticPr fontId="6" type="noConversion"/>
  </si>
  <si>
    <r>
      <t>2MP 25</t>
    </r>
    <r>
      <rPr>
        <sz val="12"/>
        <color theme="1"/>
        <rFont val="微軟正黑體"/>
        <family val="2"/>
        <charset val="136"/>
      </rPr>
      <t>米</t>
    </r>
    <r>
      <rPr>
        <sz val="12"/>
        <color theme="1"/>
        <rFont val="Calibri"/>
        <family val="2"/>
      </rPr>
      <t xml:space="preserve"> IR IP DOME POE 3.6mm</t>
    </r>
  </si>
  <si>
    <r>
      <t xml:space="preserve">20260331006 </t>
    </r>
    <r>
      <rPr>
        <sz val="12"/>
        <color theme="1"/>
        <rFont val="微軟正黑體"/>
        <family val="2"/>
        <charset val="136"/>
      </rPr>
      <t>振興醫院</t>
    </r>
    <r>
      <rPr>
        <sz val="12"/>
        <color theme="1"/>
        <rFont val="Calibri"/>
        <family val="2"/>
      </rPr>
      <t>x1</t>
    </r>
    <phoneticPr fontId="6" type="noConversion"/>
  </si>
  <si>
    <r>
      <rPr>
        <sz val="12"/>
        <color theme="1"/>
        <rFont val="微軟正黑體"/>
        <family val="2"/>
        <charset val="136"/>
      </rPr>
      <t>出貨</t>
    </r>
    <r>
      <rPr>
        <sz val="12"/>
        <color theme="1"/>
        <rFont val="Calibri"/>
        <family val="2"/>
      </rPr>
      <t>-</t>
    </r>
    <r>
      <rPr>
        <sz val="12"/>
        <color theme="1"/>
        <rFont val="微軟正黑體"/>
        <family val="2"/>
        <charset val="136"/>
      </rPr>
      <t>振興</t>
    </r>
    <r>
      <rPr>
        <sz val="12"/>
        <color theme="1"/>
        <rFont val="Calibri"/>
        <family val="2"/>
      </rPr>
      <t>x1</t>
    </r>
    <phoneticPr fontId="6" type="noConversion"/>
  </si>
  <si>
    <t>C-KCA-KI7037-3.6</t>
    <phoneticPr fontId="6" type="noConversion"/>
  </si>
  <si>
    <r>
      <t xml:space="preserve">1080P </t>
    </r>
    <r>
      <rPr>
        <sz val="12"/>
        <color theme="1"/>
        <rFont val="微軟正黑體"/>
        <family val="2"/>
        <charset val="136"/>
      </rPr>
      <t>半球型紅外線攝影機</t>
    </r>
    <r>
      <rPr>
        <sz val="12"/>
        <color theme="1"/>
        <rFont val="Calibri"/>
        <family val="2"/>
      </rPr>
      <t xml:space="preserve"> 3.6mm</t>
    </r>
  </si>
  <si>
    <t>C-KCA-YT02-01201000-06</t>
    <phoneticPr fontId="6" type="noConversion"/>
  </si>
  <si>
    <r>
      <t xml:space="preserve">12V 1A </t>
    </r>
    <r>
      <rPr>
        <sz val="12"/>
        <color theme="1"/>
        <rFont val="微軟正黑體"/>
        <family val="2"/>
        <charset val="136"/>
      </rPr>
      <t>電源供應器</t>
    </r>
    <r>
      <rPr>
        <sz val="12"/>
        <color theme="1"/>
        <rFont val="Calibri"/>
        <family val="2"/>
      </rPr>
      <t xml:space="preserve"> PF11 </t>
    </r>
    <r>
      <rPr>
        <sz val="12"/>
        <color theme="1"/>
        <rFont val="微軟正黑體"/>
        <family val="2"/>
        <charset val="136"/>
      </rPr>
      <t>帶燈</t>
    </r>
  </si>
  <si>
    <r>
      <rPr>
        <sz val="12"/>
        <color theme="1"/>
        <rFont val="微軟正黑體"/>
        <family val="2"/>
        <charset val="136"/>
      </rPr>
      <t>長榮</t>
    </r>
    <r>
      <rPr>
        <sz val="12"/>
        <color theme="1"/>
        <rFont val="Calibri"/>
        <family val="2"/>
      </rPr>
      <t>*3/</t>
    </r>
    <r>
      <rPr>
        <sz val="12"/>
        <color theme="1"/>
        <rFont val="微軟正黑體"/>
        <family val="2"/>
        <charset val="136"/>
      </rPr>
      <t>瑪森</t>
    </r>
    <r>
      <rPr>
        <sz val="12"/>
        <color theme="1"/>
        <rFont val="Calibri"/>
        <family val="2"/>
      </rPr>
      <t>*5</t>
    </r>
  </si>
  <si>
    <r>
      <t xml:space="preserve">20260320001 </t>
    </r>
    <r>
      <rPr>
        <sz val="12"/>
        <color theme="1"/>
        <rFont val="微軟正黑體"/>
        <family val="2"/>
        <charset val="136"/>
      </rPr>
      <t>新晨</t>
    </r>
    <r>
      <rPr>
        <sz val="12"/>
        <color theme="1"/>
        <rFont val="Calibri"/>
        <family val="2"/>
      </rPr>
      <t xml:space="preserve">x1
20260320002 </t>
    </r>
    <r>
      <rPr>
        <sz val="12"/>
        <color theme="1"/>
        <rFont val="微軟正黑體"/>
        <family val="2"/>
        <charset val="136"/>
      </rPr>
      <t>台灣智能</t>
    </r>
    <r>
      <rPr>
        <sz val="12"/>
        <color theme="1"/>
        <rFont val="Calibri"/>
        <family val="2"/>
      </rPr>
      <t xml:space="preserve">x2
20260320007 </t>
    </r>
    <r>
      <rPr>
        <sz val="12"/>
        <color theme="1"/>
        <rFont val="微軟正黑體"/>
        <family val="2"/>
        <charset val="136"/>
      </rPr>
      <t>凱煬</t>
    </r>
    <r>
      <rPr>
        <sz val="12"/>
        <color theme="1"/>
        <rFont val="Calibri"/>
        <family val="2"/>
      </rPr>
      <t xml:space="preserve">x1
20260324003 </t>
    </r>
    <r>
      <rPr>
        <sz val="12"/>
        <color theme="1"/>
        <rFont val="微軟正黑體"/>
        <family val="2"/>
        <charset val="136"/>
      </rPr>
      <t>大同</t>
    </r>
    <r>
      <rPr>
        <sz val="12"/>
        <color theme="1"/>
        <rFont val="Calibri"/>
        <family val="2"/>
      </rPr>
      <t xml:space="preserve">x1
20260331002 </t>
    </r>
    <r>
      <rPr>
        <sz val="12"/>
        <color theme="1"/>
        <rFont val="微軟正黑體"/>
        <family val="2"/>
        <charset val="136"/>
      </rPr>
      <t>晨陽</t>
    </r>
    <r>
      <rPr>
        <sz val="12"/>
        <color theme="1"/>
        <rFont val="Calibri"/>
        <family val="2"/>
      </rPr>
      <t xml:space="preserve">x1
20260331003 </t>
    </r>
    <r>
      <rPr>
        <sz val="12"/>
        <color theme="1"/>
        <rFont val="微軟正黑體"/>
        <family val="2"/>
        <charset val="136"/>
      </rPr>
      <t>國棋</t>
    </r>
    <r>
      <rPr>
        <sz val="12"/>
        <color theme="1"/>
        <rFont val="Calibri"/>
        <family val="2"/>
      </rPr>
      <t>x1
20260324001 Derekx2
20260319003 Cynthiax45</t>
    </r>
    <phoneticPr fontId="6" type="noConversion"/>
  </si>
  <si>
    <r>
      <rPr>
        <sz val="12"/>
        <color theme="1"/>
        <rFont val="微軟正黑體"/>
        <family val="2"/>
        <charset val="136"/>
      </rPr>
      <t>待銷</t>
    </r>
    <r>
      <rPr>
        <sz val="12"/>
        <color theme="1"/>
        <rFont val="Calibri"/>
        <family val="2"/>
      </rPr>
      <t xml:space="preserve">-Cynthiax45
</t>
    </r>
    <r>
      <rPr>
        <sz val="12"/>
        <color theme="1"/>
        <rFont val="微軟正黑體"/>
        <family val="2"/>
        <charset val="136"/>
      </rPr>
      <t>出貨</t>
    </r>
    <r>
      <rPr>
        <sz val="12"/>
        <color theme="1"/>
        <rFont val="Calibri"/>
        <family val="2"/>
      </rPr>
      <t>-</t>
    </r>
    <r>
      <rPr>
        <sz val="12"/>
        <color theme="1"/>
        <rFont val="微軟正黑體"/>
        <family val="2"/>
        <charset val="136"/>
      </rPr>
      <t>全部</t>
    </r>
    <r>
      <rPr>
        <sz val="12"/>
        <color theme="1"/>
        <rFont val="Calibri"/>
        <family val="2"/>
      </rPr>
      <t>x17</t>
    </r>
    <phoneticPr fontId="6" type="noConversion"/>
  </si>
  <si>
    <r>
      <t>12V 2A</t>
    </r>
    <r>
      <rPr>
        <sz val="12"/>
        <color theme="1"/>
        <rFont val="微軟正黑體"/>
        <family val="2"/>
        <charset val="136"/>
      </rPr>
      <t>變壓器美規</t>
    </r>
    <r>
      <rPr>
        <sz val="12"/>
        <color theme="1"/>
        <rFont val="Calibri"/>
        <family val="2"/>
      </rPr>
      <t>DA1SP-021</t>
    </r>
  </si>
  <si>
    <r>
      <rPr>
        <sz val="12"/>
        <color theme="1"/>
        <rFont val="微軟正黑體"/>
        <family val="2"/>
        <charset val="136"/>
      </rPr>
      <t>五大基隆</t>
    </r>
  </si>
  <si>
    <r>
      <t xml:space="preserve">20260331007 </t>
    </r>
    <r>
      <rPr>
        <sz val="12"/>
        <color theme="1"/>
        <rFont val="微軟正黑體"/>
        <family val="2"/>
        <charset val="136"/>
      </rPr>
      <t>汐止緯創</t>
    </r>
    <r>
      <rPr>
        <sz val="12"/>
        <color theme="1"/>
        <rFont val="Calibri"/>
        <family val="2"/>
      </rPr>
      <t>x4</t>
    </r>
    <phoneticPr fontId="6" type="noConversion"/>
  </si>
  <si>
    <r>
      <rPr>
        <sz val="12"/>
        <color theme="1"/>
        <rFont val="微軟正黑體"/>
        <family val="2"/>
        <charset val="136"/>
      </rPr>
      <t>出貨</t>
    </r>
    <r>
      <rPr>
        <sz val="12"/>
        <color theme="1"/>
        <rFont val="Calibri"/>
        <family val="2"/>
      </rPr>
      <t>-</t>
    </r>
    <r>
      <rPr>
        <sz val="12"/>
        <color theme="1"/>
        <rFont val="微軟正黑體"/>
        <family val="2"/>
        <charset val="136"/>
      </rPr>
      <t>緯創</t>
    </r>
    <r>
      <rPr>
        <sz val="12"/>
        <color theme="1"/>
        <rFont val="Calibri"/>
        <family val="2"/>
      </rPr>
      <t>x4</t>
    </r>
    <phoneticPr fontId="6" type="noConversion"/>
  </si>
  <si>
    <t>C-LW-60510G-U-1</t>
    <phoneticPr fontId="6" type="noConversion"/>
  </si>
  <si>
    <r>
      <t>COP 4</t>
    </r>
    <r>
      <rPr>
        <sz val="12"/>
        <color theme="1"/>
        <rFont val="微軟正黑體"/>
        <family val="2"/>
        <charset val="136"/>
      </rPr>
      <t>埠</t>
    </r>
    <r>
      <rPr>
        <sz val="12"/>
        <color theme="1"/>
        <rFont val="Calibri"/>
        <family val="2"/>
      </rPr>
      <t>Giga PoE+1</t>
    </r>
    <r>
      <rPr>
        <sz val="12"/>
        <color theme="1"/>
        <rFont val="微軟正黑體"/>
        <family val="2"/>
        <charset val="136"/>
      </rPr>
      <t>埠</t>
    </r>
    <r>
      <rPr>
        <sz val="12"/>
        <color theme="1"/>
        <rFont val="Calibri"/>
        <family val="2"/>
      </rPr>
      <t xml:space="preserve"> GE</t>
    </r>
    <r>
      <rPr>
        <sz val="12"/>
        <color theme="1"/>
        <rFont val="微軟正黑體"/>
        <family val="2"/>
        <charset val="136"/>
      </rPr>
      <t>網路交換器</t>
    </r>
    <r>
      <rPr>
        <sz val="12"/>
        <color theme="1"/>
        <rFont val="Calibri"/>
        <family val="2"/>
      </rPr>
      <t xml:space="preserve">   LW-60510G-U-1</t>
    </r>
    <phoneticPr fontId="6" type="noConversion"/>
  </si>
  <si>
    <r>
      <rPr>
        <sz val="12"/>
        <color theme="1"/>
        <rFont val="微軟正黑體"/>
        <family val="2"/>
        <charset val="136"/>
      </rPr>
      <t>借出</t>
    </r>
    <r>
      <rPr>
        <sz val="12"/>
        <color theme="1"/>
        <rFont val="Calibri"/>
        <family val="2"/>
      </rPr>
      <t>-</t>
    </r>
    <r>
      <rPr>
        <sz val="12"/>
        <color theme="1"/>
        <rFont val="微軟正黑體"/>
        <family val="2"/>
        <charset val="136"/>
      </rPr>
      <t>正文</t>
    </r>
    <r>
      <rPr>
        <sz val="12"/>
        <color theme="1"/>
        <rFont val="Calibri"/>
        <family val="2"/>
      </rPr>
      <t>x1</t>
    </r>
    <phoneticPr fontId="6" type="noConversion"/>
  </si>
  <si>
    <r>
      <rPr>
        <sz val="12"/>
        <color theme="1"/>
        <rFont val="微軟正黑體"/>
        <family val="2"/>
        <charset val="136"/>
      </rPr>
      <t>港都有線</t>
    </r>
  </si>
  <si>
    <t>C-UAI-IPC-HDW1230SN</t>
    <phoneticPr fontId="6" type="noConversion"/>
  </si>
  <si>
    <r>
      <t>200</t>
    </r>
    <r>
      <rPr>
        <sz val="12"/>
        <color theme="1"/>
        <rFont val="微軟正黑體"/>
        <family val="2"/>
        <charset val="136"/>
      </rPr>
      <t>萬畫素半球型定焦網路攝影機</t>
    </r>
  </si>
  <si>
    <r>
      <rPr>
        <sz val="12"/>
        <color theme="1"/>
        <rFont val="微軟正黑體"/>
        <family val="2"/>
        <charset val="136"/>
      </rPr>
      <t>蘇澳通信隊</t>
    </r>
  </si>
  <si>
    <t xml:space="preserve"> C-XANDER-SDHC-32G</t>
    <phoneticPr fontId="6" type="noConversion"/>
  </si>
  <si>
    <r>
      <t>TEAM Micro SDHC 32G</t>
    </r>
    <r>
      <rPr>
        <sz val="12"/>
        <color theme="1"/>
        <rFont val="微軟正黑體"/>
        <family val="2"/>
        <charset val="136"/>
      </rPr>
      <t>記憶卡含轉卡</t>
    </r>
  </si>
  <si>
    <r>
      <rPr>
        <sz val="12"/>
        <color theme="1"/>
        <rFont val="微軟正黑體"/>
        <family val="2"/>
        <charset val="136"/>
      </rPr>
      <t>疾管署</t>
    </r>
  </si>
  <si>
    <r>
      <t xml:space="preserve">20260320001 </t>
    </r>
    <r>
      <rPr>
        <sz val="12"/>
        <color theme="1"/>
        <rFont val="微軟正黑體"/>
        <family val="2"/>
        <charset val="136"/>
      </rPr>
      <t>新晨</t>
    </r>
    <r>
      <rPr>
        <sz val="12"/>
        <color theme="1"/>
        <rFont val="Calibri"/>
        <family val="2"/>
      </rPr>
      <t xml:space="preserve">x1
20260320002 </t>
    </r>
    <r>
      <rPr>
        <sz val="12"/>
        <color theme="1"/>
        <rFont val="微軟正黑體"/>
        <family val="2"/>
        <charset val="136"/>
      </rPr>
      <t>台灣智能</t>
    </r>
    <r>
      <rPr>
        <sz val="12"/>
        <color theme="1"/>
        <rFont val="Calibri"/>
        <family val="2"/>
      </rPr>
      <t xml:space="preserve">x2
20260320007 </t>
    </r>
    <r>
      <rPr>
        <sz val="12"/>
        <color theme="1"/>
        <rFont val="微軟正黑體"/>
        <family val="2"/>
        <charset val="136"/>
      </rPr>
      <t>凱煬</t>
    </r>
    <r>
      <rPr>
        <sz val="12"/>
        <color theme="1"/>
        <rFont val="Calibri"/>
        <family val="2"/>
      </rPr>
      <t xml:space="preserve">x1
20260324003 </t>
    </r>
    <r>
      <rPr>
        <sz val="12"/>
        <color theme="1"/>
        <rFont val="微軟正黑體"/>
        <family val="2"/>
        <charset val="136"/>
      </rPr>
      <t>大同</t>
    </r>
    <r>
      <rPr>
        <sz val="12"/>
        <color theme="1"/>
        <rFont val="Calibri"/>
        <family val="2"/>
      </rPr>
      <t xml:space="preserve">x1
20260331002 </t>
    </r>
    <r>
      <rPr>
        <sz val="12"/>
        <color theme="1"/>
        <rFont val="微軟正黑體"/>
        <family val="2"/>
        <charset val="136"/>
      </rPr>
      <t>晨陽</t>
    </r>
    <r>
      <rPr>
        <sz val="12"/>
        <color theme="1"/>
        <rFont val="Calibri"/>
        <family val="2"/>
      </rPr>
      <t xml:space="preserve">x1
20260331003 </t>
    </r>
    <r>
      <rPr>
        <sz val="12"/>
        <color theme="1"/>
        <rFont val="微軟正黑體"/>
        <family val="2"/>
        <charset val="136"/>
      </rPr>
      <t>國棋</t>
    </r>
    <r>
      <rPr>
        <sz val="12"/>
        <color theme="1"/>
        <rFont val="Calibri"/>
        <family val="2"/>
      </rPr>
      <t>x1
20260324001 Derekx2
20260319003 Cynthiax53</t>
    </r>
    <phoneticPr fontId="6" type="noConversion"/>
  </si>
  <si>
    <r>
      <rPr>
        <sz val="12"/>
        <color theme="1"/>
        <rFont val="微軟正黑體"/>
        <family val="2"/>
        <charset val="136"/>
      </rPr>
      <t>待銷</t>
    </r>
    <r>
      <rPr>
        <sz val="12"/>
        <color theme="1"/>
        <rFont val="Calibri"/>
        <family val="2"/>
      </rPr>
      <t xml:space="preserve">-Cynthiax53
</t>
    </r>
    <r>
      <rPr>
        <sz val="12"/>
        <color theme="1"/>
        <rFont val="微軟正黑體"/>
        <family val="2"/>
        <charset val="136"/>
      </rPr>
      <t>出貨</t>
    </r>
    <r>
      <rPr>
        <sz val="12"/>
        <color theme="1"/>
        <rFont val="Calibri"/>
        <family val="2"/>
      </rPr>
      <t>-</t>
    </r>
    <r>
      <rPr>
        <sz val="12"/>
        <color theme="1"/>
        <rFont val="微軟正黑體"/>
        <family val="2"/>
        <charset val="136"/>
      </rPr>
      <t>全部</t>
    </r>
    <r>
      <rPr>
        <sz val="12"/>
        <color theme="1"/>
        <rFont val="Calibri"/>
        <family val="2"/>
      </rPr>
      <t>x17</t>
    </r>
    <phoneticPr fontId="6" type="noConversion"/>
  </si>
  <si>
    <r>
      <rPr>
        <sz val="12"/>
        <color theme="1"/>
        <rFont val="微軟正黑體"/>
        <family val="2"/>
        <charset val="136"/>
      </rPr>
      <t>研華</t>
    </r>
  </si>
  <si>
    <t>EDR-120-12</t>
  </si>
  <si>
    <r>
      <rPr>
        <sz val="12"/>
        <color theme="1"/>
        <rFont val="微軟正黑體"/>
        <family val="2"/>
        <charset val="136"/>
      </rPr>
      <t>電源供應器</t>
    </r>
    <r>
      <rPr>
        <sz val="12"/>
        <color theme="1"/>
        <rFont val="Calibri"/>
        <family val="2"/>
      </rPr>
      <t>-EDR-120-12(</t>
    </r>
    <r>
      <rPr>
        <sz val="12"/>
        <color theme="1"/>
        <rFont val="微軟正黑體"/>
        <family val="2"/>
        <charset val="136"/>
      </rPr>
      <t>奕能電機</t>
    </r>
    <r>
      <rPr>
        <sz val="12"/>
        <color theme="1"/>
        <rFont val="Calibri"/>
        <family val="2"/>
      </rPr>
      <t>)</t>
    </r>
  </si>
  <si>
    <r>
      <rPr>
        <sz val="12"/>
        <color theme="1"/>
        <rFont val="微軟正黑體"/>
        <family val="2"/>
        <charset val="136"/>
      </rPr>
      <t>待銷</t>
    </r>
    <r>
      <rPr>
        <sz val="12"/>
        <color theme="1"/>
        <rFont val="Calibri"/>
        <family val="2"/>
      </rPr>
      <t>-Cynthiax1</t>
    </r>
    <phoneticPr fontId="6" type="noConversion"/>
  </si>
  <si>
    <t>EDR-120-24</t>
  </si>
  <si>
    <r>
      <rPr>
        <sz val="12"/>
        <color theme="1"/>
        <rFont val="微軟正黑體"/>
        <family val="2"/>
        <charset val="136"/>
      </rPr>
      <t>鋁軌式電源供應器</t>
    </r>
    <r>
      <rPr>
        <sz val="12"/>
        <color theme="1"/>
        <rFont val="Calibri"/>
        <family val="2"/>
      </rPr>
      <t>_EDR-120-24</t>
    </r>
  </si>
  <si>
    <r>
      <rPr>
        <sz val="12"/>
        <color theme="1"/>
        <rFont val="微軟正黑體"/>
        <family val="2"/>
        <charset val="136"/>
      </rPr>
      <t>待銷</t>
    </r>
    <r>
      <rPr>
        <sz val="12"/>
        <color theme="1"/>
        <rFont val="Calibri"/>
        <family val="2"/>
      </rPr>
      <t>-Cynthiax10</t>
    </r>
    <phoneticPr fontId="6" type="noConversion"/>
  </si>
  <si>
    <r>
      <rPr>
        <sz val="12"/>
        <color theme="1"/>
        <rFont val="微軟正黑體"/>
        <family val="2"/>
        <charset val="136"/>
      </rPr>
      <t>出貨</t>
    </r>
    <r>
      <rPr>
        <sz val="12"/>
        <color theme="1"/>
        <rFont val="Calibri"/>
        <family val="2"/>
      </rPr>
      <t>-</t>
    </r>
    <r>
      <rPr>
        <sz val="12"/>
        <color theme="1"/>
        <rFont val="微軟正黑體"/>
        <family val="2"/>
        <charset val="136"/>
      </rPr>
      <t>台電</t>
    </r>
    <r>
      <rPr>
        <sz val="12"/>
        <color theme="1"/>
        <rFont val="Calibri"/>
        <family val="2"/>
      </rPr>
      <t>x1000</t>
    </r>
    <phoneticPr fontId="6" type="noConversion"/>
  </si>
  <si>
    <t>H006-WD63PURZ</t>
  </si>
  <si>
    <r>
      <rPr>
        <sz val="12"/>
        <color indexed="8"/>
        <rFont val="微軟正黑體"/>
        <family val="2"/>
        <charset val="136"/>
      </rPr>
      <t>網路家庭</t>
    </r>
    <r>
      <rPr>
        <sz val="12"/>
        <color indexed="8"/>
        <rFont val="Calibri"/>
        <family val="2"/>
      </rPr>
      <t xml:space="preserve">/ WD </t>
    </r>
    <r>
      <rPr>
        <sz val="12"/>
        <color indexed="8"/>
        <rFont val="微軟正黑體"/>
        <family val="2"/>
        <charset val="136"/>
      </rPr>
      <t>紫標</t>
    </r>
    <r>
      <rPr>
        <sz val="12"/>
        <color indexed="8"/>
        <rFont val="Calibri"/>
        <family val="2"/>
      </rPr>
      <t xml:space="preserve"> 6TB 3.5</t>
    </r>
    <r>
      <rPr>
        <sz val="12"/>
        <color indexed="8"/>
        <rFont val="微軟正黑體"/>
        <family val="2"/>
        <charset val="136"/>
      </rPr>
      <t>吋監控系統專用硬碟</t>
    </r>
  </si>
  <si>
    <t>H006-WD84PURZ</t>
  </si>
  <si>
    <r>
      <rPr>
        <sz val="12"/>
        <color indexed="8"/>
        <rFont val="微軟正黑體"/>
        <family val="2"/>
        <charset val="136"/>
      </rPr>
      <t>網路家庭</t>
    </r>
    <r>
      <rPr>
        <sz val="12"/>
        <color indexed="8"/>
        <rFont val="Calibri"/>
        <family val="2"/>
      </rPr>
      <t>/ WD</t>
    </r>
    <r>
      <rPr>
        <sz val="12"/>
        <color indexed="8"/>
        <rFont val="微軟正黑體"/>
        <family val="2"/>
        <charset val="136"/>
      </rPr>
      <t>紫標</t>
    </r>
    <r>
      <rPr>
        <sz val="12"/>
        <color indexed="8"/>
        <rFont val="Calibri"/>
        <family val="2"/>
      </rPr>
      <t xml:space="preserve"> 8TB 3.5</t>
    </r>
    <r>
      <rPr>
        <sz val="12"/>
        <color indexed="8"/>
        <rFont val="微軟正黑體"/>
        <family val="2"/>
        <charset val="136"/>
      </rPr>
      <t>吋</t>
    </r>
    <r>
      <rPr>
        <sz val="12"/>
        <color indexed="8"/>
        <rFont val="Calibri"/>
        <family val="2"/>
      </rPr>
      <t xml:space="preserve"> </t>
    </r>
    <r>
      <rPr>
        <sz val="12"/>
        <color indexed="8"/>
        <rFont val="微軟正黑體"/>
        <family val="2"/>
        <charset val="136"/>
      </rPr>
      <t>監控系統專用硬碟</t>
    </r>
  </si>
  <si>
    <t>H008-BKSH-2P20A</t>
  </si>
  <si>
    <r>
      <rPr>
        <sz val="12"/>
        <color indexed="8"/>
        <rFont val="微軟正黑體"/>
        <family val="2"/>
        <charset val="136"/>
      </rPr>
      <t>奕龍</t>
    </r>
    <r>
      <rPr>
        <sz val="12"/>
        <color indexed="8"/>
        <rFont val="Calibri"/>
        <family val="2"/>
      </rPr>
      <t>/ (</t>
    </r>
    <r>
      <rPr>
        <sz val="12"/>
        <color indexed="8"/>
        <rFont val="微軟正黑體"/>
        <family val="2"/>
        <charset val="136"/>
      </rPr>
      <t>強森</t>
    </r>
    <r>
      <rPr>
        <sz val="12"/>
        <color indexed="8"/>
        <rFont val="Calibri"/>
        <family val="2"/>
      </rPr>
      <t>)ATS</t>
    </r>
    <r>
      <rPr>
        <sz val="12"/>
        <color indexed="8"/>
        <rFont val="微軟正黑體"/>
        <family val="2"/>
        <charset val="136"/>
      </rPr>
      <t>電源自動切換開關</t>
    </r>
    <r>
      <rPr>
        <sz val="12"/>
        <color indexed="8"/>
        <rFont val="Calibri"/>
        <family val="2"/>
      </rPr>
      <t>/ 110V</t>
    </r>
  </si>
  <si>
    <t>H009-IP7277E-3.6</t>
  </si>
  <si>
    <r>
      <rPr>
        <sz val="12"/>
        <color indexed="8"/>
        <rFont val="微軟正黑體"/>
        <family val="2"/>
        <charset val="136"/>
      </rPr>
      <t>鎧鋒</t>
    </r>
    <r>
      <rPr>
        <sz val="12"/>
        <color indexed="8"/>
        <rFont val="Calibri"/>
        <family val="2"/>
      </rPr>
      <t>/ 2MP 30</t>
    </r>
    <r>
      <rPr>
        <sz val="12"/>
        <color indexed="8"/>
        <rFont val="微軟正黑體"/>
        <family val="2"/>
        <charset val="136"/>
      </rPr>
      <t>米</t>
    </r>
    <r>
      <rPr>
        <sz val="12"/>
        <color indexed="8"/>
        <rFont val="Calibri"/>
        <family val="2"/>
      </rPr>
      <t xml:space="preserve"> IR IP CMAERA POE 3.6MM</t>
    </r>
  </si>
  <si>
    <t>H011-12V ADAPTER</t>
  </si>
  <si>
    <r>
      <rPr>
        <sz val="12"/>
        <color indexed="8"/>
        <rFont val="微軟正黑體"/>
        <family val="2"/>
        <charset val="136"/>
      </rPr>
      <t>宏瑞</t>
    </r>
    <r>
      <rPr>
        <sz val="12"/>
        <color indexed="8"/>
        <rFont val="Calibri"/>
        <family val="2"/>
      </rPr>
      <t>/ 12v</t>
    </r>
    <r>
      <rPr>
        <sz val="12"/>
        <color indexed="8"/>
        <rFont val="微軟正黑體"/>
        <family val="2"/>
        <charset val="136"/>
      </rPr>
      <t>電源供應器</t>
    </r>
  </si>
  <si>
    <t>H011-BTFB-101N*DC</t>
  </si>
  <si>
    <r>
      <rPr>
        <sz val="12"/>
        <color indexed="8"/>
        <rFont val="微軟正黑體"/>
        <family val="2"/>
        <charset val="136"/>
      </rPr>
      <t>奕龍</t>
    </r>
    <r>
      <rPr>
        <sz val="12"/>
        <color indexed="8"/>
        <rFont val="Calibri"/>
        <family val="2"/>
      </rPr>
      <t>/ (TEND)</t>
    </r>
    <r>
      <rPr>
        <sz val="12"/>
        <color indexed="8"/>
        <rFont val="微軟正黑體"/>
        <family val="2"/>
        <charset val="136"/>
      </rPr>
      <t>臥式保險燈</t>
    </r>
    <r>
      <rPr>
        <sz val="12"/>
        <color indexed="8"/>
        <rFont val="Calibri"/>
        <family val="2"/>
      </rPr>
      <t>DC</t>
    </r>
  </si>
  <si>
    <t>H011-RSP75012</t>
    <phoneticPr fontId="6" type="noConversion"/>
  </si>
  <si>
    <r>
      <rPr>
        <sz val="12"/>
        <color theme="1"/>
        <rFont val="微軟正黑體"/>
        <family val="2"/>
        <charset val="136"/>
      </rPr>
      <t>永鉅</t>
    </r>
    <r>
      <rPr>
        <sz val="12"/>
        <color theme="1"/>
        <rFont val="Calibri"/>
        <family val="2"/>
      </rPr>
      <t xml:space="preserve">/ </t>
    </r>
    <r>
      <rPr>
        <sz val="12"/>
        <color theme="1"/>
        <rFont val="微軟正黑體"/>
        <family val="2"/>
        <charset val="136"/>
      </rPr>
      <t>電源供應器</t>
    </r>
    <r>
      <rPr>
        <sz val="12"/>
        <color theme="1"/>
        <rFont val="Calibri"/>
        <family val="2"/>
      </rPr>
      <t xml:space="preserve"> 12V 62. 5A</t>
    </r>
    <phoneticPr fontId="6" type="noConversion"/>
  </si>
  <si>
    <t>H012-TAMY-N2-12+B</t>
  </si>
  <si>
    <r>
      <rPr>
        <sz val="12"/>
        <color indexed="8"/>
        <rFont val="微軟正黑體"/>
        <family val="2"/>
        <charset val="136"/>
      </rPr>
      <t>奕龍</t>
    </r>
    <r>
      <rPr>
        <sz val="12"/>
        <color indexed="8"/>
        <rFont val="Calibri"/>
        <family val="2"/>
      </rPr>
      <t>/ (ANLY)AMY-12-24V(1~600H)</t>
    </r>
  </si>
  <si>
    <t>IT-ADAM-5050-A2E</t>
  </si>
  <si>
    <r>
      <rPr>
        <sz val="12"/>
        <color theme="1"/>
        <rFont val="微軟正黑體"/>
        <family val="2"/>
        <charset val="136"/>
      </rPr>
      <t>出貨</t>
    </r>
    <r>
      <rPr>
        <sz val="12"/>
        <color theme="1"/>
        <rFont val="Calibri"/>
        <family val="2"/>
      </rPr>
      <t>-</t>
    </r>
    <r>
      <rPr>
        <sz val="12"/>
        <color theme="1"/>
        <rFont val="微軟正黑體"/>
        <family val="2"/>
        <charset val="136"/>
      </rPr>
      <t>疾管署</t>
    </r>
    <phoneticPr fontId="6" type="noConversion"/>
  </si>
  <si>
    <r>
      <rPr>
        <sz val="12"/>
        <color rgb="FFFF0000"/>
        <rFont val="微軟正黑體"/>
        <family val="2"/>
        <charset val="136"/>
      </rPr>
      <t>點完處理</t>
    </r>
    <phoneticPr fontId="6" type="noConversion"/>
  </si>
  <si>
    <t>IT-ADAM-5069-AE-</t>
  </si>
  <si>
    <t>L605-N0615</t>
  </si>
  <si>
    <r>
      <rPr>
        <sz val="12"/>
        <color indexed="8"/>
        <rFont val="微軟正黑體"/>
        <family val="2"/>
        <charset val="136"/>
      </rPr>
      <t>嘉園科技</t>
    </r>
    <r>
      <rPr>
        <sz val="12"/>
        <color indexed="8"/>
        <rFont val="Calibri"/>
        <family val="2"/>
      </rPr>
      <t xml:space="preserve">/ </t>
    </r>
    <r>
      <rPr>
        <sz val="12"/>
        <color indexed="8"/>
        <rFont val="微軟正黑體"/>
        <family val="2"/>
        <charset val="136"/>
      </rPr>
      <t>緊急門控連動模組</t>
    </r>
  </si>
  <si>
    <t>LA23TJ-AG-2020</t>
    <phoneticPr fontId="6" type="noConversion"/>
  </si>
  <si>
    <t>A07</t>
    <phoneticPr fontId="6" type="noConversion"/>
  </si>
  <si>
    <r>
      <rPr>
        <sz val="12"/>
        <color theme="1"/>
        <rFont val="微軟正黑體"/>
        <family val="2"/>
        <charset val="136"/>
      </rPr>
      <t>出貨</t>
    </r>
    <r>
      <rPr>
        <sz val="12"/>
        <color theme="1"/>
        <rFont val="Calibri"/>
        <family val="2"/>
      </rPr>
      <t>-</t>
    </r>
    <r>
      <rPr>
        <sz val="12"/>
        <color theme="1"/>
        <rFont val="微軟正黑體"/>
        <family val="2"/>
        <charset val="136"/>
      </rPr>
      <t>台電</t>
    </r>
    <r>
      <rPr>
        <sz val="12"/>
        <color theme="1"/>
        <rFont val="Calibri"/>
        <family val="2"/>
      </rPr>
      <t>x170</t>
    </r>
  </si>
  <si>
    <t>M400-4U-19"-306</t>
  </si>
  <si>
    <r>
      <rPr>
        <sz val="12"/>
        <color indexed="8"/>
        <rFont val="微軟正黑體"/>
        <family val="2"/>
        <charset val="136"/>
      </rPr>
      <t>整合</t>
    </r>
    <r>
      <rPr>
        <sz val="12"/>
        <color indexed="8"/>
        <rFont val="Calibri"/>
        <family val="2"/>
      </rPr>
      <t xml:space="preserve">/ </t>
    </r>
    <r>
      <rPr>
        <sz val="12"/>
        <color indexed="8"/>
        <rFont val="微軟正黑體"/>
        <family val="2"/>
        <charset val="136"/>
      </rPr>
      <t>抽屜</t>
    </r>
    <r>
      <rPr>
        <sz val="12"/>
        <color indexed="8"/>
        <rFont val="Calibri"/>
        <family val="2"/>
      </rPr>
      <t>-4U-19"</t>
    </r>
    <r>
      <rPr>
        <sz val="12"/>
        <color indexed="8"/>
        <rFont val="微軟正黑體"/>
        <family val="2"/>
        <charset val="136"/>
      </rPr>
      <t>抽屜</t>
    </r>
    <r>
      <rPr>
        <sz val="12"/>
        <color indexed="8"/>
        <rFont val="Calibri"/>
        <family val="2"/>
      </rPr>
      <t>(</t>
    </r>
    <r>
      <rPr>
        <sz val="12"/>
        <color indexed="8"/>
        <rFont val="微軟正黑體"/>
        <family val="2"/>
        <charset val="136"/>
      </rPr>
      <t>標準品</t>
    </r>
    <r>
      <rPr>
        <sz val="12"/>
        <color indexed="8"/>
        <rFont val="Calibri"/>
        <family val="2"/>
      </rPr>
      <t>)-306</t>
    </r>
  </si>
  <si>
    <r>
      <rPr>
        <sz val="12"/>
        <color theme="1"/>
        <rFont val="微軟正黑體"/>
        <family val="2"/>
        <charset val="136"/>
      </rPr>
      <t>亞洲矽谷</t>
    </r>
  </si>
  <si>
    <t>P705-PCP202604009</t>
  </si>
  <si>
    <r>
      <rPr>
        <sz val="12"/>
        <color indexed="8"/>
        <rFont val="微軟正黑體"/>
        <family val="2"/>
        <charset val="136"/>
      </rPr>
      <t>龍光</t>
    </r>
    <r>
      <rPr>
        <sz val="12"/>
        <color indexed="8"/>
        <rFont val="Calibri"/>
        <family val="2"/>
      </rPr>
      <t xml:space="preserve">/ </t>
    </r>
    <r>
      <rPr>
        <sz val="12"/>
        <color indexed="8"/>
        <rFont val="微軟正黑體"/>
        <family val="2"/>
        <charset val="136"/>
      </rPr>
      <t>運費</t>
    </r>
    <r>
      <rPr>
        <sz val="12"/>
        <color indexed="8"/>
        <rFont val="Calibri"/>
        <family val="2"/>
      </rPr>
      <t>-</t>
    </r>
    <r>
      <rPr>
        <sz val="12"/>
        <color indexed="8"/>
        <rFont val="微軟正黑體"/>
        <family val="2"/>
        <charset val="136"/>
      </rPr>
      <t>誠士資訊</t>
    </r>
    <r>
      <rPr>
        <sz val="12"/>
        <color indexed="8"/>
        <rFont val="Calibri"/>
        <family val="2"/>
      </rPr>
      <t>-</t>
    </r>
    <r>
      <rPr>
        <sz val="12"/>
        <color indexed="8"/>
        <rFont val="微軟正黑體"/>
        <family val="2"/>
        <charset val="136"/>
      </rPr>
      <t>三鶯捷運站</t>
    </r>
  </si>
  <si>
    <t>S201-RF03-16SFC-50M</t>
  </si>
  <si>
    <r>
      <t>(OMRON)</t>
    </r>
    <r>
      <rPr>
        <sz val="12"/>
        <color indexed="8"/>
        <rFont val="微軟正黑體"/>
        <family val="2"/>
        <charset val="136"/>
      </rPr>
      <t>感測帶</t>
    </r>
    <r>
      <rPr>
        <sz val="12"/>
        <color indexed="8"/>
        <rFont val="Calibri"/>
        <family val="2"/>
      </rPr>
      <t>-</t>
    </r>
    <r>
      <rPr>
        <sz val="12"/>
        <color indexed="8"/>
        <rFont val="微軟正黑體"/>
        <family val="2"/>
        <charset val="136"/>
      </rPr>
      <t>吸水位置變色型</t>
    </r>
    <r>
      <rPr>
        <sz val="12"/>
        <color indexed="8"/>
        <rFont val="Calibri"/>
        <family val="2"/>
      </rPr>
      <t>50M</t>
    </r>
  </si>
  <si>
    <t>S201-RK7L-U</t>
  </si>
  <si>
    <r>
      <t>(OMRON)</t>
    </r>
    <r>
      <rPr>
        <sz val="12"/>
        <color indexed="8"/>
        <rFont val="微軟正黑體"/>
        <family val="2"/>
        <charset val="136"/>
      </rPr>
      <t>放大器</t>
    </r>
    <r>
      <rPr>
        <sz val="12"/>
        <color indexed="8"/>
        <rFont val="Calibri"/>
        <family val="2"/>
      </rPr>
      <t xml:space="preserve"> K7L-U </t>
    </r>
    <r>
      <rPr>
        <sz val="12"/>
        <color indexed="8"/>
        <rFont val="微軟正黑體"/>
        <family val="2"/>
        <charset val="136"/>
      </rPr>
      <t>漏水檢知</t>
    </r>
  </si>
  <si>
    <t>S204-400A-5A-CT</t>
  </si>
  <si>
    <r>
      <rPr>
        <sz val="12"/>
        <color indexed="8"/>
        <rFont val="微軟正黑體"/>
        <family val="2"/>
        <charset val="136"/>
      </rPr>
      <t>宏瑞</t>
    </r>
    <r>
      <rPr>
        <sz val="12"/>
        <color indexed="8"/>
        <rFont val="Calibri"/>
        <family val="2"/>
      </rPr>
      <t xml:space="preserve">/ 400A /5A </t>
    </r>
    <r>
      <rPr>
        <sz val="12"/>
        <color indexed="8"/>
        <rFont val="微軟正黑體"/>
        <family val="2"/>
        <charset val="136"/>
      </rPr>
      <t>可扣式</t>
    </r>
    <r>
      <rPr>
        <sz val="12"/>
        <color indexed="8"/>
        <rFont val="Calibri"/>
        <family val="2"/>
      </rPr>
      <t>CT</t>
    </r>
  </si>
  <si>
    <t>S205-WD-485-N-N</t>
  </si>
  <si>
    <r>
      <t>485</t>
    </r>
    <r>
      <rPr>
        <sz val="12"/>
        <color indexed="8"/>
        <rFont val="微軟正黑體"/>
        <family val="2"/>
        <charset val="136"/>
      </rPr>
      <t>型風向計</t>
    </r>
    <r>
      <rPr>
        <sz val="12"/>
        <color indexed="8"/>
        <rFont val="Calibri"/>
        <family val="2"/>
      </rPr>
      <t>(</t>
    </r>
    <r>
      <rPr>
        <sz val="12"/>
        <color indexed="8"/>
        <rFont val="微軟正黑體"/>
        <family val="2"/>
        <charset val="136"/>
      </rPr>
      <t>含風向計</t>
    </r>
    <r>
      <rPr>
        <sz val="12"/>
        <color indexed="8"/>
        <rFont val="Calibri"/>
        <family val="2"/>
      </rPr>
      <t>,</t>
    </r>
    <r>
      <rPr>
        <sz val="12"/>
        <color indexed="8"/>
        <rFont val="微軟正黑體"/>
        <family val="2"/>
        <charset val="136"/>
      </rPr>
      <t>線長</t>
    </r>
    <r>
      <rPr>
        <sz val="12"/>
        <color indexed="8"/>
        <rFont val="Calibri"/>
        <family val="2"/>
      </rPr>
      <t>2.5</t>
    </r>
    <r>
      <rPr>
        <sz val="12"/>
        <color indexed="8"/>
        <rFont val="微軟正黑體"/>
        <family val="2"/>
        <charset val="136"/>
      </rPr>
      <t>公尺</t>
    </r>
    <r>
      <rPr>
        <sz val="12"/>
        <color indexed="8"/>
        <rFont val="Calibri"/>
        <family val="2"/>
      </rPr>
      <t>,</t>
    </r>
    <r>
      <rPr>
        <sz val="12"/>
        <color indexed="8"/>
        <rFont val="微軟正黑體"/>
        <family val="2"/>
        <charset val="136"/>
      </rPr>
      <t>無管束尺寸</t>
    </r>
    <r>
      <rPr>
        <sz val="12"/>
        <color indexed="8"/>
        <rFont val="Calibri"/>
        <family val="2"/>
      </rPr>
      <t>,</t>
    </r>
    <r>
      <rPr>
        <sz val="12"/>
        <color indexed="8"/>
        <rFont val="微軟正黑體"/>
        <family val="2"/>
        <charset val="136"/>
      </rPr>
      <t>裸線</t>
    </r>
    <r>
      <rPr>
        <sz val="12"/>
        <color indexed="8"/>
        <rFont val="Calibri"/>
        <family val="2"/>
      </rPr>
      <t>)</t>
    </r>
  </si>
  <si>
    <t>S-AIGO-RCH-1(R)</t>
  </si>
  <si>
    <r>
      <rPr>
        <sz val="12"/>
        <color theme="1"/>
        <rFont val="微軟正黑體"/>
        <family val="2"/>
        <charset val="136"/>
      </rPr>
      <t>壁掛式溫濕度傳送器</t>
    </r>
  </si>
  <si>
    <r>
      <t xml:space="preserve">20260319004 </t>
    </r>
    <r>
      <rPr>
        <sz val="12"/>
        <color theme="1"/>
        <rFont val="微軟正黑體"/>
        <family val="2"/>
        <charset val="136"/>
      </rPr>
      <t>凌群</t>
    </r>
    <r>
      <rPr>
        <sz val="12"/>
        <color theme="1"/>
        <rFont val="Calibri"/>
        <family val="2"/>
      </rPr>
      <t xml:space="preserve">x1
20260319005 </t>
    </r>
    <r>
      <rPr>
        <sz val="12"/>
        <color theme="1"/>
        <rFont val="微軟正黑體"/>
        <family val="2"/>
        <charset val="136"/>
      </rPr>
      <t>京兆成</t>
    </r>
    <r>
      <rPr>
        <sz val="12"/>
        <color theme="1"/>
        <rFont val="Calibri"/>
        <family val="2"/>
      </rPr>
      <t>x1
20260319006 Cynthiax3</t>
    </r>
    <phoneticPr fontId="6" type="noConversion"/>
  </si>
  <si>
    <r>
      <rPr>
        <sz val="12"/>
        <color theme="1"/>
        <rFont val="微軟正黑體"/>
        <family val="2"/>
        <charset val="136"/>
      </rPr>
      <t>待銷</t>
    </r>
    <r>
      <rPr>
        <sz val="12"/>
        <color theme="1"/>
        <rFont val="Calibri"/>
        <family val="2"/>
      </rPr>
      <t xml:space="preserve">-Cynthiax3
</t>
    </r>
    <r>
      <rPr>
        <sz val="12"/>
        <color theme="1"/>
        <rFont val="微軟正黑體"/>
        <family val="2"/>
        <charset val="136"/>
      </rPr>
      <t>出貨</t>
    </r>
    <r>
      <rPr>
        <sz val="12"/>
        <color theme="1"/>
        <rFont val="Calibri"/>
        <family val="2"/>
      </rPr>
      <t>-</t>
    </r>
    <r>
      <rPr>
        <sz val="12"/>
        <color theme="1"/>
        <rFont val="微軟正黑體"/>
        <family val="2"/>
        <charset val="136"/>
      </rPr>
      <t>全部</t>
    </r>
    <r>
      <rPr>
        <sz val="12"/>
        <color theme="1"/>
        <rFont val="Calibri"/>
        <family val="2"/>
      </rPr>
      <t>x2</t>
    </r>
    <phoneticPr fontId="6" type="noConversion"/>
  </si>
  <si>
    <t>A21</t>
    <phoneticPr fontId="6" type="noConversion"/>
  </si>
  <si>
    <r>
      <rPr>
        <sz val="12"/>
        <color theme="1"/>
        <rFont val="微軟正黑體"/>
        <family val="2"/>
        <charset val="136"/>
      </rPr>
      <t>臺閥</t>
    </r>
  </si>
  <si>
    <t>SOYAL-AR-727CM-V2</t>
    <phoneticPr fontId="6" type="noConversion"/>
  </si>
  <si>
    <t>SOYAL-AR-EL-209A</t>
    <phoneticPr fontId="6" type="noConversion"/>
  </si>
  <si>
    <r>
      <rPr>
        <sz val="12"/>
        <color theme="1"/>
        <rFont val="微軟正黑體"/>
        <family val="2"/>
        <charset val="136"/>
      </rPr>
      <t>出貨</t>
    </r>
    <r>
      <rPr>
        <sz val="12"/>
        <color theme="1"/>
        <rFont val="Calibri"/>
        <family val="2"/>
      </rPr>
      <t>-</t>
    </r>
    <r>
      <rPr>
        <sz val="12"/>
        <color theme="1"/>
        <rFont val="微軟正黑體"/>
        <family val="2"/>
        <charset val="136"/>
      </rPr>
      <t>台電</t>
    </r>
    <r>
      <rPr>
        <sz val="12"/>
        <color theme="1"/>
        <rFont val="Calibri"/>
        <family val="2"/>
      </rPr>
      <t>x40</t>
    </r>
    <phoneticPr fontId="6" type="noConversion"/>
  </si>
  <si>
    <r>
      <rPr>
        <sz val="12"/>
        <color theme="1"/>
        <rFont val="微軟正黑體"/>
        <family val="2"/>
        <charset val="136"/>
      </rPr>
      <t>出貨</t>
    </r>
    <r>
      <rPr>
        <sz val="12"/>
        <color theme="1"/>
        <rFont val="Calibri"/>
        <family val="2"/>
      </rPr>
      <t>-</t>
    </r>
    <r>
      <rPr>
        <sz val="12"/>
        <color theme="1"/>
        <rFont val="微軟正黑體"/>
        <family val="2"/>
        <charset val="136"/>
      </rPr>
      <t>台電</t>
    </r>
    <r>
      <rPr>
        <sz val="12"/>
        <color theme="1"/>
        <rFont val="Calibri"/>
        <family val="2"/>
      </rPr>
      <t>x150</t>
    </r>
    <phoneticPr fontId="6" type="noConversion"/>
  </si>
  <si>
    <r>
      <t xml:space="preserve">20260319002 </t>
    </r>
    <r>
      <rPr>
        <sz val="12"/>
        <color theme="1"/>
        <rFont val="細明體"/>
        <family val="2"/>
        <charset val="136"/>
      </rPr>
      <t>台電</t>
    </r>
    <r>
      <rPr>
        <sz val="12"/>
        <color theme="1"/>
        <rFont val="Calibri"/>
        <family val="2"/>
      </rPr>
      <t>x2</t>
    </r>
    <phoneticPr fontId="6" type="noConversion"/>
  </si>
  <si>
    <r>
      <rPr>
        <sz val="12"/>
        <color theme="1"/>
        <rFont val="微軟正黑體"/>
        <family val="2"/>
        <charset val="136"/>
      </rPr>
      <t>出貨</t>
    </r>
    <r>
      <rPr>
        <sz val="12"/>
        <color theme="1"/>
        <rFont val="Calibri"/>
        <family val="2"/>
      </rPr>
      <t>-</t>
    </r>
    <r>
      <rPr>
        <sz val="12"/>
        <color theme="1"/>
        <rFont val="微軟正黑體"/>
        <family val="2"/>
        <charset val="136"/>
      </rPr>
      <t>台電</t>
    </r>
    <r>
      <rPr>
        <sz val="12"/>
        <color theme="1"/>
        <rFont val="Calibri"/>
        <family val="2"/>
      </rPr>
      <t>x2</t>
    </r>
    <phoneticPr fontId="6" type="noConversion"/>
  </si>
  <si>
    <t>WISE4012-AE</t>
    <phoneticPr fontId="6" type="noConversion"/>
  </si>
  <si>
    <t>ADTANTECH WISE-4012-AE 4ch UI AND 2chDO</t>
    <phoneticPr fontId="6" type="noConversion"/>
  </si>
  <si>
    <r>
      <t>ADTANTECH WISE-4012E</t>
    </r>
    <r>
      <rPr>
        <sz val="12"/>
        <color theme="1"/>
        <rFont val="微軟正黑體"/>
        <family val="2"/>
        <charset val="136"/>
      </rPr>
      <t>體驗組</t>
    </r>
    <phoneticPr fontId="6" type="noConversion"/>
  </si>
  <si>
    <r>
      <rPr>
        <sz val="12"/>
        <color theme="1"/>
        <rFont val="微軟正黑體"/>
        <family val="2"/>
        <charset val="136"/>
      </rPr>
      <t>出貨</t>
    </r>
    <r>
      <rPr>
        <sz val="12"/>
        <color theme="1"/>
        <rFont val="Calibri"/>
        <family val="2"/>
      </rPr>
      <t>-</t>
    </r>
    <r>
      <rPr>
        <sz val="12"/>
        <color theme="1"/>
        <rFont val="微軟正黑體"/>
        <family val="2"/>
        <charset val="136"/>
      </rPr>
      <t>台電</t>
    </r>
    <r>
      <rPr>
        <sz val="12"/>
        <color theme="1"/>
        <rFont val="Calibri"/>
        <family val="2"/>
      </rPr>
      <t>x53</t>
    </r>
    <phoneticPr fontId="6" type="noConversion"/>
  </si>
  <si>
    <r>
      <rPr>
        <sz val="12"/>
        <color theme="1"/>
        <rFont val="微軟正黑體"/>
        <family val="2"/>
        <charset val="136"/>
      </rPr>
      <t>出貨</t>
    </r>
    <r>
      <rPr>
        <sz val="12"/>
        <color theme="1"/>
        <rFont val="Calibri"/>
        <family val="2"/>
      </rPr>
      <t>-</t>
    </r>
    <r>
      <rPr>
        <sz val="12"/>
        <color theme="1"/>
        <rFont val="微軟正黑體"/>
        <family val="2"/>
        <charset val="136"/>
      </rPr>
      <t>台電</t>
    </r>
    <r>
      <rPr>
        <sz val="12"/>
        <color theme="1"/>
        <rFont val="Calibri"/>
        <family val="2"/>
      </rPr>
      <t>x4</t>
    </r>
    <phoneticPr fontId="6" type="noConversion"/>
  </si>
  <si>
    <r>
      <rPr>
        <sz val="12"/>
        <color theme="1"/>
        <rFont val="微軟正黑體"/>
        <family val="2"/>
        <charset val="136"/>
      </rPr>
      <t>天線</t>
    </r>
    <r>
      <rPr>
        <sz val="12"/>
        <color theme="1"/>
        <rFont val="Calibri"/>
        <family val="2"/>
      </rPr>
      <t xml:space="preserve">  1750005865 Antenna L=10.9cm 50hm AN8921F-5705M</t>
    </r>
  </si>
  <si>
    <r>
      <t xml:space="preserve">20260320001 </t>
    </r>
    <r>
      <rPr>
        <sz val="12"/>
        <color theme="1"/>
        <rFont val="微軟正黑體"/>
        <family val="2"/>
        <charset val="136"/>
      </rPr>
      <t>新晨</t>
    </r>
    <r>
      <rPr>
        <sz val="12"/>
        <color theme="1"/>
        <rFont val="Calibri"/>
        <family val="2"/>
      </rPr>
      <t xml:space="preserve">x1
20260320002 </t>
    </r>
    <r>
      <rPr>
        <sz val="12"/>
        <color theme="1"/>
        <rFont val="微軟正黑體"/>
        <family val="2"/>
        <charset val="136"/>
      </rPr>
      <t>台灣智能</t>
    </r>
    <r>
      <rPr>
        <sz val="12"/>
        <color theme="1"/>
        <rFont val="Calibri"/>
        <family val="2"/>
      </rPr>
      <t xml:space="preserve">x2
20260320007 </t>
    </r>
    <r>
      <rPr>
        <sz val="12"/>
        <color theme="1"/>
        <rFont val="微軟正黑體"/>
        <family val="2"/>
        <charset val="136"/>
      </rPr>
      <t>凱煬</t>
    </r>
    <r>
      <rPr>
        <sz val="12"/>
        <color theme="1"/>
        <rFont val="Calibri"/>
        <family val="2"/>
      </rPr>
      <t xml:space="preserve">x1
20260324003 </t>
    </r>
    <r>
      <rPr>
        <sz val="12"/>
        <color theme="1"/>
        <rFont val="微軟正黑體"/>
        <family val="2"/>
        <charset val="136"/>
      </rPr>
      <t>大同</t>
    </r>
    <r>
      <rPr>
        <sz val="12"/>
        <color theme="1"/>
        <rFont val="Calibri"/>
        <family val="2"/>
      </rPr>
      <t xml:space="preserve">x1
20260331002 </t>
    </r>
    <r>
      <rPr>
        <sz val="12"/>
        <color theme="1"/>
        <rFont val="微軟正黑體"/>
        <family val="2"/>
        <charset val="136"/>
      </rPr>
      <t>晨陽</t>
    </r>
    <r>
      <rPr>
        <sz val="12"/>
        <color theme="1"/>
        <rFont val="Calibri"/>
        <family val="2"/>
      </rPr>
      <t xml:space="preserve">x1
20260331003 </t>
    </r>
    <r>
      <rPr>
        <sz val="12"/>
        <color theme="1"/>
        <rFont val="微軟正黑體"/>
        <family val="2"/>
        <charset val="136"/>
      </rPr>
      <t>國棋</t>
    </r>
    <r>
      <rPr>
        <sz val="12"/>
        <color theme="1"/>
        <rFont val="Calibri"/>
        <family val="2"/>
      </rPr>
      <t>x1
20260324001 Derekx2</t>
    </r>
    <phoneticPr fontId="6" type="noConversion"/>
  </si>
  <si>
    <r>
      <rPr>
        <sz val="12"/>
        <color theme="1"/>
        <rFont val="微軟正黑體"/>
        <family val="2"/>
        <charset val="136"/>
      </rPr>
      <t>出貨</t>
    </r>
    <r>
      <rPr>
        <sz val="12"/>
        <color theme="1"/>
        <rFont val="Calibri"/>
        <family val="2"/>
      </rPr>
      <t>-</t>
    </r>
    <r>
      <rPr>
        <sz val="12"/>
        <color theme="1"/>
        <rFont val="微軟正黑體"/>
        <family val="2"/>
        <charset val="136"/>
      </rPr>
      <t>全部</t>
    </r>
    <r>
      <rPr>
        <sz val="12"/>
        <color theme="1"/>
        <rFont val="Calibri"/>
        <family val="2"/>
      </rPr>
      <t>x17</t>
    </r>
    <phoneticPr fontId="6" type="noConversion"/>
  </si>
  <si>
    <t>Z-ADV-1750006264</t>
  </si>
  <si>
    <r>
      <rPr>
        <sz val="12"/>
        <color theme="1"/>
        <rFont val="微軟正黑體"/>
        <family val="2"/>
        <charset val="136"/>
      </rPr>
      <t>天線</t>
    </r>
    <r>
      <rPr>
        <sz val="12"/>
        <color theme="1"/>
        <rFont val="Calibri"/>
        <family val="2"/>
      </rPr>
      <t xml:space="preserve"> cable Antenna SMA(F)/MHF 15cm SMALFN8-3150A-00X00R</t>
    </r>
  </si>
  <si>
    <t>Z-ADV-96PD-EC25EFA</t>
  </si>
  <si>
    <r>
      <t>4G</t>
    </r>
    <r>
      <rPr>
        <sz val="12"/>
        <color theme="1"/>
        <rFont val="微軟正黑體"/>
        <family val="2"/>
        <charset val="136"/>
      </rPr>
      <t>模組</t>
    </r>
    <r>
      <rPr>
        <sz val="12"/>
        <color theme="1"/>
        <rFont val="Calibri"/>
        <family val="2"/>
      </rPr>
      <t xml:space="preserve"> 96PD-EC25EFA Quectel 4G(cat.4)miniPCle, EU, TW,IN, KR,SEA</t>
    </r>
  </si>
  <si>
    <t>Z-ADV-PSD-A40W24</t>
  </si>
  <si>
    <r>
      <rPr>
        <sz val="12"/>
        <color theme="1"/>
        <rFont val="微軟正黑體"/>
        <family val="2"/>
        <charset val="136"/>
      </rPr>
      <t>電源供應器</t>
    </r>
    <r>
      <rPr>
        <sz val="12"/>
        <color theme="1"/>
        <rFont val="Calibri"/>
        <family val="2"/>
      </rPr>
      <t xml:space="preserve"> 100-240V 40W 24V  PSD-A40W24</t>
    </r>
  </si>
  <si>
    <r>
      <t xml:space="preserve">20260319002 </t>
    </r>
    <r>
      <rPr>
        <sz val="12"/>
        <color theme="1"/>
        <rFont val="微軟正黑體"/>
        <family val="2"/>
        <charset val="136"/>
      </rPr>
      <t>台電</t>
    </r>
    <r>
      <rPr>
        <sz val="12"/>
        <color theme="1"/>
        <rFont val="Calibri"/>
        <family val="2"/>
      </rPr>
      <t>x300</t>
    </r>
    <phoneticPr fontId="6" type="noConversion"/>
  </si>
  <si>
    <r>
      <rPr>
        <sz val="12"/>
        <color theme="1"/>
        <rFont val="微軟正黑體"/>
        <family val="2"/>
        <charset val="136"/>
      </rPr>
      <t>出貨</t>
    </r>
    <r>
      <rPr>
        <sz val="12"/>
        <color theme="1"/>
        <rFont val="Calibri"/>
        <family val="2"/>
      </rPr>
      <t>-</t>
    </r>
    <r>
      <rPr>
        <sz val="12"/>
        <color theme="1"/>
        <rFont val="微軟正黑體"/>
        <family val="2"/>
        <charset val="136"/>
      </rPr>
      <t>台電</t>
    </r>
    <r>
      <rPr>
        <sz val="12"/>
        <color theme="1"/>
        <rFont val="Calibri"/>
        <family val="2"/>
      </rPr>
      <t>x300</t>
    </r>
    <phoneticPr fontId="6" type="noConversion"/>
  </si>
  <si>
    <r>
      <rPr>
        <sz val="12"/>
        <color theme="1"/>
        <rFont val="微軟正黑體"/>
        <family val="2"/>
        <charset val="136"/>
      </rPr>
      <t>出貨</t>
    </r>
    <r>
      <rPr>
        <sz val="12"/>
        <color theme="1"/>
        <rFont val="Calibri"/>
        <family val="2"/>
      </rPr>
      <t>-</t>
    </r>
    <r>
      <rPr>
        <sz val="12"/>
        <color theme="1"/>
        <rFont val="微軟正黑體"/>
        <family val="2"/>
        <charset val="136"/>
      </rPr>
      <t>台電</t>
    </r>
    <r>
      <rPr>
        <sz val="12"/>
        <color theme="1"/>
        <rFont val="Calibri"/>
        <family val="2"/>
      </rPr>
      <t>x52</t>
    </r>
    <phoneticPr fontId="6" type="noConversion"/>
  </si>
  <si>
    <r>
      <rPr>
        <sz val="12"/>
        <color theme="1"/>
        <rFont val="微軟正黑體"/>
        <family val="2"/>
        <charset val="136"/>
      </rPr>
      <t>出貨</t>
    </r>
    <r>
      <rPr>
        <sz val="12"/>
        <color theme="1"/>
        <rFont val="Calibri"/>
        <family val="2"/>
      </rPr>
      <t>-</t>
    </r>
    <r>
      <rPr>
        <sz val="12"/>
        <color theme="1"/>
        <rFont val="微軟正黑體"/>
        <family val="2"/>
        <charset val="136"/>
      </rPr>
      <t>台電</t>
    </r>
    <r>
      <rPr>
        <sz val="12"/>
        <color theme="1"/>
        <rFont val="Calibri"/>
        <family val="2"/>
      </rPr>
      <t>x14</t>
    </r>
    <phoneticPr fontId="6" type="noConversion"/>
  </si>
  <si>
    <r>
      <rPr>
        <sz val="12"/>
        <color theme="1"/>
        <rFont val="微軟正黑體"/>
        <family val="2"/>
        <charset val="136"/>
      </rPr>
      <t>出貨</t>
    </r>
    <r>
      <rPr>
        <sz val="12"/>
        <color theme="1"/>
        <rFont val="Calibri"/>
        <family val="2"/>
      </rPr>
      <t>-</t>
    </r>
    <r>
      <rPr>
        <sz val="12"/>
        <color theme="1"/>
        <rFont val="微軟正黑體"/>
        <family val="2"/>
        <charset val="136"/>
      </rPr>
      <t>台電</t>
    </r>
    <r>
      <rPr>
        <sz val="12"/>
        <color theme="1"/>
        <rFont val="Calibri"/>
        <family val="2"/>
      </rPr>
      <t>x15</t>
    </r>
    <phoneticPr fontId="6" type="noConversion"/>
  </si>
  <si>
    <r>
      <rPr>
        <sz val="12"/>
        <color theme="1"/>
        <rFont val="微軟正黑體"/>
        <family val="2"/>
        <charset val="136"/>
      </rPr>
      <t>出貨</t>
    </r>
    <r>
      <rPr>
        <sz val="12"/>
        <color theme="1"/>
        <rFont val="Calibri"/>
        <family val="2"/>
      </rPr>
      <t>-</t>
    </r>
    <r>
      <rPr>
        <sz val="12"/>
        <color theme="1"/>
        <rFont val="微軟正黑體"/>
        <family val="2"/>
        <charset val="136"/>
      </rPr>
      <t>台電</t>
    </r>
    <r>
      <rPr>
        <sz val="12"/>
        <color theme="1"/>
        <rFont val="Calibri"/>
        <family val="2"/>
      </rPr>
      <t>x12</t>
    </r>
    <phoneticPr fontId="6" type="noConversion"/>
  </si>
  <si>
    <r>
      <rPr>
        <sz val="12"/>
        <color theme="1"/>
        <rFont val="微軟正黑體"/>
        <family val="2"/>
        <charset val="136"/>
      </rPr>
      <t>出貨</t>
    </r>
    <r>
      <rPr>
        <sz val="12"/>
        <color theme="1"/>
        <rFont val="Calibri"/>
        <family val="2"/>
      </rPr>
      <t>-</t>
    </r>
    <r>
      <rPr>
        <sz val="12"/>
        <color theme="1"/>
        <rFont val="微軟正黑體"/>
        <family val="2"/>
        <charset val="136"/>
      </rPr>
      <t>台電</t>
    </r>
    <r>
      <rPr>
        <sz val="12"/>
        <color theme="1"/>
        <rFont val="Calibri"/>
        <family val="2"/>
      </rPr>
      <t>x500</t>
    </r>
    <phoneticPr fontId="6" type="noConversion"/>
  </si>
  <si>
    <r>
      <rPr>
        <sz val="12"/>
        <color theme="1"/>
        <rFont val="微軟正黑體"/>
        <family val="2"/>
        <charset val="136"/>
      </rPr>
      <t>出貨</t>
    </r>
    <r>
      <rPr>
        <sz val="12"/>
        <color theme="1"/>
        <rFont val="Calibri"/>
        <family val="2"/>
      </rPr>
      <t>-</t>
    </r>
    <r>
      <rPr>
        <sz val="12"/>
        <color theme="1"/>
        <rFont val="微軟正黑體"/>
        <family val="2"/>
        <charset val="136"/>
      </rPr>
      <t>台電</t>
    </r>
    <r>
      <rPr>
        <sz val="12"/>
        <color theme="1"/>
        <rFont val="Calibri"/>
        <family val="2"/>
      </rPr>
      <t>x224</t>
    </r>
    <phoneticPr fontId="6" type="noConversion"/>
  </si>
  <si>
    <r>
      <rPr>
        <sz val="12"/>
        <color theme="1"/>
        <rFont val="微軟正黑體"/>
        <family val="2"/>
        <charset val="136"/>
      </rPr>
      <t>出貨</t>
    </r>
    <r>
      <rPr>
        <sz val="12"/>
        <color theme="1"/>
        <rFont val="Calibri"/>
        <family val="2"/>
      </rPr>
      <t>-</t>
    </r>
    <r>
      <rPr>
        <sz val="12"/>
        <color theme="1"/>
        <rFont val="微軟正黑體"/>
        <family val="2"/>
        <charset val="136"/>
      </rPr>
      <t>台電</t>
    </r>
    <r>
      <rPr>
        <sz val="12"/>
        <color theme="1"/>
        <rFont val="Calibri"/>
        <family val="2"/>
      </rPr>
      <t>x2600</t>
    </r>
    <phoneticPr fontId="6" type="noConversion"/>
  </si>
  <si>
    <r>
      <t xml:space="preserve">20260319002 </t>
    </r>
    <r>
      <rPr>
        <sz val="12"/>
        <color theme="1"/>
        <rFont val="微軟正黑體"/>
        <family val="2"/>
        <charset val="136"/>
      </rPr>
      <t>台電</t>
    </r>
    <r>
      <rPr>
        <sz val="12"/>
        <color theme="1"/>
        <rFont val="Calibri"/>
        <family val="2"/>
      </rPr>
      <t>x170</t>
    </r>
    <phoneticPr fontId="6" type="noConversion"/>
  </si>
  <si>
    <r>
      <rPr>
        <sz val="12"/>
        <color theme="1"/>
        <rFont val="微軟正黑體"/>
        <family val="2"/>
        <charset val="136"/>
      </rPr>
      <t>出貨</t>
    </r>
    <r>
      <rPr>
        <sz val="12"/>
        <color theme="1"/>
        <rFont val="Calibri"/>
        <family val="2"/>
      </rPr>
      <t>-</t>
    </r>
    <r>
      <rPr>
        <sz val="12"/>
        <color theme="1"/>
        <rFont val="微軟正黑體"/>
        <family val="2"/>
        <charset val="136"/>
      </rPr>
      <t>台電</t>
    </r>
    <r>
      <rPr>
        <sz val="12"/>
        <color theme="1"/>
        <rFont val="Calibri"/>
        <family val="2"/>
      </rPr>
      <t>x170</t>
    </r>
    <phoneticPr fontId="6" type="noConversion"/>
  </si>
  <si>
    <r>
      <rPr>
        <sz val="12"/>
        <color theme="1"/>
        <rFont val="微軟正黑體"/>
        <family val="2"/>
        <charset val="136"/>
      </rPr>
      <t>出貨</t>
    </r>
    <r>
      <rPr>
        <sz val="12"/>
        <color theme="1"/>
        <rFont val="Calibri"/>
        <family val="2"/>
      </rPr>
      <t>-</t>
    </r>
    <r>
      <rPr>
        <sz val="12"/>
        <color theme="1"/>
        <rFont val="微軟正黑體"/>
        <family val="2"/>
        <charset val="136"/>
      </rPr>
      <t>台電</t>
    </r>
    <r>
      <rPr>
        <sz val="12"/>
        <color theme="1"/>
        <rFont val="Calibri"/>
        <family val="2"/>
      </rPr>
      <t>x5</t>
    </r>
    <phoneticPr fontId="6" type="noConversion"/>
  </si>
  <si>
    <r>
      <rPr>
        <sz val="12"/>
        <color theme="1"/>
        <rFont val="微軟正黑體"/>
        <family val="2"/>
        <charset val="136"/>
      </rPr>
      <t>出貨</t>
    </r>
    <r>
      <rPr>
        <sz val="12"/>
        <color theme="1"/>
        <rFont val="Calibri"/>
        <family val="2"/>
      </rPr>
      <t>-</t>
    </r>
    <r>
      <rPr>
        <sz val="12"/>
        <color theme="1"/>
        <rFont val="微軟正黑體"/>
        <family val="2"/>
        <charset val="136"/>
      </rPr>
      <t>台電</t>
    </r>
    <r>
      <rPr>
        <sz val="12"/>
        <color theme="1"/>
        <rFont val="Calibri"/>
        <family val="2"/>
      </rPr>
      <t>x2900</t>
    </r>
    <phoneticPr fontId="6" type="noConversion"/>
  </si>
  <si>
    <t>物料</t>
    <phoneticPr fontId="2" type="noConversion"/>
  </si>
  <si>
    <t>庫存</t>
    <phoneticPr fontId="6" type="noConversion"/>
  </si>
  <si>
    <t>A300-TD015</t>
    <phoneticPr fontId="6" type="noConversion"/>
  </si>
  <si>
    <t>A301-M3X5-BK</t>
    <phoneticPr fontId="6" type="noConversion"/>
  </si>
  <si>
    <t>A303-PMAX-3080</t>
    <phoneticPr fontId="6" type="noConversion"/>
  </si>
  <si>
    <t>A305-AR-721RB</t>
    <phoneticPr fontId="6" type="noConversion"/>
  </si>
  <si>
    <t>A305-AR-723HBR1N21</t>
    <phoneticPr fontId="6" type="noConversion"/>
  </si>
  <si>
    <t>A308-2-M4X10</t>
    <phoneticPr fontId="6" type="noConversion"/>
  </si>
  <si>
    <t>A308-2-M4X12</t>
    <phoneticPr fontId="6" type="noConversion"/>
  </si>
  <si>
    <t>A308-APS-11</t>
    <phoneticPr fontId="6" type="noConversion"/>
  </si>
  <si>
    <t>A308-BBHA-C-2P32A</t>
    <phoneticPr fontId="6" type="noConversion"/>
  </si>
  <si>
    <t>A308-PF113A</t>
    <phoneticPr fontId="6" type="noConversion"/>
  </si>
  <si>
    <t>A308-PTB-3P</t>
    <phoneticPr fontId="6" type="noConversion"/>
  </si>
  <si>
    <t>A308-PTB-5P</t>
    <phoneticPr fontId="6" type="noConversion"/>
  </si>
  <si>
    <t>A308-PTB-12P</t>
    <phoneticPr fontId="6" type="noConversion"/>
  </si>
  <si>
    <t>A308-SLO-10P</t>
    <phoneticPr fontId="6" type="noConversion"/>
  </si>
  <si>
    <t>A308-TA020-2P</t>
    <phoneticPr fontId="6" type="noConversion"/>
  </si>
  <si>
    <t>A308-TA020-4P</t>
    <phoneticPr fontId="6" type="noConversion"/>
  </si>
  <si>
    <t>A308-TB-3P</t>
    <phoneticPr fontId="6" type="noConversion"/>
  </si>
  <si>
    <t>A308-TBR-F</t>
    <phoneticPr fontId="6" type="noConversion"/>
  </si>
  <si>
    <t>C101-DUPONT-MM-20P</t>
    <phoneticPr fontId="6" type="noConversion"/>
  </si>
  <si>
    <t>C108-KY-HORN</t>
    <phoneticPr fontId="6" type="noConversion"/>
  </si>
  <si>
    <t>H002-Acer-SF314-511-5417</t>
    <phoneticPr fontId="6" type="noConversion"/>
  </si>
  <si>
    <t>H002-Acer-SFG16-72-56R3</t>
    <phoneticPr fontId="6" type="noConversion"/>
  </si>
  <si>
    <t>H002-IdeaPad-Slim-3-15IRH10</t>
    <phoneticPr fontId="6" type="noConversion"/>
  </si>
  <si>
    <t>H003-ES20-1S1A02-C1RO-C00</t>
    <phoneticPr fontId="6" type="noConversion"/>
  </si>
  <si>
    <t>H005-NWA90AXPRO</t>
    <phoneticPr fontId="6" type="noConversion"/>
  </si>
  <si>
    <t>H008-S-50-24</t>
    <phoneticPr fontId="6" type="noConversion"/>
  </si>
  <si>
    <t>H009-KIM-IPC542AHZ</t>
    <phoneticPr fontId="6" type="noConversion"/>
  </si>
  <si>
    <t>H009-SMAX-AP1</t>
    <phoneticPr fontId="6" type="noConversion"/>
  </si>
  <si>
    <t>H010-A27Qi</t>
    <phoneticPr fontId="6" type="noConversion"/>
  </si>
  <si>
    <t>H010-EK271</t>
    <phoneticPr fontId="6" type="noConversion"/>
  </si>
  <si>
    <t>H010-G27QI</t>
    <phoneticPr fontId="6" type="noConversion"/>
  </si>
  <si>
    <t>H013-Alcatel-29438</t>
    <phoneticPr fontId="6" type="noConversion"/>
  </si>
  <si>
    <t>H013-MT730</t>
    <phoneticPr fontId="6" type="noConversion"/>
  </si>
  <si>
    <t>S208-ADAM-4520</t>
    <phoneticPr fontId="6" type="noConversion"/>
  </si>
  <si>
    <t>S209-ADAM-4050</t>
    <phoneticPr fontId="6" type="noConversion"/>
  </si>
  <si>
    <t>S209-ADAM-5051D-BE</t>
    <phoneticPr fontId="6" type="noConversion"/>
  </si>
  <si>
    <t>S209-ADAM-5051-S</t>
    <phoneticPr fontId="6" type="noConversion"/>
  </si>
  <si>
    <t>S210-ECU-1251</t>
    <phoneticPr fontId="6" type="noConversion"/>
  </si>
  <si>
    <t>T800-6100</t>
    <phoneticPr fontId="6" type="noConversion"/>
  </si>
  <si>
    <t>T800-YI202</t>
    <phoneticPr fontId="6" type="noConversion"/>
  </si>
  <si>
    <t>T802-ESD-JACKET</t>
    <phoneticPr fontId="6" type="noConversion"/>
  </si>
  <si>
    <t>T802-ESD-PANTS</t>
    <phoneticPr fontId="6" type="noConversion"/>
  </si>
  <si>
    <t>T802-ESD-CAP</t>
    <phoneticPr fontId="6" type="noConversion"/>
  </si>
  <si>
    <t>X504-MK200</t>
    <phoneticPr fontId="6" type="noConversion"/>
  </si>
  <si>
    <t>資產</t>
    <phoneticPr fontId="6" type="noConversion"/>
  </si>
  <si>
    <r>
      <t>DIN</t>
    </r>
    <r>
      <rPr>
        <sz val="12"/>
        <color theme="1"/>
        <rFont val="微軟正黑體"/>
        <family val="2"/>
        <charset val="136"/>
      </rPr>
      <t>導軌端子台固定座</t>
    </r>
    <r>
      <rPr>
        <sz val="12"/>
        <color theme="1"/>
        <rFont val="Calibri"/>
        <family val="2"/>
      </rPr>
      <t xml:space="preserve"> TD-015 15A 600V</t>
    </r>
    <phoneticPr fontId="6" type="noConversion"/>
  </si>
  <si>
    <r>
      <rPr>
        <sz val="12"/>
        <color theme="1"/>
        <rFont val="微軟正黑體"/>
        <family val="2"/>
        <charset val="136"/>
      </rPr>
      <t>螺絲</t>
    </r>
    <r>
      <rPr>
        <sz val="12"/>
        <color theme="1"/>
        <rFont val="Calibri"/>
        <family val="2"/>
      </rPr>
      <t xml:space="preserve"> </t>
    </r>
    <r>
      <rPr>
        <sz val="12"/>
        <color theme="1"/>
        <rFont val="微軟正黑體"/>
        <family val="2"/>
        <charset val="136"/>
      </rPr>
      <t>沉頭機械牙螺絲</t>
    </r>
    <r>
      <rPr>
        <sz val="12"/>
        <color theme="1"/>
        <rFont val="Calibri"/>
        <family val="2"/>
      </rPr>
      <t xml:space="preserve"> M3×5 </t>
    </r>
    <r>
      <rPr>
        <sz val="12"/>
        <color theme="1"/>
        <rFont val="微軟正黑體"/>
        <family val="2"/>
        <charset val="136"/>
      </rPr>
      <t>黑色</t>
    </r>
    <phoneticPr fontId="6" type="noConversion"/>
  </si>
  <si>
    <r>
      <rPr>
        <sz val="12"/>
        <color theme="1"/>
        <rFont val="微軟正黑體"/>
        <family val="2"/>
        <charset val="136"/>
      </rPr>
      <t>攝影機吊架</t>
    </r>
    <r>
      <rPr>
        <sz val="12"/>
        <color theme="1"/>
        <rFont val="Calibri"/>
        <family val="2"/>
      </rPr>
      <t xml:space="preserve"> PMAX</t>
    </r>
    <r>
      <rPr>
        <sz val="12"/>
        <color theme="1"/>
        <rFont val="微軟正黑體"/>
        <family val="2"/>
        <charset val="136"/>
      </rPr>
      <t>系列</t>
    </r>
    <phoneticPr fontId="6" type="noConversion"/>
  </si>
  <si>
    <r>
      <rPr>
        <sz val="12"/>
        <color theme="1"/>
        <rFont val="微軟正黑體"/>
        <family val="2"/>
        <charset val="136"/>
      </rPr>
      <t>控制模組</t>
    </r>
    <r>
      <rPr>
        <sz val="12"/>
        <color theme="1"/>
        <rFont val="Calibri"/>
        <family val="2"/>
      </rPr>
      <t xml:space="preserve"> </t>
    </r>
    <r>
      <rPr>
        <sz val="12"/>
        <color theme="1"/>
        <rFont val="微軟正黑體"/>
        <family val="2"/>
        <charset val="136"/>
      </rPr>
      <t>門禁繼電器控制模組</t>
    </r>
    <r>
      <rPr>
        <sz val="12"/>
        <color theme="1"/>
        <rFont val="Calibri"/>
        <family val="2"/>
      </rPr>
      <t xml:space="preserve"> Relay Board</t>
    </r>
    <phoneticPr fontId="6" type="noConversion"/>
  </si>
  <si>
    <r>
      <rPr>
        <sz val="12"/>
        <color theme="1"/>
        <rFont val="微軟正黑體"/>
        <family val="2"/>
        <charset val="136"/>
      </rPr>
      <t>讀卡機</t>
    </r>
    <r>
      <rPr>
        <sz val="12"/>
        <color theme="1"/>
        <rFont val="Calibri"/>
        <family val="2"/>
      </rPr>
      <t xml:space="preserve"> RFID</t>
    </r>
    <r>
      <rPr>
        <sz val="12"/>
        <color theme="1"/>
        <rFont val="微軟正黑體"/>
        <family val="2"/>
        <charset val="136"/>
      </rPr>
      <t>門禁感應讀卡機</t>
    </r>
    <r>
      <rPr>
        <sz val="12"/>
        <color theme="1"/>
        <rFont val="Calibri"/>
        <family val="2"/>
      </rPr>
      <t xml:space="preserve"> 125KHz Wiegand</t>
    </r>
    <r>
      <rPr>
        <sz val="12"/>
        <color theme="1"/>
        <rFont val="微軟正黑體"/>
        <family val="2"/>
        <charset val="136"/>
      </rPr>
      <t>介面</t>
    </r>
    <phoneticPr fontId="6" type="noConversion"/>
  </si>
  <si>
    <r>
      <rPr>
        <sz val="12"/>
        <color theme="1"/>
        <rFont val="微軟正黑體"/>
        <family val="2"/>
        <charset val="136"/>
      </rPr>
      <t>繼電器</t>
    </r>
    <r>
      <rPr>
        <sz val="12"/>
        <color theme="1"/>
        <rFont val="Calibri"/>
        <family val="2"/>
      </rPr>
      <t xml:space="preserve"> 8Pin </t>
    </r>
    <r>
      <rPr>
        <sz val="12"/>
        <color theme="1"/>
        <rFont val="微軟正黑體"/>
        <family val="2"/>
        <charset val="136"/>
      </rPr>
      <t>繼電器底座</t>
    </r>
    <r>
      <rPr>
        <sz val="12"/>
        <color theme="1"/>
        <rFont val="Calibri"/>
        <family val="2"/>
      </rPr>
      <t xml:space="preserve"> 2</t>
    </r>
    <r>
      <rPr>
        <sz val="12"/>
        <color theme="1"/>
        <rFont val="微軟正黑體"/>
        <family val="2"/>
        <charset val="136"/>
      </rPr>
      <t>組接點</t>
    </r>
    <r>
      <rPr>
        <sz val="12"/>
        <color theme="1"/>
        <rFont val="Calibri"/>
        <family val="2"/>
      </rPr>
      <t xml:space="preserve"> </t>
    </r>
    <r>
      <rPr>
        <sz val="12"/>
        <color theme="1"/>
        <rFont val="微軟正黑體"/>
        <family val="2"/>
        <charset val="136"/>
      </rPr>
      <t>導軌式</t>
    </r>
    <r>
      <rPr>
        <sz val="12"/>
        <color theme="1"/>
        <rFont val="Calibri"/>
        <family val="2"/>
      </rPr>
      <t xml:space="preserve"> </t>
    </r>
    <phoneticPr fontId="6" type="noConversion"/>
  </si>
  <si>
    <r>
      <rPr>
        <sz val="12"/>
        <color theme="1"/>
        <rFont val="微軟正黑體"/>
        <family val="2"/>
        <charset val="136"/>
      </rPr>
      <t>繼電器</t>
    </r>
    <r>
      <rPr>
        <sz val="12"/>
        <color theme="1"/>
        <rFont val="Calibri"/>
        <family val="2"/>
      </rPr>
      <t xml:space="preserve"> 8Pin </t>
    </r>
    <r>
      <rPr>
        <sz val="12"/>
        <color theme="1"/>
        <rFont val="微軟正黑體"/>
        <family val="2"/>
        <charset val="136"/>
      </rPr>
      <t>繼電器底座</t>
    </r>
    <r>
      <rPr>
        <sz val="12"/>
        <color theme="1"/>
        <rFont val="Calibri"/>
        <family val="2"/>
      </rPr>
      <t xml:space="preserve"> 2</t>
    </r>
    <r>
      <rPr>
        <sz val="12"/>
        <color theme="1"/>
        <rFont val="微軟正黑體"/>
        <family val="2"/>
        <charset val="136"/>
      </rPr>
      <t>組接點</t>
    </r>
    <r>
      <rPr>
        <sz val="12"/>
        <color theme="1"/>
        <rFont val="Calibri"/>
        <family val="2"/>
      </rPr>
      <t xml:space="preserve"> </t>
    </r>
    <r>
      <rPr>
        <sz val="12"/>
        <color theme="1"/>
        <rFont val="微軟正黑體"/>
        <family val="2"/>
        <charset val="136"/>
      </rPr>
      <t>導軌式</t>
    </r>
    <phoneticPr fontId="6" type="noConversion"/>
  </si>
  <si>
    <r>
      <rPr>
        <sz val="12"/>
        <color theme="1"/>
        <rFont val="微軟正黑體"/>
        <family val="2"/>
        <charset val="136"/>
      </rPr>
      <t>輔助接點模組</t>
    </r>
    <r>
      <rPr>
        <sz val="12"/>
        <color theme="1"/>
        <rFont val="Calibri"/>
        <family val="2"/>
      </rPr>
      <t xml:space="preserve"> 1NO+1NC</t>
    </r>
    <phoneticPr fontId="6" type="noConversion"/>
  </si>
  <si>
    <r>
      <rPr>
        <sz val="12"/>
        <color theme="1"/>
        <rFont val="微軟正黑體"/>
        <family val="2"/>
        <charset val="136"/>
      </rPr>
      <t>小型斷路器</t>
    </r>
    <r>
      <rPr>
        <sz val="12"/>
        <color theme="1"/>
        <rFont val="Calibri"/>
        <family val="2"/>
      </rPr>
      <t>2P32A</t>
    </r>
    <phoneticPr fontId="6" type="noConversion"/>
  </si>
  <si>
    <r>
      <rPr>
        <sz val="12"/>
        <color theme="1"/>
        <rFont val="微軟正黑體"/>
        <family val="2"/>
        <charset val="136"/>
      </rPr>
      <t>繼電器底座</t>
    </r>
    <r>
      <rPr>
        <sz val="12"/>
        <color theme="1"/>
        <rFont val="Calibri"/>
        <family val="2"/>
      </rPr>
      <t xml:space="preserve"> 11Pin </t>
    </r>
    <phoneticPr fontId="6" type="noConversion"/>
  </si>
  <si>
    <r>
      <rPr>
        <sz val="12"/>
        <color theme="1"/>
        <rFont val="微軟正黑體"/>
        <family val="2"/>
        <charset val="136"/>
      </rPr>
      <t>端子台</t>
    </r>
    <r>
      <rPr>
        <sz val="12"/>
        <color theme="1"/>
        <rFont val="Calibri"/>
        <family val="2"/>
      </rPr>
      <t xml:space="preserve"> </t>
    </r>
    <r>
      <rPr>
        <sz val="12"/>
        <color theme="1"/>
        <rFont val="微軟正黑體"/>
        <family val="2"/>
        <charset val="136"/>
      </rPr>
      <t>插拔式端子台</t>
    </r>
    <r>
      <rPr>
        <sz val="12"/>
        <color theme="1"/>
        <rFont val="Calibri"/>
        <family val="2"/>
      </rPr>
      <t xml:space="preserve"> 3P</t>
    </r>
    <phoneticPr fontId="6" type="noConversion"/>
  </si>
  <si>
    <r>
      <rPr>
        <sz val="12"/>
        <color theme="1"/>
        <rFont val="微軟正黑體"/>
        <family val="2"/>
        <charset val="136"/>
      </rPr>
      <t>端子台</t>
    </r>
    <r>
      <rPr>
        <sz val="12"/>
        <color theme="1"/>
        <rFont val="Calibri"/>
        <family val="2"/>
      </rPr>
      <t xml:space="preserve"> </t>
    </r>
    <r>
      <rPr>
        <sz val="12"/>
        <color theme="1"/>
        <rFont val="微軟正黑體"/>
        <family val="2"/>
        <charset val="136"/>
      </rPr>
      <t>插拔式端子台</t>
    </r>
    <r>
      <rPr>
        <sz val="12"/>
        <color theme="1"/>
        <rFont val="Calibri"/>
        <family val="2"/>
      </rPr>
      <t xml:space="preserve"> 5P</t>
    </r>
    <phoneticPr fontId="6" type="noConversion"/>
  </si>
  <si>
    <r>
      <rPr>
        <sz val="12"/>
        <color theme="1"/>
        <rFont val="微軟正黑體"/>
        <family val="2"/>
        <charset val="136"/>
      </rPr>
      <t>端子台</t>
    </r>
    <r>
      <rPr>
        <sz val="12"/>
        <color theme="1"/>
        <rFont val="Calibri"/>
        <family val="2"/>
      </rPr>
      <t xml:space="preserve"> </t>
    </r>
    <r>
      <rPr>
        <sz val="12"/>
        <color theme="1"/>
        <rFont val="微軟正黑體"/>
        <family val="2"/>
        <charset val="136"/>
      </rPr>
      <t>插拔式端子台</t>
    </r>
    <r>
      <rPr>
        <sz val="12"/>
        <color theme="1"/>
        <rFont val="Calibri"/>
        <family val="2"/>
      </rPr>
      <t xml:space="preserve"> 12P</t>
    </r>
    <phoneticPr fontId="6" type="noConversion"/>
  </si>
  <si>
    <r>
      <rPr>
        <sz val="12"/>
        <color theme="1"/>
        <rFont val="微軟正黑體"/>
        <family val="2"/>
        <charset val="136"/>
      </rPr>
      <t>端子台</t>
    </r>
    <r>
      <rPr>
        <sz val="12"/>
        <color theme="1"/>
        <rFont val="Calibri"/>
        <family val="2"/>
      </rPr>
      <t xml:space="preserve"> 10P</t>
    </r>
    <r>
      <rPr>
        <sz val="12"/>
        <color theme="1"/>
        <rFont val="微軟正黑體"/>
        <family val="2"/>
        <charset val="136"/>
      </rPr>
      <t>柵欄式</t>
    </r>
    <r>
      <rPr>
        <sz val="12"/>
        <color theme="1"/>
        <rFont val="Calibri"/>
        <family val="2"/>
      </rPr>
      <t xml:space="preserve"> 10A 600V MAX</t>
    </r>
    <phoneticPr fontId="6" type="noConversion"/>
  </si>
  <si>
    <r>
      <rPr>
        <sz val="12"/>
        <color theme="1"/>
        <rFont val="微軟正黑體"/>
        <family val="2"/>
        <charset val="136"/>
      </rPr>
      <t>端子台</t>
    </r>
    <r>
      <rPr>
        <sz val="12"/>
        <color theme="1"/>
        <rFont val="Calibri"/>
        <family val="2"/>
      </rPr>
      <t xml:space="preserve"> 2P</t>
    </r>
    <r>
      <rPr>
        <sz val="12"/>
        <color theme="1"/>
        <rFont val="微軟正黑體"/>
        <family val="2"/>
        <charset val="136"/>
      </rPr>
      <t>柵欄式端子台</t>
    </r>
    <r>
      <rPr>
        <sz val="12"/>
        <color theme="1"/>
        <rFont val="Calibri"/>
        <family val="2"/>
      </rPr>
      <t xml:space="preserve"> TA-020 20A 600V MAX Shining 43687</t>
    </r>
    <phoneticPr fontId="6" type="noConversion"/>
  </si>
  <si>
    <r>
      <rPr>
        <sz val="12"/>
        <color theme="1"/>
        <rFont val="微軟正黑體"/>
        <family val="2"/>
        <charset val="136"/>
      </rPr>
      <t>端子台</t>
    </r>
    <r>
      <rPr>
        <sz val="12"/>
        <color theme="1"/>
        <rFont val="Calibri"/>
        <family val="2"/>
      </rPr>
      <t xml:space="preserve"> 4P</t>
    </r>
    <r>
      <rPr>
        <sz val="12"/>
        <color theme="1"/>
        <rFont val="微軟正黑體"/>
        <family val="2"/>
        <charset val="136"/>
      </rPr>
      <t>柵欄式端子台</t>
    </r>
    <r>
      <rPr>
        <sz val="12"/>
        <color theme="1"/>
        <rFont val="Calibri"/>
        <family val="2"/>
      </rPr>
      <t xml:space="preserve"> TA-020 20A 600V MAX Shining 43687</t>
    </r>
    <phoneticPr fontId="6" type="noConversion"/>
  </si>
  <si>
    <r>
      <rPr>
        <sz val="12"/>
        <color theme="1"/>
        <rFont val="微軟正黑體"/>
        <family val="2"/>
        <charset val="136"/>
      </rPr>
      <t>端子台</t>
    </r>
    <r>
      <rPr>
        <sz val="12"/>
        <color theme="1"/>
        <rFont val="Calibri"/>
        <family val="2"/>
      </rPr>
      <t xml:space="preserve"> 3P</t>
    </r>
    <r>
      <rPr>
        <sz val="12"/>
        <color theme="1"/>
        <rFont val="微軟正黑體"/>
        <family val="2"/>
        <charset val="136"/>
      </rPr>
      <t>柵欄式端子台</t>
    </r>
    <phoneticPr fontId="6" type="noConversion"/>
  </si>
  <si>
    <r>
      <rPr>
        <sz val="12"/>
        <color theme="1"/>
        <rFont val="微軟正黑體"/>
        <family val="2"/>
        <charset val="136"/>
      </rPr>
      <t>端子台固定座</t>
    </r>
    <r>
      <rPr>
        <sz val="12"/>
        <color theme="1"/>
        <rFont val="Calibri"/>
        <family val="2"/>
      </rPr>
      <t xml:space="preserve"> / </t>
    </r>
    <r>
      <rPr>
        <sz val="12"/>
        <color theme="1"/>
        <rFont val="微軟正黑體"/>
        <family val="2"/>
        <charset val="136"/>
      </rPr>
      <t>端子台固定扣具</t>
    </r>
    <r>
      <rPr>
        <sz val="12"/>
        <color theme="1"/>
        <rFont val="Calibri"/>
        <family val="2"/>
      </rPr>
      <t xml:space="preserve"> TBR </t>
    </r>
    <r>
      <rPr>
        <sz val="12"/>
        <color theme="1"/>
        <rFont val="微軟正黑體"/>
        <family val="2"/>
        <charset val="136"/>
      </rPr>
      <t>系列</t>
    </r>
    <phoneticPr fontId="6" type="noConversion"/>
  </si>
  <si>
    <r>
      <rPr>
        <sz val="12"/>
        <color theme="1"/>
        <rFont val="微軟正黑體"/>
        <family val="2"/>
        <charset val="136"/>
      </rPr>
      <t>杜邦線</t>
    </r>
    <r>
      <rPr>
        <sz val="12"/>
        <color theme="1"/>
        <rFont val="Calibri"/>
        <family val="2"/>
      </rPr>
      <t xml:space="preserve"> </t>
    </r>
    <r>
      <rPr>
        <sz val="12"/>
        <color theme="1"/>
        <rFont val="微軟正黑體"/>
        <family val="2"/>
        <charset val="136"/>
      </rPr>
      <t>公對公</t>
    </r>
    <r>
      <rPr>
        <sz val="12"/>
        <color theme="1"/>
        <rFont val="Calibri"/>
        <family val="2"/>
      </rPr>
      <t xml:space="preserve"> 20CM 40</t>
    </r>
    <r>
      <rPr>
        <sz val="12"/>
        <color theme="1"/>
        <rFont val="微軟正黑體"/>
        <family val="2"/>
        <charset val="136"/>
      </rPr>
      <t>芯組</t>
    </r>
    <phoneticPr fontId="6" type="noConversion"/>
  </si>
  <si>
    <r>
      <rPr>
        <sz val="12"/>
        <color theme="1"/>
        <rFont val="微軟正黑體"/>
        <family val="2"/>
        <charset val="136"/>
      </rPr>
      <t>號角喇叭</t>
    </r>
    <r>
      <rPr>
        <sz val="12"/>
        <color theme="1"/>
        <rFont val="Calibri"/>
        <family val="2"/>
      </rPr>
      <t xml:space="preserve"> </t>
    </r>
    <r>
      <rPr>
        <sz val="12"/>
        <color theme="1"/>
        <rFont val="微軟正黑體"/>
        <family val="2"/>
        <charset val="136"/>
      </rPr>
      <t>防水型</t>
    </r>
    <r>
      <rPr>
        <sz val="12"/>
        <color theme="1"/>
        <rFont val="Calibri"/>
        <family val="2"/>
      </rPr>
      <t xml:space="preserve"> </t>
    </r>
    <r>
      <rPr>
        <sz val="12"/>
        <color theme="1"/>
        <rFont val="微軟正黑體"/>
        <family val="2"/>
        <charset val="136"/>
      </rPr>
      <t>廣播告警用</t>
    </r>
    <phoneticPr fontId="6" type="noConversion"/>
  </si>
  <si>
    <r>
      <rPr>
        <sz val="12"/>
        <color theme="1"/>
        <rFont val="微軟正黑體"/>
        <family val="2"/>
        <charset val="136"/>
      </rPr>
      <t>筆記型電腦</t>
    </r>
    <r>
      <rPr>
        <sz val="12"/>
        <color theme="1"/>
        <rFont val="Calibri"/>
        <family val="2"/>
      </rPr>
      <t xml:space="preserve"> Acer Swift SF314-511 i5-1135G7 Windows 11</t>
    </r>
    <r>
      <rPr>
        <sz val="12"/>
        <color theme="1"/>
        <rFont val="微軟正黑體"/>
        <family val="2"/>
        <charset val="136"/>
      </rPr>
      <t>家用版</t>
    </r>
    <r>
      <rPr>
        <sz val="12"/>
        <color theme="1"/>
        <rFont val="Calibri"/>
        <family val="2"/>
      </rPr>
      <t>64</t>
    </r>
    <r>
      <rPr>
        <sz val="12"/>
        <color theme="1"/>
        <rFont val="微軟正黑體"/>
        <family val="2"/>
        <charset val="136"/>
      </rPr>
      <t>位元</t>
    </r>
    <r>
      <rPr>
        <sz val="12"/>
        <color theme="1"/>
        <rFont val="Calibri"/>
        <family val="2"/>
      </rPr>
      <t xml:space="preserve"> 14</t>
    </r>
    <r>
      <rPr>
        <sz val="12"/>
        <color theme="1"/>
        <rFont val="微軟正黑體"/>
        <family val="2"/>
        <charset val="136"/>
      </rPr>
      <t>吋螢幕</t>
    </r>
    <r>
      <rPr>
        <sz val="12"/>
        <color theme="1"/>
        <rFont val="Calibri"/>
        <family val="2"/>
      </rPr>
      <t xml:space="preserve"> </t>
    </r>
    <r>
      <rPr>
        <sz val="12"/>
        <color theme="1"/>
        <rFont val="微軟正黑體"/>
        <family val="2"/>
        <charset val="136"/>
      </rPr>
      <t>含無線滑鼠</t>
    </r>
    <r>
      <rPr>
        <sz val="12"/>
        <color theme="1"/>
        <rFont val="Calibri"/>
        <family val="2"/>
      </rPr>
      <t xml:space="preserve"> </t>
    </r>
    <r>
      <rPr>
        <sz val="12"/>
        <color theme="1"/>
        <rFont val="微軟正黑體"/>
        <family val="2"/>
        <charset val="136"/>
      </rPr>
      <t>電源線</t>
    </r>
    <r>
      <rPr>
        <sz val="12"/>
        <color theme="1"/>
        <rFont val="Calibri"/>
        <family val="2"/>
      </rPr>
      <t xml:space="preserve"> </t>
    </r>
    <r>
      <rPr>
        <sz val="12"/>
        <color theme="1"/>
        <rFont val="微軟正黑體"/>
        <family val="2"/>
        <charset val="136"/>
      </rPr>
      <t>筆電手提包</t>
    </r>
    <r>
      <rPr>
        <sz val="12"/>
        <color theme="1"/>
        <rFont val="Calibri"/>
        <family val="2"/>
      </rPr>
      <t xml:space="preserve"> </t>
    </r>
    <r>
      <rPr>
        <sz val="12"/>
        <color theme="1"/>
        <rFont val="微軟正黑體"/>
        <family val="2"/>
        <charset val="136"/>
      </rPr>
      <t>製造日</t>
    </r>
    <r>
      <rPr>
        <sz val="12"/>
        <color theme="1"/>
        <rFont val="Calibri"/>
        <family val="2"/>
      </rPr>
      <t>:2021.9.19</t>
    </r>
    <phoneticPr fontId="6" type="noConversion"/>
  </si>
  <si>
    <r>
      <rPr>
        <sz val="12"/>
        <color theme="1"/>
        <rFont val="微軟正黑體"/>
        <family val="2"/>
        <charset val="136"/>
      </rPr>
      <t>筆記型電腦</t>
    </r>
    <r>
      <rPr>
        <sz val="12"/>
        <color theme="1"/>
        <rFont val="Calibri"/>
        <family val="2"/>
      </rPr>
      <t xml:space="preserve"> Acer Swift Go 16  Windows 11</t>
    </r>
    <r>
      <rPr>
        <sz val="12"/>
        <color theme="1"/>
        <rFont val="微軟正黑體"/>
        <family val="2"/>
        <charset val="136"/>
      </rPr>
      <t>家用版</t>
    </r>
    <r>
      <rPr>
        <sz val="12"/>
        <color theme="1"/>
        <rFont val="Calibri"/>
        <family val="2"/>
      </rPr>
      <t>64</t>
    </r>
    <r>
      <rPr>
        <sz val="12"/>
        <color theme="1"/>
        <rFont val="微軟正黑體"/>
        <family val="2"/>
        <charset val="136"/>
      </rPr>
      <t>位元</t>
    </r>
    <r>
      <rPr>
        <sz val="12"/>
        <color theme="1"/>
        <rFont val="Calibri"/>
        <family val="2"/>
      </rPr>
      <t xml:space="preserve"> 16</t>
    </r>
    <r>
      <rPr>
        <sz val="12"/>
        <color theme="1"/>
        <rFont val="微軟正黑體"/>
        <family val="2"/>
        <charset val="136"/>
      </rPr>
      <t>吋螢幕</t>
    </r>
    <r>
      <rPr>
        <sz val="12"/>
        <color theme="1"/>
        <rFont val="Calibri"/>
        <family val="2"/>
      </rPr>
      <t xml:space="preserve"> </t>
    </r>
    <r>
      <rPr>
        <sz val="12"/>
        <color theme="1"/>
        <rFont val="微軟正黑體"/>
        <family val="2"/>
        <charset val="136"/>
      </rPr>
      <t>含電源線</t>
    </r>
    <r>
      <rPr>
        <sz val="12"/>
        <color theme="1"/>
        <rFont val="Calibri"/>
        <family val="2"/>
      </rPr>
      <t xml:space="preserve"> </t>
    </r>
    <r>
      <rPr>
        <sz val="12"/>
        <color theme="1"/>
        <rFont val="微軟正黑體"/>
        <family val="2"/>
        <charset val="136"/>
      </rPr>
      <t>滑鼠</t>
    </r>
    <r>
      <rPr>
        <sz val="12"/>
        <color theme="1"/>
        <rFont val="Calibri"/>
        <family val="2"/>
      </rPr>
      <t xml:space="preserve"> </t>
    </r>
    <r>
      <rPr>
        <sz val="12"/>
        <color theme="1"/>
        <rFont val="微軟正黑體"/>
        <family val="2"/>
        <charset val="136"/>
      </rPr>
      <t>筆電手提包</t>
    </r>
    <r>
      <rPr>
        <sz val="12"/>
        <color theme="1"/>
        <rFont val="Calibri"/>
        <family val="2"/>
      </rPr>
      <t xml:space="preserve"> </t>
    </r>
    <r>
      <rPr>
        <sz val="12"/>
        <color theme="1"/>
        <rFont val="微軟正黑體"/>
        <family val="2"/>
        <charset val="136"/>
      </rPr>
      <t>製造日</t>
    </r>
    <r>
      <rPr>
        <sz val="12"/>
        <color theme="1"/>
        <rFont val="Calibri"/>
        <family val="2"/>
      </rPr>
      <t>:2025.2.20</t>
    </r>
    <phoneticPr fontId="6" type="noConversion"/>
  </si>
  <si>
    <r>
      <rPr>
        <sz val="12"/>
        <color theme="1"/>
        <rFont val="微軟正黑體"/>
        <family val="2"/>
        <charset val="136"/>
      </rPr>
      <t>筆記型電腦</t>
    </r>
    <r>
      <rPr>
        <sz val="12"/>
        <color theme="1"/>
        <rFont val="Calibri"/>
        <family val="2"/>
      </rPr>
      <t xml:space="preserve"> Lenovo i7 13620H 4.9GHz IdeaPad Slim 3 15.3</t>
    </r>
    <r>
      <rPr>
        <sz val="12"/>
        <color theme="1"/>
        <rFont val="微軟正黑體"/>
        <family val="2"/>
        <charset val="136"/>
      </rPr>
      <t>吋</t>
    </r>
    <r>
      <rPr>
        <sz val="12"/>
        <color theme="1"/>
        <rFont val="Calibri"/>
        <family val="2"/>
      </rPr>
      <t xml:space="preserve"> 24G 512G Win11 Home </t>
    </r>
    <r>
      <rPr>
        <sz val="12"/>
        <color theme="1"/>
        <rFont val="微軟正黑體"/>
        <family val="2"/>
        <charset val="136"/>
      </rPr>
      <t>灰色</t>
    </r>
    <phoneticPr fontId="6" type="noConversion"/>
  </si>
  <si>
    <r>
      <rPr>
        <sz val="12"/>
        <color theme="1"/>
        <rFont val="微軟正黑體"/>
        <family val="2"/>
        <charset val="136"/>
      </rPr>
      <t>伺服器</t>
    </r>
    <r>
      <rPr>
        <sz val="12"/>
        <color theme="1"/>
        <rFont val="Calibri"/>
        <family val="2"/>
      </rPr>
      <t xml:space="preserve"> </t>
    </r>
    <r>
      <rPr>
        <sz val="12"/>
        <color theme="1"/>
        <rFont val="微軟正黑體"/>
        <family val="2"/>
        <charset val="136"/>
      </rPr>
      <t>工業級邊緣運算伺服器</t>
    </r>
    <r>
      <rPr>
        <sz val="12"/>
        <color theme="1"/>
        <rFont val="Calibri"/>
        <family val="2"/>
      </rPr>
      <t xml:space="preserve"> Edge Server Box</t>
    </r>
    <phoneticPr fontId="6" type="noConversion"/>
  </si>
  <si>
    <r>
      <rPr>
        <sz val="12"/>
        <color theme="1"/>
        <rFont val="微軟正黑體"/>
        <family val="2"/>
        <charset val="136"/>
      </rPr>
      <t>無線基地台</t>
    </r>
    <r>
      <rPr>
        <sz val="12"/>
        <color theme="1"/>
        <rFont val="Calibri"/>
        <family val="2"/>
      </rPr>
      <t xml:space="preserve"> AX3000 WiFi 6 NWA90AX PRO</t>
    </r>
    <phoneticPr fontId="6" type="noConversion"/>
  </si>
  <si>
    <r>
      <t>24VDC</t>
    </r>
    <r>
      <rPr>
        <sz val="12"/>
        <color theme="1"/>
        <rFont val="微軟正黑體"/>
        <family val="2"/>
        <charset val="136"/>
      </rPr>
      <t>開關電源供應器</t>
    </r>
    <r>
      <rPr>
        <sz val="12"/>
        <color theme="1"/>
        <rFont val="Calibri"/>
        <family val="2"/>
      </rPr>
      <t xml:space="preserve"> S-50-24</t>
    </r>
    <phoneticPr fontId="6" type="noConversion"/>
  </si>
  <si>
    <r>
      <rPr>
        <sz val="12"/>
        <color theme="1"/>
        <rFont val="微軟正黑體"/>
        <family val="2"/>
        <charset val="136"/>
      </rPr>
      <t>網路攝影機</t>
    </r>
    <r>
      <rPr>
        <sz val="12"/>
        <color theme="1"/>
        <rFont val="Calibri"/>
        <family val="2"/>
      </rPr>
      <t xml:space="preserve"> 2MP PoE </t>
    </r>
    <r>
      <rPr>
        <sz val="12"/>
        <color theme="1"/>
        <rFont val="微軟正黑體"/>
        <family val="2"/>
        <charset val="136"/>
      </rPr>
      <t>紅外線防水型</t>
    </r>
    <r>
      <rPr>
        <sz val="12"/>
        <color theme="1"/>
        <rFont val="Calibri"/>
        <family val="2"/>
      </rPr>
      <t xml:space="preserve"> </t>
    </r>
    <r>
      <rPr>
        <sz val="12"/>
        <color theme="1"/>
        <rFont val="微軟正黑體"/>
        <family val="2"/>
        <charset val="136"/>
      </rPr>
      <t>內建</t>
    </r>
    <r>
      <rPr>
        <sz val="12"/>
        <color theme="1"/>
        <rFont val="Calibri"/>
        <family val="2"/>
      </rPr>
      <t>MIC</t>
    </r>
    <phoneticPr fontId="6" type="noConversion"/>
  </si>
  <si>
    <r>
      <rPr>
        <sz val="12"/>
        <color theme="1"/>
        <rFont val="微軟正黑體"/>
        <family val="2"/>
        <charset val="136"/>
      </rPr>
      <t>網路攝影機</t>
    </r>
    <r>
      <rPr>
        <sz val="12"/>
        <color theme="1"/>
        <rFont val="Calibri"/>
        <family val="2"/>
      </rPr>
      <t xml:space="preserve"> SMAX AP1</t>
    </r>
    <phoneticPr fontId="6" type="noConversion"/>
  </si>
  <si>
    <r>
      <rPr>
        <sz val="12"/>
        <color theme="1"/>
        <rFont val="微軟正黑體"/>
        <family val="2"/>
        <charset val="136"/>
      </rPr>
      <t>螢幕</t>
    </r>
    <r>
      <rPr>
        <sz val="12"/>
        <color theme="1"/>
        <rFont val="Calibri"/>
        <family val="2"/>
      </rPr>
      <t xml:space="preserve"> 27</t>
    </r>
    <r>
      <rPr>
        <sz val="12"/>
        <color theme="1"/>
        <rFont val="微軟正黑體"/>
        <family val="2"/>
        <charset val="136"/>
      </rPr>
      <t>吋</t>
    </r>
    <r>
      <rPr>
        <sz val="12"/>
        <color theme="1"/>
        <rFont val="Calibri"/>
        <family val="2"/>
      </rPr>
      <t xml:space="preserve">2K </t>
    </r>
    <r>
      <rPr>
        <sz val="12"/>
        <color theme="1"/>
        <rFont val="微軟正黑體"/>
        <family val="2"/>
        <charset val="136"/>
      </rPr>
      <t>電腦螢幕</t>
    </r>
    <r>
      <rPr>
        <sz val="12"/>
        <color theme="1"/>
        <rFont val="Calibri"/>
        <family val="2"/>
      </rPr>
      <t xml:space="preserve"> A27Qi 2026</t>
    </r>
    <phoneticPr fontId="6" type="noConversion"/>
  </si>
  <si>
    <r>
      <rPr>
        <sz val="12"/>
        <color theme="1"/>
        <rFont val="微軟正黑體"/>
        <family val="2"/>
        <charset val="136"/>
      </rPr>
      <t>螢幕</t>
    </r>
    <r>
      <rPr>
        <sz val="12"/>
        <color theme="1"/>
        <rFont val="Calibri"/>
        <family val="2"/>
      </rPr>
      <t xml:space="preserve"> 27</t>
    </r>
    <r>
      <rPr>
        <sz val="12"/>
        <color theme="1"/>
        <rFont val="微軟正黑體"/>
        <family val="2"/>
        <charset val="136"/>
      </rPr>
      <t>吋</t>
    </r>
    <r>
      <rPr>
        <sz val="12"/>
        <color theme="1"/>
        <rFont val="Calibri"/>
        <family val="2"/>
      </rPr>
      <t xml:space="preserve"> IPS</t>
    </r>
    <r>
      <rPr>
        <sz val="12"/>
        <color theme="1"/>
        <rFont val="微軟正黑體"/>
        <family val="2"/>
        <charset val="136"/>
      </rPr>
      <t>液晶顯示器</t>
    </r>
    <r>
      <rPr>
        <sz val="12"/>
        <color theme="1"/>
        <rFont val="Calibri"/>
        <family val="2"/>
      </rPr>
      <t xml:space="preserve"> 16:9  Acer EK271</t>
    </r>
    <phoneticPr fontId="6" type="noConversion"/>
  </si>
  <si>
    <r>
      <rPr>
        <sz val="12"/>
        <color theme="1"/>
        <rFont val="微軟正黑體"/>
        <family val="2"/>
        <charset val="136"/>
      </rPr>
      <t>螢幕</t>
    </r>
    <r>
      <rPr>
        <sz val="12"/>
        <color theme="1"/>
        <rFont val="Calibri"/>
        <family val="2"/>
      </rPr>
      <t xml:space="preserve"> 27</t>
    </r>
    <r>
      <rPr>
        <sz val="12"/>
        <color theme="1"/>
        <rFont val="微軟正黑體"/>
        <family val="2"/>
        <charset val="136"/>
      </rPr>
      <t>吋</t>
    </r>
    <r>
      <rPr>
        <sz val="12"/>
        <color theme="1"/>
        <rFont val="Calibri"/>
        <family val="2"/>
      </rPr>
      <t>2K</t>
    </r>
    <r>
      <rPr>
        <sz val="12"/>
        <color theme="1"/>
        <rFont val="微軟正黑體"/>
        <family val="2"/>
        <charset val="136"/>
      </rPr>
      <t>電競螢幕</t>
    </r>
    <r>
      <rPr>
        <sz val="12"/>
        <color theme="1"/>
        <rFont val="Calibri"/>
        <family val="2"/>
      </rPr>
      <t xml:space="preserve"> G27Qi IPS 2560x1440 180Hz HDMI/DP</t>
    </r>
    <phoneticPr fontId="6" type="noConversion"/>
  </si>
  <si>
    <r>
      <rPr>
        <sz val="12"/>
        <color theme="1"/>
        <rFont val="微軟正黑體"/>
        <family val="2"/>
        <charset val="136"/>
      </rPr>
      <t>話機</t>
    </r>
    <r>
      <rPr>
        <sz val="12"/>
        <color theme="1"/>
        <rFont val="Calibri"/>
        <family val="2"/>
      </rPr>
      <t xml:space="preserve"> Alcatel </t>
    </r>
    <r>
      <rPr>
        <sz val="12"/>
        <color theme="1"/>
        <rFont val="微軟正黑體"/>
        <family val="2"/>
        <charset val="136"/>
      </rPr>
      <t>類比話機</t>
    </r>
    <r>
      <rPr>
        <sz val="12"/>
        <color theme="1"/>
        <rFont val="Calibri"/>
        <family val="2"/>
      </rPr>
      <t xml:space="preserve"> 29438</t>
    </r>
    <phoneticPr fontId="6" type="noConversion"/>
  </si>
  <si>
    <r>
      <rPr>
        <sz val="12"/>
        <color theme="1"/>
        <rFont val="微軟正黑體"/>
        <family val="2"/>
        <charset val="136"/>
      </rPr>
      <t>話機</t>
    </r>
    <r>
      <rPr>
        <sz val="12"/>
        <color theme="1"/>
        <rFont val="Calibri"/>
        <family val="2"/>
      </rPr>
      <t xml:space="preserve"> </t>
    </r>
    <r>
      <rPr>
        <sz val="12"/>
        <color theme="1"/>
        <rFont val="微軟正黑體"/>
        <family val="2"/>
        <charset val="136"/>
      </rPr>
      <t>多美多話機</t>
    </r>
    <phoneticPr fontId="6" type="noConversion"/>
  </si>
  <si>
    <r>
      <rPr>
        <sz val="12"/>
        <color theme="1"/>
        <rFont val="微軟正黑體"/>
        <family val="2"/>
        <charset val="136"/>
      </rPr>
      <t>通訊轉換模組</t>
    </r>
    <r>
      <rPr>
        <sz val="12"/>
        <color theme="1"/>
        <rFont val="Calibri"/>
        <family val="2"/>
      </rPr>
      <t xml:space="preserve"> RS232/RS422/RS485 </t>
    </r>
    <r>
      <rPr>
        <sz val="12"/>
        <color theme="1"/>
        <rFont val="微軟正黑體"/>
        <family val="2"/>
        <charset val="136"/>
      </rPr>
      <t>光隔離轉換器</t>
    </r>
    <phoneticPr fontId="6" type="noConversion"/>
  </si>
  <si>
    <r>
      <rPr>
        <sz val="12"/>
        <color theme="1"/>
        <rFont val="微軟正黑體"/>
        <family val="2"/>
        <charset val="136"/>
      </rPr>
      <t>控制模組</t>
    </r>
    <r>
      <rPr>
        <sz val="12"/>
        <color theme="1"/>
        <rFont val="Calibri"/>
        <family val="2"/>
      </rPr>
      <t xml:space="preserve"> </t>
    </r>
    <r>
      <rPr>
        <sz val="12"/>
        <color theme="1"/>
        <rFont val="微軟正黑體"/>
        <family val="2"/>
        <charset val="136"/>
      </rPr>
      <t>數位</t>
    </r>
    <r>
      <rPr>
        <sz val="12"/>
        <color theme="1"/>
        <rFont val="Calibri"/>
        <family val="2"/>
      </rPr>
      <t>I/O</t>
    </r>
    <r>
      <rPr>
        <sz val="12"/>
        <color theme="1"/>
        <rFont val="微軟正黑體"/>
        <family val="2"/>
        <charset val="136"/>
      </rPr>
      <t>控制模組</t>
    </r>
    <r>
      <rPr>
        <sz val="12"/>
        <color theme="1"/>
        <rFont val="Calibri"/>
        <family val="2"/>
      </rPr>
      <t xml:space="preserve"> 7DI/8DO RS485 Modbus RTU</t>
    </r>
    <phoneticPr fontId="6" type="noConversion"/>
  </si>
  <si>
    <r>
      <rPr>
        <sz val="12"/>
        <color theme="1"/>
        <rFont val="微軟正黑體"/>
        <family val="2"/>
        <charset val="136"/>
      </rPr>
      <t>控制模組</t>
    </r>
    <r>
      <rPr>
        <sz val="12"/>
        <color theme="1"/>
        <rFont val="Calibri"/>
        <family val="2"/>
      </rPr>
      <t xml:space="preserve"> </t>
    </r>
    <r>
      <rPr>
        <sz val="12"/>
        <color theme="1"/>
        <rFont val="微軟正黑體"/>
        <family val="2"/>
        <charset val="136"/>
      </rPr>
      <t>數位</t>
    </r>
    <r>
      <rPr>
        <sz val="12"/>
        <color theme="1"/>
        <rFont val="Calibri"/>
        <family val="2"/>
      </rPr>
      <t>I/O</t>
    </r>
    <r>
      <rPr>
        <sz val="12"/>
        <color theme="1"/>
        <rFont val="微軟正黑體"/>
        <family val="2"/>
        <charset val="136"/>
      </rPr>
      <t>控制模組</t>
    </r>
    <r>
      <rPr>
        <sz val="12"/>
        <color theme="1"/>
        <rFont val="Calibri"/>
        <family val="2"/>
      </rPr>
      <t xml:space="preserve"> 16DI</t>
    </r>
    <phoneticPr fontId="6" type="noConversion"/>
  </si>
  <si>
    <r>
      <rPr>
        <sz val="12"/>
        <color theme="1"/>
        <rFont val="微軟正黑體"/>
        <family val="2"/>
        <charset val="136"/>
      </rPr>
      <t>控制模組</t>
    </r>
    <r>
      <rPr>
        <sz val="12"/>
        <color theme="1"/>
        <rFont val="Calibri"/>
        <family val="2"/>
      </rPr>
      <t xml:space="preserve"> </t>
    </r>
    <r>
      <rPr>
        <sz val="12"/>
        <color theme="1"/>
        <rFont val="微軟正黑體"/>
        <family val="2"/>
        <charset val="136"/>
      </rPr>
      <t>數位</t>
    </r>
    <r>
      <rPr>
        <sz val="12"/>
        <color theme="1"/>
        <rFont val="Calibri"/>
        <family val="2"/>
      </rPr>
      <t>I/O</t>
    </r>
    <r>
      <rPr>
        <sz val="12"/>
        <color theme="1"/>
        <rFont val="微軟正黑體"/>
        <family val="2"/>
        <charset val="136"/>
      </rPr>
      <t>控制模組</t>
    </r>
    <r>
      <rPr>
        <sz val="12"/>
        <color theme="1"/>
        <rFont val="Calibri"/>
        <family val="2"/>
      </rPr>
      <t xml:space="preserve"> 16DI </t>
    </r>
    <r>
      <rPr>
        <sz val="12"/>
        <color theme="1"/>
        <rFont val="微軟正黑體"/>
        <family val="2"/>
        <charset val="136"/>
      </rPr>
      <t>光隔離保護</t>
    </r>
    <r>
      <rPr>
        <sz val="12"/>
        <color theme="1"/>
        <rFont val="Calibri"/>
        <family val="2"/>
      </rPr>
      <t xml:space="preserve"> RS485 Modbus RTU LED</t>
    </r>
    <r>
      <rPr>
        <sz val="12"/>
        <color theme="1"/>
        <rFont val="微軟正黑體"/>
        <family val="2"/>
        <charset val="136"/>
      </rPr>
      <t>顯示</t>
    </r>
    <phoneticPr fontId="6" type="noConversion"/>
  </si>
  <si>
    <r>
      <rPr>
        <sz val="12"/>
        <color theme="1"/>
        <rFont val="微軟正黑體"/>
        <family val="2"/>
        <charset val="136"/>
      </rPr>
      <t>工業資料收集器</t>
    </r>
    <r>
      <rPr>
        <sz val="12"/>
        <color theme="1"/>
        <rFont val="Calibri"/>
        <family val="2"/>
      </rPr>
      <t xml:space="preserve"> ECU-1251</t>
    </r>
    <phoneticPr fontId="6" type="noConversion"/>
  </si>
  <si>
    <r>
      <t>31</t>
    </r>
    <r>
      <rPr>
        <sz val="12"/>
        <color theme="1"/>
        <rFont val="微軟正黑體"/>
        <family val="2"/>
        <charset val="136"/>
      </rPr>
      <t>合</t>
    </r>
    <r>
      <rPr>
        <sz val="12"/>
        <color theme="1"/>
        <rFont val="Calibri"/>
        <family val="2"/>
      </rPr>
      <t>1</t>
    </r>
    <r>
      <rPr>
        <sz val="12"/>
        <color theme="1"/>
        <rFont val="微軟正黑體"/>
        <family val="2"/>
        <charset val="136"/>
      </rPr>
      <t>電子維修起子組</t>
    </r>
    <phoneticPr fontId="6" type="noConversion"/>
  </si>
  <si>
    <r>
      <rPr>
        <sz val="12"/>
        <color theme="1"/>
        <rFont val="微軟正黑體"/>
        <family val="2"/>
        <charset val="136"/>
      </rPr>
      <t>裸端子棘輪壓接鉗</t>
    </r>
    <r>
      <rPr>
        <sz val="12"/>
        <color theme="1"/>
        <rFont val="Calibri"/>
        <family val="2"/>
      </rPr>
      <t xml:space="preserve"> YI-202</t>
    </r>
    <phoneticPr fontId="6" type="noConversion"/>
  </si>
  <si>
    <r>
      <rPr>
        <sz val="12"/>
        <color theme="1"/>
        <rFont val="微軟正黑體"/>
        <family val="2"/>
        <charset val="136"/>
      </rPr>
      <t>防靜電工作外套</t>
    </r>
    <phoneticPr fontId="6" type="noConversion"/>
  </si>
  <si>
    <r>
      <rPr>
        <sz val="12"/>
        <color theme="1"/>
        <rFont val="微軟正黑體"/>
        <family val="2"/>
        <charset val="136"/>
      </rPr>
      <t>防靜電工作褲</t>
    </r>
    <phoneticPr fontId="6" type="noConversion"/>
  </si>
  <si>
    <r>
      <rPr>
        <sz val="12"/>
        <color theme="1"/>
        <rFont val="微軟正黑體"/>
        <family val="2"/>
        <charset val="136"/>
      </rPr>
      <t>防靜電浴帽</t>
    </r>
    <phoneticPr fontId="6" type="noConversion"/>
  </si>
  <si>
    <r>
      <rPr>
        <sz val="12"/>
        <color theme="1"/>
        <rFont val="微軟正黑體"/>
        <family val="2"/>
        <charset val="136"/>
      </rPr>
      <t>鍵盤滑鼠組</t>
    </r>
    <r>
      <rPr>
        <sz val="12"/>
        <color theme="1"/>
        <rFont val="Calibri"/>
        <family val="2"/>
      </rPr>
      <t xml:space="preserve"> Media Combo</t>
    </r>
    <phoneticPr fontId="6" type="noConversion"/>
  </si>
  <si>
    <t>C3</t>
    <phoneticPr fontId="6" type="noConversion"/>
  </si>
  <si>
    <t>C4</t>
    <phoneticPr fontId="6" type="noConversion"/>
  </si>
  <si>
    <t>B3</t>
    <phoneticPr fontId="6" type="noConversion"/>
  </si>
  <si>
    <t>A20</t>
    <phoneticPr fontId="6" type="noConversion"/>
  </si>
  <si>
    <t>A17</t>
    <phoneticPr fontId="6" type="noConversion"/>
  </si>
  <si>
    <t>A03</t>
    <phoneticPr fontId="6" type="noConversion"/>
  </si>
  <si>
    <t>A16</t>
    <phoneticPr fontId="6" type="noConversion"/>
  </si>
  <si>
    <t>A01</t>
    <phoneticPr fontId="6" type="noConversion"/>
  </si>
  <si>
    <t>A02</t>
    <phoneticPr fontId="6" type="noConversion"/>
  </si>
  <si>
    <t>C7</t>
    <phoneticPr fontId="6" type="noConversion"/>
  </si>
  <si>
    <t>B2</t>
    <phoneticPr fontId="6" type="noConversion"/>
  </si>
  <si>
    <t>B3*9+B4*9+B5*7</t>
    <phoneticPr fontId="6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</si>
</sst>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76" formatCode="#,##0_);[Red]\(#,##0\)"/>
    <numFmt numFmtId="177" formatCode="0.00_);[Red]\(0.00\)"/>
    <numFmt numFmtId="178" formatCode="0_);[Red]\(0\)"/>
  </numFmts>
  <fonts count="26">
    <font>
      <sz val="12"/>
      <color theme="1"/>
      <name val="新細明體"/>
      <family val="1"/>
      <charset val="136"/>
      <scheme val="minor"/>
    </font>
    <font>
      <sz val="12"/>
      <color theme="1"/>
      <name val="微軟正黑體"/>
      <family val="2"/>
      <charset val="136"/>
    </font>
    <font>
      <sz val="9"/>
      <name val="新細明體"/>
      <family val="1"/>
      <charset val="136"/>
    </font>
    <font>
      <b/>
      <sz val="12"/>
      <color theme="1"/>
      <name val="微軟正黑體"/>
      <family val="2"/>
      <charset val="136"/>
    </font>
    <font>
      <sz val="12"/>
      <color theme="1"/>
      <name val="Calibri"/>
      <family val="2"/>
    </font>
    <font>
      <b/>
      <sz val="12"/>
      <color theme="1"/>
      <name val="Calibri"/>
      <family val="2"/>
    </font>
    <font>
      <sz val="9"/>
      <name val="新細明體"/>
      <family val="1"/>
      <charset val="136"/>
      <scheme val="minor"/>
    </font>
    <font>
      <b/>
      <u/>
      <sz val="12"/>
      <color theme="1"/>
      <name val="Calibri"/>
      <family val="2"/>
    </font>
    <font>
      <b/>
      <u/>
      <sz val="12"/>
      <color rgb="FFFF0000"/>
      <name val="Calibri"/>
      <family val="2"/>
    </font>
    <font>
      <b/>
      <sz val="12"/>
      <color rgb="FF00B050"/>
      <name val="Calibri"/>
      <family val="2"/>
    </font>
    <font>
      <b/>
      <sz val="12"/>
      <color rgb="FFFF0000"/>
      <name val="Calibri"/>
      <family val="2"/>
    </font>
    <font>
      <b/>
      <u/>
      <sz val="12"/>
      <color theme="7"/>
      <name val="Calibri"/>
      <family val="2"/>
    </font>
    <font>
      <b/>
      <u/>
      <sz val="14"/>
      <color theme="1"/>
      <name val="Calibri"/>
      <family val="2"/>
    </font>
    <font>
      <b/>
      <u/>
      <sz val="14"/>
      <color theme="1"/>
      <name val="微軟正黑體"/>
      <family val="2"/>
      <charset val="136"/>
    </font>
    <font>
      <b/>
      <sz val="12"/>
      <color theme="7"/>
      <name val="Calibri"/>
      <family val="2"/>
    </font>
    <font>
      <sz val="12"/>
      <color rgb="FFFF0000"/>
      <name val="Calibri"/>
      <family val="2"/>
    </font>
    <font>
      <sz val="11"/>
      <color theme="1"/>
      <name val="新細明體"/>
      <family val="2"/>
      <scheme val="minor"/>
    </font>
    <font>
      <sz val="12"/>
      <color rgb="FFFF0000"/>
      <name val="微軟正黑體"/>
      <family val="2"/>
      <charset val="136"/>
    </font>
    <font>
      <sz val="12"/>
      <color indexed="8"/>
      <name val="微軟正黑體"/>
      <family val="2"/>
      <charset val="136"/>
    </font>
    <font>
      <sz val="12"/>
      <color indexed="8"/>
      <name val="Calibri"/>
      <family val="2"/>
    </font>
    <font>
      <b/>
      <sz val="18"/>
      <color theme="1"/>
      <name val="Calibri"/>
      <family val="2"/>
    </font>
    <font>
      <sz val="12"/>
      <color theme="1"/>
      <name val="Calibri"/>
      <family val="2"/>
      <charset val="136"/>
    </font>
    <font>
      <sz val="12"/>
      <color theme="1"/>
      <name val="細明體"/>
      <family val="2"/>
      <charset val="136"/>
    </font>
    <font>
      <b/>
      <sz val="12"/>
      <color theme="1"/>
      <name val="Microsoft JhengHei"/>
      <family val="2"/>
      <charset val="136"/>
    </font>
    <font>
      <sz val="12"/>
      <color theme="1"/>
      <name val="Microsoft JhengHei"/>
      <family val="2"/>
    </font>
    <font>
      <sz val="12"/>
      <color theme="1"/>
      <name val="Microsoft JhengHei"/>
      <family val="2"/>
      <charset val="136"/>
    </font>
  </fonts>
  <fills count="11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8" tint="0.59999389629810485"/>
        <bgColor indexed="64"/>
      </patternFill>
    </fill>
  </fills>
  <borders count="4">
    <border>
      <left/>
      <right/>
      <top/>
      <bottom/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/>
      <diagonal/>
    </border>
    <border>
      <left style="hair">
        <color indexed="64"/>
      </left>
      <right style="hair">
        <color indexed="64"/>
      </right>
      <top/>
      <bottom style="hair">
        <color indexed="64"/>
      </bottom>
      <diagonal/>
    </border>
  </borders>
  <cellStyleXfs count="2">
    <xf numFmtId="0" fontId="0" fillId="0" borderId="0">
      <alignment vertical="center"/>
    </xf>
    <xf numFmtId="0" fontId="16" fillId="0" borderId="0"/>
  </cellStyleXfs>
  <cellXfs count="134">
    <xf numFmtId="0" fontId="0" fillId="0" borderId="0" xfId="0">
      <alignment vertical="center"/>
    </xf>
    <xf numFmtId="176" fontId="5" fillId="5" borderId="1" xfId="0" applyNumberFormat="1" applyFont="1" applyFill="1" applyBorder="1" applyAlignment="1">
      <alignment horizontal="center" vertical="center" wrapText="1"/>
    </xf>
    <xf numFmtId="176" fontId="5" fillId="3" borderId="1" xfId="0" applyNumberFormat="1" applyFont="1" applyFill="1" applyBorder="1" applyAlignment="1">
      <alignment horizontal="center" vertical="center" wrapText="1"/>
    </xf>
    <xf numFmtId="176" fontId="5" fillId="4" borderId="1" xfId="0" applyNumberFormat="1" applyFont="1" applyFill="1" applyBorder="1" applyAlignment="1">
      <alignment horizontal="center" vertical="center" wrapText="1"/>
    </xf>
    <xf numFmtId="176" fontId="5" fillId="2" borderId="1" xfId="0" applyNumberFormat="1" applyFont="1" applyFill="1" applyBorder="1" applyAlignment="1">
      <alignment horizontal="center" vertical="center" wrapText="1"/>
    </xf>
    <xf numFmtId="176" fontId="5" fillId="2" borderId="1" xfId="0" applyNumberFormat="1" applyFont="1" applyFill="1" applyBorder="1" applyAlignment="1">
      <alignment horizontal="center" vertical="center" shrinkToFit="1"/>
    </xf>
    <xf numFmtId="14" fontId="4" fillId="0" borderId="1" xfId="0" applyNumberFormat="1" applyFont="1" applyBorder="1" applyAlignment="1">
      <alignment horizontal="center" vertical="center"/>
    </xf>
    <xf numFmtId="176" fontId="4" fillId="0" borderId="1" xfId="0" applyNumberFormat="1" applyFont="1" applyBorder="1" applyAlignment="1">
      <alignment horizontal="right" vertical="center"/>
    </xf>
    <xf numFmtId="14" fontId="5" fillId="3" borderId="1" xfId="0" applyNumberFormat="1" applyFont="1" applyFill="1" applyBorder="1" applyAlignment="1">
      <alignment horizontal="center" vertical="center" wrapText="1"/>
    </xf>
    <xf numFmtId="176" fontId="4" fillId="0" borderId="1" xfId="0" applyNumberFormat="1" applyFont="1" applyBorder="1" applyAlignment="1">
      <alignment horizontal="right" vertical="center" shrinkToFit="1"/>
    </xf>
    <xf numFmtId="176" fontId="4" fillId="0" borderId="1" xfId="0" applyNumberFormat="1" applyFont="1" applyBorder="1">
      <alignment vertical="center"/>
    </xf>
    <xf numFmtId="176" fontId="7" fillId="0" borderId="1" xfId="0" applyNumberFormat="1" applyFont="1" applyBorder="1" applyAlignment="1">
      <alignment horizontal="left" vertical="center"/>
    </xf>
    <xf numFmtId="176" fontId="7" fillId="0" borderId="1" xfId="0" applyNumberFormat="1" applyFont="1" applyBorder="1" applyAlignment="1">
      <alignment horizontal="right" vertical="center"/>
    </xf>
    <xf numFmtId="176" fontId="7" fillId="0" borderId="1" xfId="0" applyNumberFormat="1" applyFont="1" applyBorder="1">
      <alignment vertical="center"/>
    </xf>
    <xf numFmtId="176" fontId="4" fillId="0" borderId="1" xfId="0" applyNumberFormat="1" applyFont="1" applyBorder="1" applyAlignment="1">
      <alignment horizontal="left" vertical="center"/>
    </xf>
    <xf numFmtId="14" fontId="5" fillId="5" borderId="1" xfId="0" applyNumberFormat="1" applyFont="1" applyFill="1" applyBorder="1" applyAlignment="1">
      <alignment horizontal="center" vertical="center" wrapText="1"/>
    </xf>
    <xf numFmtId="14" fontId="7" fillId="0" borderId="1" xfId="0" applyNumberFormat="1" applyFont="1" applyBorder="1" applyAlignment="1">
      <alignment horizontal="center" vertical="center"/>
    </xf>
    <xf numFmtId="176" fontId="5" fillId="0" borderId="1" xfId="0" applyNumberFormat="1" applyFont="1" applyBorder="1" applyAlignment="1">
      <alignment vertical="center" wrapText="1"/>
    </xf>
    <xf numFmtId="176" fontId="8" fillId="0" borderId="0" xfId="0" applyNumberFormat="1" applyFont="1" applyAlignment="1">
      <alignment horizontal="left" vertical="center"/>
    </xf>
    <xf numFmtId="176" fontId="5" fillId="6" borderId="1" xfId="0" applyNumberFormat="1" applyFont="1" applyFill="1" applyBorder="1" applyAlignment="1">
      <alignment horizontal="center" vertical="center" wrapText="1"/>
    </xf>
    <xf numFmtId="176" fontId="7" fillId="0" borderId="1" xfId="0" applyNumberFormat="1" applyFont="1" applyBorder="1" applyAlignment="1">
      <alignment horizontal="center" vertical="center"/>
    </xf>
    <xf numFmtId="177" fontId="4" fillId="7" borderId="1" xfId="0" applyNumberFormat="1" applyFont="1" applyFill="1" applyBorder="1" applyAlignment="1">
      <alignment horizontal="left" vertical="center" wrapText="1"/>
    </xf>
    <xf numFmtId="176" fontId="4" fillId="7" borderId="1" xfId="0" applyNumberFormat="1" applyFont="1" applyFill="1" applyBorder="1" applyAlignment="1">
      <alignment horizontal="right" vertical="center" wrapText="1"/>
    </xf>
    <xf numFmtId="176" fontId="4" fillId="7" borderId="1" xfId="0" applyNumberFormat="1" applyFont="1" applyFill="1" applyBorder="1" applyAlignment="1">
      <alignment horizontal="right" vertical="center" shrinkToFit="1"/>
    </xf>
    <xf numFmtId="14" fontId="4" fillId="7" borderId="1" xfId="0" applyNumberFormat="1" applyFont="1" applyFill="1" applyBorder="1" applyAlignment="1">
      <alignment horizontal="center" vertical="center"/>
    </xf>
    <xf numFmtId="176" fontId="4" fillId="7" borderId="1" xfId="0" applyNumberFormat="1" applyFont="1" applyFill="1" applyBorder="1">
      <alignment vertical="center"/>
    </xf>
    <xf numFmtId="176" fontId="4" fillId="7" borderId="1" xfId="0" applyNumberFormat="1" applyFont="1" applyFill="1" applyBorder="1" applyAlignment="1">
      <alignment vertical="center" wrapText="1"/>
    </xf>
    <xf numFmtId="176" fontId="4" fillId="7" borderId="1" xfId="0" applyNumberFormat="1" applyFont="1" applyFill="1" applyBorder="1" applyAlignment="1">
      <alignment horizontal="left" vertical="center"/>
    </xf>
    <xf numFmtId="176" fontId="4" fillId="7" borderId="1" xfId="0" applyNumberFormat="1" applyFont="1" applyFill="1" applyBorder="1" applyAlignment="1">
      <alignment horizontal="right" vertical="center"/>
    </xf>
    <xf numFmtId="177" fontId="4" fillId="7" borderId="1" xfId="0" applyNumberFormat="1" applyFont="1" applyFill="1" applyBorder="1" applyAlignment="1">
      <alignment horizontal="left" vertical="center"/>
    </xf>
    <xf numFmtId="177" fontId="4" fillId="7" borderId="1" xfId="0" applyNumberFormat="1" applyFont="1" applyFill="1" applyBorder="1">
      <alignment vertical="center"/>
    </xf>
    <xf numFmtId="14" fontId="4" fillId="7" borderId="1" xfId="0" applyNumberFormat="1" applyFont="1" applyFill="1" applyBorder="1" applyAlignment="1">
      <alignment horizontal="center" vertical="center" wrapText="1"/>
    </xf>
    <xf numFmtId="177" fontId="4" fillId="7" borderId="1" xfId="0" applyNumberFormat="1" applyFont="1" applyFill="1" applyBorder="1" applyAlignment="1">
      <alignment horizontal="center" vertical="center" wrapText="1"/>
    </xf>
    <xf numFmtId="176" fontId="11" fillId="0" borderId="0" xfId="0" applyNumberFormat="1" applyFont="1" applyAlignment="1">
      <alignment horizontal="right" vertical="center"/>
    </xf>
    <xf numFmtId="176" fontId="11" fillId="0" borderId="1" xfId="0" applyNumberFormat="1" applyFont="1" applyBorder="1" applyAlignment="1">
      <alignment horizontal="right" vertical="center"/>
    </xf>
    <xf numFmtId="176" fontId="12" fillId="0" borderId="1" xfId="0" applyNumberFormat="1" applyFont="1" applyBorder="1" applyAlignment="1">
      <alignment horizontal="left" vertical="center"/>
    </xf>
    <xf numFmtId="177" fontId="9" fillId="7" borderId="1" xfId="0" applyNumberFormat="1" applyFont="1" applyFill="1" applyBorder="1" applyAlignment="1">
      <alignment horizontal="left" vertical="center" wrapText="1"/>
    </xf>
    <xf numFmtId="176" fontId="8" fillId="0" borderId="0" xfId="0" applyNumberFormat="1" applyFont="1" applyAlignment="1">
      <alignment horizontal="center" vertical="center"/>
    </xf>
    <xf numFmtId="176" fontId="4" fillId="0" borderId="1" xfId="0" applyNumberFormat="1" applyFont="1" applyBorder="1" applyAlignment="1">
      <alignment horizontal="center" vertical="center"/>
    </xf>
    <xf numFmtId="176" fontId="5" fillId="2" borderId="1" xfId="0" applyNumberFormat="1" applyFont="1" applyFill="1" applyBorder="1" applyAlignment="1">
      <alignment horizontal="center" vertical="center"/>
    </xf>
    <xf numFmtId="176" fontId="10" fillId="7" borderId="1" xfId="0" applyNumberFormat="1" applyFont="1" applyFill="1" applyBorder="1" applyAlignment="1">
      <alignment horizontal="left" vertical="center"/>
    </xf>
    <xf numFmtId="176" fontId="9" fillId="7" borderId="1" xfId="0" applyNumberFormat="1" applyFont="1" applyFill="1" applyBorder="1" applyAlignment="1">
      <alignment horizontal="left" vertical="center"/>
    </xf>
    <xf numFmtId="177" fontId="4" fillId="7" borderId="0" xfId="0" applyNumberFormat="1" applyFont="1" applyFill="1" applyAlignment="1">
      <alignment horizontal="left" vertical="center" wrapText="1"/>
    </xf>
    <xf numFmtId="178" fontId="5" fillId="2" borderId="1" xfId="0" applyNumberFormat="1" applyFont="1" applyFill="1" applyBorder="1" applyAlignment="1">
      <alignment horizontal="center" vertical="center" wrapText="1"/>
    </xf>
    <xf numFmtId="176" fontId="14" fillId="7" borderId="1" xfId="0" applyNumberFormat="1" applyFont="1" applyFill="1" applyBorder="1" applyAlignment="1">
      <alignment horizontal="left" vertical="center"/>
    </xf>
    <xf numFmtId="178" fontId="8" fillId="0" borderId="0" xfId="0" applyNumberFormat="1" applyFont="1" applyAlignment="1">
      <alignment horizontal="center" vertical="center"/>
    </xf>
    <xf numFmtId="178" fontId="4" fillId="7" borderId="1" xfId="0" applyNumberFormat="1" applyFont="1" applyFill="1" applyBorder="1" applyAlignment="1">
      <alignment horizontal="center" vertical="center"/>
    </xf>
    <xf numFmtId="177" fontId="4" fillId="7" borderId="1" xfId="0" applyNumberFormat="1" applyFont="1" applyFill="1" applyBorder="1" applyAlignment="1">
      <alignment horizontal="center" vertical="center"/>
    </xf>
    <xf numFmtId="177" fontId="4" fillId="5" borderId="1" xfId="0" applyNumberFormat="1" applyFont="1" applyFill="1" applyBorder="1" applyAlignment="1">
      <alignment horizontal="left" vertical="center"/>
    </xf>
    <xf numFmtId="176" fontId="4" fillId="5" borderId="1" xfId="0" applyNumberFormat="1" applyFont="1" applyFill="1" applyBorder="1" applyAlignment="1">
      <alignment horizontal="right" vertical="center"/>
    </xf>
    <xf numFmtId="176" fontId="4" fillId="5" borderId="1" xfId="0" applyNumberFormat="1" applyFont="1" applyFill="1" applyBorder="1" applyAlignment="1">
      <alignment horizontal="right" vertical="center" shrinkToFit="1"/>
    </xf>
    <xf numFmtId="14" fontId="4" fillId="5" borderId="1" xfId="0" applyNumberFormat="1" applyFont="1" applyFill="1" applyBorder="1" applyAlignment="1">
      <alignment horizontal="center" vertical="center"/>
    </xf>
    <xf numFmtId="176" fontId="4" fillId="5" borderId="1" xfId="0" applyNumberFormat="1" applyFont="1" applyFill="1" applyBorder="1" applyAlignment="1">
      <alignment horizontal="right" vertical="center" wrapText="1"/>
    </xf>
    <xf numFmtId="176" fontId="4" fillId="5" borderId="1" xfId="0" applyNumberFormat="1" applyFont="1" applyFill="1" applyBorder="1">
      <alignment vertical="center"/>
    </xf>
    <xf numFmtId="176" fontId="4" fillId="5" borderId="1" xfId="0" applyNumberFormat="1" applyFont="1" applyFill="1" applyBorder="1" applyAlignment="1">
      <alignment vertical="center" wrapText="1"/>
    </xf>
    <xf numFmtId="177" fontId="4" fillId="5" borderId="1" xfId="0" applyNumberFormat="1" applyFont="1" applyFill="1" applyBorder="1" applyAlignment="1">
      <alignment horizontal="center" vertical="center" wrapText="1"/>
    </xf>
    <xf numFmtId="178" fontId="4" fillId="5" borderId="1" xfId="0" applyNumberFormat="1" applyFont="1" applyFill="1" applyBorder="1" applyAlignment="1">
      <alignment horizontal="center" vertical="center"/>
    </xf>
    <xf numFmtId="177" fontId="4" fillId="5" borderId="1" xfId="0" applyNumberFormat="1" applyFont="1" applyFill="1" applyBorder="1" applyAlignment="1">
      <alignment horizontal="center" vertical="center"/>
    </xf>
    <xf numFmtId="177" fontId="4" fillId="5" borderId="1" xfId="0" applyNumberFormat="1" applyFont="1" applyFill="1" applyBorder="1" applyAlignment="1">
      <alignment horizontal="left" vertical="center" wrapText="1"/>
    </xf>
    <xf numFmtId="177" fontId="4" fillId="8" borderId="1" xfId="0" applyNumberFormat="1" applyFont="1" applyFill="1" applyBorder="1" applyAlignment="1">
      <alignment horizontal="left" vertical="center"/>
    </xf>
    <xf numFmtId="176" fontId="4" fillId="8" borderId="1" xfId="0" applyNumberFormat="1" applyFont="1" applyFill="1" applyBorder="1" applyAlignment="1">
      <alignment horizontal="right" vertical="center"/>
    </xf>
    <xf numFmtId="176" fontId="4" fillId="8" borderId="1" xfId="0" applyNumberFormat="1" applyFont="1" applyFill="1" applyBorder="1" applyAlignment="1">
      <alignment horizontal="right" vertical="center" shrinkToFit="1"/>
    </xf>
    <xf numFmtId="14" fontId="4" fillId="8" borderId="1" xfId="0" applyNumberFormat="1" applyFont="1" applyFill="1" applyBorder="1" applyAlignment="1">
      <alignment horizontal="center" vertical="center"/>
    </xf>
    <xf numFmtId="176" fontId="4" fillId="8" borderId="1" xfId="0" applyNumberFormat="1" applyFont="1" applyFill="1" applyBorder="1" applyAlignment="1">
      <alignment horizontal="right" vertical="center" wrapText="1"/>
    </xf>
    <xf numFmtId="176" fontId="4" fillId="8" borderId="1" xfId="0" applyNumberFormat="1" applyFont="1" applyFill="1" applyBorder="1">
      <alignment vertical="center"/>
    </xf>
    <xf numFmtId="176" fontId="4" fillId="8" borderId="1" xfId="0" applyNumberFormat="1" applyFont="1" applyFill="1" applyBorder="1" applyAlignment="1">
      <alignment vertical="center" wrapText="1"/>
    </xf>
    <xf numFmtId="177" fontId="4" fillId="8" borderId="1" xfId="0" applyNumberFormat="1" applyFont="1" applyFill="1" applyBorder="1" applyAlignment="1">
      <alignment horizontal="center" vertical="center" wrapText="1"/>
    </xf>
    <xf numFmtId="178" fontId="4" fillId="8" borderId="1" xfId="0" applyNumberFormat="1" applyFont="1" applyFill="1" applyBorder="1" applyAlignment="1">
      <alignment horizontal="center" vertical="center"/>
    </xf>
    <xf numFmtId="177" fontId="4" fillId="8" borderId="1" xfId="0" applyNumberFormat="1" applyFont="1" applyFill="1" applyBorder="1" applyAlignment="1">
      <alignment horizontal="center" vertical="center"/>
    </xf>
    <xf numFmtId="177" fontId="4" fillId="8" borderId="1" xfId="0" applyNumberFormat="1" applyFont="1" applyFill="1" applyBorder="1" applyAlignment="1">
      <alignment horizontal="left" vertical="center" wrapText="1"/>
    </xf>
    <xf numFmtId="178" fontId="4" fillId="7" borderId="1" xfId="0" applyNumberFormat="1" applyFont="1" applyFill="1" applyBorder="1" applyAlignment="1">
      <alignment horizontal="center" vertical="center" wrapText="1"/>
    </xf>
    <xf numFmtId="14" fontId="4" fillId="8" borderId="1" xfId="0" applyNumberFormat="1" applyFont="1" applyFill="1" applyBorder="1" applyAlignment="1">
      <alignment horizontal="center" vertical="center" wrapText="1"/>
    </xf>
    <xf numFmtId="178" fontId="4" fillId="8" borderId="1" xfId="0" applyNumberFormat="1" applyFont="1" applyFill="1" applyBorder="1" applyAlignment="1">
      <alignment horizontal="center" vertical="center" wrapText="1"/>
    </xf>
    <xf numFmtId="176" fontId="4" fillId="7" borderId="1" xfId="0" applyNumberFormat="1" applyFont="1" applyFill="1" applyBorder="1" applyAlignment="1">
      <alignment horizontal="center" vertical="center"/>
    </xf>
    <xf numFmtId="177" fontId="4" fillId="8" borderId="1" xfId="0" quotePrefix="1" applyNumberFormat="1" applyFont="1" applyFill="1" applyBorder="1">
      <alignment vertical="center"/>
    </xf>
    <xf numFmtId="178" fontId="20" fillId="8" borderId="1" xfId="0" applyNumberFormat="1" applyFont="1" applyFill="1" applyBorder="1" applyAlignment="1">
      <alignment horizontal="center" vertical="center"/>
    </xf>
    <xf numFmtId="177" fontId="5" fillId="7" borderId="1" xfId="0" applyNumberFormat="1" applyFont="1" applyFill="1" applyBorder="1" applyAlignment="1">
      <alignment horizontal="left" vertical="center" wrapText="1"/>
    </xf>
    <xf numFmtId="176" fontId="4" fillId="8" borderId="1" xfId="0" applyNumberFormat="1" applyFont="1" applyFill="1" applyBorder="1" applyAlignment="1">
      <alignment horizontal="left" vertical="center"/>
    </xf>
    <xf numFmtId="176" fontId="9" fillId="8" borderId="1" xfId="0" applyNumberFormat="1" applyFont="1" applyFill="1" applyBorder="1" applyAlignment="1">
      <alignment horizontal="left" vertical="center" wrapText="1"/>
    </xf>
    <xf numFmtId="177" fontId="4" fillId="5" borderId="1" xfId="0" quotePrefix="1" applyNumberFormat="1" applyFont="1" applyFill="1" applyBorder="1" applyAlignment="1">
      <alignment horizontal="left" vertical="center" wrapText="1"/>
    </xf>
    <xf numFmtId="176" fontId="4" fillId="5" borderId="1" xfId="0" applyNumberFormat="1" applyFont="1" applyFill="1" applyBorder="1" applyAlignment="1">
      <alignment horizontal="left" vertical="center"/>
    </xf>
    <xf numFmtId="176" fontId="4" fillId="5" borderId="1" xfId="0" applyNumberFormat="1" applyFont="1" applyFill="1" applyBorder="1" applyAlignment="1">
      <alignment horizontal="center" vertical="center"/>
    </xf>
    <xf numFmtId="176" fontId="4" fillId="5" borderId="1" xfId="0" quotePrefix="1" applyNumberFormat="1" applyFont="1" applyFill="1" applyBorder="1" applyAlignment="1">
      <alignment horizontal="left" vertical="center"/>
    </xf>
    <xf numFmtId="14" fontId="4" fillId="5" borderId="1" xfId="0" applyNumberFormat="1" applyFont="1" applyFill="1" applyBorder="1" applyAlignment="1">
      <alignment horizontal="center" vertical="center" wrapText="1"/>
    </xf>
    <xf numFmtId="177" fontId="10" fillId="7" borderId="1" xfId="0" applyNumberFormat="1" applyFont="1" applyFill="1" applyBorder="1" applyAlignment="1">
      <alignment horizontal="left" vertical="center" wrapText="1"/>
    </xf>
    <xf numFmtId="176" fontId="4" fillId="8" borderId="1" xfId="0" quotePrefix="1" applyNumberFormat="1" applyFont="1" applyFill="1" applyBorder="1" applyAlignment="1">
      <alignment horizontal="left" vertical="center"/>
    </xf>
    <xf numFmtId="177" fontId="4" fillId="9" borderId="1" xfId="0" applyNumberFormat="1" applyFont="1" applyFill="1" applyBorder="1" applyAlignment="1">
      <alignment horizontal="left" vertical="center"/>
    </xf>
    <xf numFmtId="176" fontId="4" fillId="9" borderId="1" xfId="0" applyNumberFormat="1" applyFont="1" applyFill="1" applyBorder="1" applyAlignment="1">
      <alignment horizontal="right" vertical="center"/>
    </xf>
    <xf numFmtId="176" fontId="4" fillId="9" borderId="1" xfId="0" applyNumberFormat="1" applyFont="1" applyFill="1" applyBorder="1" applyAlignment="1">
      <alignment horizontal="right" vertical="center" shrinkToFit="1"/>
    </xf>
    <xf numFmtId="14" fontId="4" fillId="9" borderId="1" xfId="0" applyNumberFormat="1" applyFont="1" applyFill="1" applyBorder="1" applyAlignment="1">
      <alignment horizontal="center" vertical="center"/>
    </xf>
    <xf numFmtId="176" fontId="4" fillId="9" borderId="1" xfId="0" applyNumberFormat="1" applyFont="1" applyFill="1" applyBorder="1" applyAlignment="1">
      <alignment horizontal="right" vertical="center" wrapText="1"/>
    </xf>
    <xf numFmtId="176" fontId="4" fillId="9" borderId="1" xfId="0" applyNumberFormat="1" applyFont="1" applyFill="1" applyBorder="1">
      <alignment vertical="center"/>
    </xf>
    <xf numFmtId="176" fontId="4" fillId="9" borderId="1" xfId="0" applyNumberFormat="1" applyFont="1" applyFill="1" applyBorder="1" applyAlignment="1">
      <alignment vertical="center" wrapText="1"/>
    </xf>
    <xf numFmtId="177" fontId="4" fillId="9" borderId="1" xfId="0" applyNumberFormat="1" applyFont="1" applyFill="1" applyBorder="1" applyAlignment="1">
      <alignment horizontal="center" vertical="center" wrapText="1"/>
    </xf>
    <xf numFmtId="178" fontId="4" fillId="9" borderId="1" xfId="0" applyNumberFormat="1" applyFont="1" applyFill="1" applyBorder="1" applyAlignment="1">
      <alignment horizontal="center" vertical="center" wrapText="1"/>
    </xf>
    <xf numFmtId="177" fontId="4" fillId="9" borderId="1" xfId="0" applyNumberFormat="1" applyFont="1" applyFill="1" applyBorder="1" applyAlignment="1">
      <alignment horizontal="center" vertical="center"/>
    </xf>
    <xf numFmtId="177" fontId="4" fillId="9" borderId="1" xfId="0" applyNumberFormat="1" applyFont="1" applyFill="1" applyBorder="1" applyAlignment="1">
      <alignment horizontal="left" vertical="center" wrapText="1"/>
    </xf>
    <xf numFmtId="177" fontId="4" fillId="10" borderId="1" xfId="0" applyNumberFormat="1" applyFont="1" applyFill="1" applyBorder="1" applyAlignment="1">
      <alignment horizontal="left" vertical="center"/>
    </xf>
    <xf numFmtId="176" fontId="4" fillId="5" borderId="1" xfId="0" applyNumberFormat="1" applyFont="1" applyFill="1" applyBorder="1" applyAlignment="1">
      <alignment horizontal="center" vertical="center" shrinkToFit="1"/>
    </xf>
    <xf numFmtId="176" fontId="4" fillId="8" borderId="1" xfId="0" applyNumberFormat="1" applyFont="1" applyFill="1" applyBorder="1" applyAlignment="1">
      <alignment horizontal="center" vertical="center" shrinkToFit="1"/>
    </xf>
    <xf numFmtId="176" fontId="4" fillId="9" borderId="1" xfId="0" applyNumberFormat="1" applyFont="1" applyFill="1" applyBorder="1" applyAlignment="1">
      <alignment horizontal="center" vertical="center" shrinkToFit="1"/>
    </xf>
    <xf numFmtId="176" fontId="4" fillId="9" borderId="1" xfId="0" applyNumberFormat="1" applyFont="1" applyFill="1" applyBorder="1" applyAlignment="1">
      <alignment horizontal="center" vertical="center"/>
    </xf>
    <xf numFmtId="178" fontId="4" fillId="5" borderId="1" xfId="0" applyNumberFormat="1" applyFont="1" applyFill="1" applyBorder="1" applyAlignment="1">
      <alignment horizontal="center" vertical="center" wrapText="1"/>
    </xf>
    <xf numFmtId="176" fontId="4" fillId="8" borderId="1" xfId="0" applyNumberFormat="1" applyFont="1" applyFill="1" applyBorder="1" applyAlignment="1">
      <alignment horizontal="center" vertical="center"/>
    </xf>
    <xf numFmtId="176" fontId="4" fillId="9" borderId="1" xfId="0" applyNumberFormat="1" applyFont="1" applyFill="1" applyBorder="1" applyAlignment="1">
      <alignment horizontal="left" vertical="center"/>
    </xf>
    <xf numFmtId="14" fontId="4" fillId="9" borderId="1" xfId="0" applyNumberFormat="1" applyFont="1" applyFill="1" applyBorder="1" applyAlignment="1">
      <alignment horizontal="center" vertical="center" wrapText="1"/>
    </xf>
    <xf numFmtId="177" fontId="9" fillId="8" borderId="1" xfId="0" applyNumberFormat="1" applyFont="1" applyFill="1" applyBorder="1" applyAlignment="1">
      <alignment horizontal="left" vertical="center" wrapText="1"/>
    </xf>
    <xf numFmtId="177" fontId="21" fillId="5" borderId="1" xfId="0" applyNumberFormat="1" applyFont="1" applyFill="1" applyBorder="1" applyAlignment="1">
      <alignment horizontal="left" vertical="center" wrapText="1"/>
    </xf>
    <xf numFmtId="177" fontId="4" fillId="7" borderId="2" xfId="0" applyNumberFormat="1" applyFont="1" applyFill="1" applyBorder="1" applyAlignment="1">
      <alignment horizontal="center" vertical="center" wrapText="1"/>
    </xf>
    <xf numFmtId="178" fontId="4" fillId="7" borderId="2" xfId="0" applyNumberFormat="1" applyFont="1" applyFill="1" applyBorder="1" applyAlignment="1">
      <alignment horizontal="center" vertical="center" wrapText="1"/>
    </xf>
    <xf numFmtId="177" fontId="4" fillId="7" borderId="2" xfId="0" applyNumberFormat="1" applyFont="1" applyFill="1" applyBorder="1" applyAlignment="1">
      <alignment horizontal="left" vertical="center" wrapText="1"/>
    </xf>
    <xf numFmtId="176" fontId="4" fillId="7" borderId="3" xfId="0" applyNumberFormat="1" applyFont="1" applyFill="1" applyBorder="1" applyAlignment="1">
      <alignment horizontal="left" vertical="center"/>
    </xf>
    <xf numFmtId="178" fontId="4" fillId="7" borderId="3" xfId="0" applyNumberFormat="1" applyFont="1" applyFill="1" applyBorder="1" applyAlignment="1">
      <alignment horizontal="center" vertical="center"/>
    </xf>
    <xf numFmtId="176" fontId="4" fillId="7" borderId="3" xfId="0" applyNumberFormat="1" applyFont="1" applyFill="1" applyBorder="1" applyAlignment="1">
      <alignment horizontal="center" vertical="center"/>
    </xf>
    <xf numFmtId="176" fontId="4" fillId="8" borderId="1" xfId="0" quotePrefix="1" applyNumberFormat="1" applyFont="1" applyFill="1" applyBorder="1" applyAlignment="1">
      <alignment vertical="center" wrapText="1"/>
    </xf>
    <xf numFmtId="177" fontId="4" fillId="2" borderId="1" xfId="0" applyNumberFormat="1" applyFont="1" applyFill="1" applyBorder="1" applyAlignment="1">
      <alignment horizontal="left" vertical="center" wrapText="1"/>
    </xf>
    <xf numFmtId="176" fontId="4" fillId="2" borderId="1" xfId="0" applyNumberFormat="1" applyFont="1" applyFill="1" applyBorder="1" applyAlignment="1">
      <alignment horizontal="right" vertical="center"/>
    </xf>
    <xf numFmtId="176" fontId="4" fillId="2" borderId="1" xfId="0" applyNumberFormat="1" applyFont="1" applyFill="1" applyBorder="1" applyAlignment="1">
      <alignment horizontal="right" vertical="center" shrinkToFit="1"/>
    </xf>
    <xf numFmtId="14" fontId="4" fillId="2" borderId="1" xfId="0" applyNumberFormat="1" applyFont="1" applyFill="1" applyBorder="1" applyAlignment="1">
      <alignment horizontal="center" vertical="center" wrapText="1"/>
    </xf>
    <xf numFmtId="176" fontId="4" fillId="2" borderId="1" xfId="0" applyNumberFormat="1" applyFont="1" applyFill="1" applyBorder="1" applyAlignment="1">
      <alignment horizontal="right" vertical="center" wrapText="1"/>
    </xf>
    <xf numFmtId="176" fontId="4" fillId="2" borderId="1" xfId="0" applyNumberFormat="1" applyFont="1" applyFill="1" applyBorder="1">
      <alignment vertical="center"/>
    </xf>
    <xf numFmtId="176" fontId="4" fillId="2" borderId="1" xfId="0" applyNumberFormat="1" applyFont="1" applyFill="1" applyBorder="1" applyAlignment="1">
      <alignment vertical="center" wrapText="1"/>
    </xf>
    <xf numFmtId="177" fontId="4" fillId="2" borderId="1" xfId="0" applyNumberFormat="1" applyFont="1" applyFill="1" applyBorder="1" applyAlignment="1">
      <alignment horizontal="center" vertical="center" wrapText="1"/>
    </xf>
    <xf numFmtId="178" fontId="4" fillId="2" borderId="1" xfId="0" applyNumberFormat="1" applyFont="1" applyFill="1" applyBorder="1" applyAlignment="1">
      <alignment horizontal="center" vertical="center" wrapText="1"/>
    </xf>
    <xf numFmtId="177" fontId="15" fillId="7" borderId="1" xfId="0" applyNumberFormat="1" applyFont="1" applyFill="1" applyBorder="1" applyAlignment="1">
      <alignment horizontal="center" vertical="center" wrapText="1"/>
    </xf>
    <xf numFmtId="176" fontId="20" fillId="9" borderId="1" xfId="0" applyNumberFormat="1" applyFont="1" applyFill="1" applyBorder="1" applyAlignment="1">
      <alignment horizontal="center" vertical="center" shrinkToFit="1"/>
    </xf>
    <xf numFmtId="177" fontId="4" fillId="9" borderId="1" xfId="0" quotePrefix="1" applyNumberFormat="1" applyFont="1" applyFill="1" applyBorder="1" applyAlignment="1">
      <alignment vertical="center" wrapText="1"/>
    </xf>
    <xf numFmtId="176" fontId="21" fillId="5" borderId="1" xfId="0" applyNumberFormat="1" applyFont="1" applyFill="1" applyBorder="1" applyAlignment="1">
      <alignment horizontal="left" vertical="center"/>
    </xf>
    <xf numFmtId="176" fontId="4" fillId="7" borderId="1" xfId="0" quotePrefix="1" applyNumberFormat="1" applyFont="1" applyFill="1" applyBorder="1" applyAlignment="1">
      <alignment horizontal="right" vertical="center" shrinkToFit="1"/>
    </xf>
    <xf numFmtId="178" fontId="4" fillId="0" borderId="1" xfId="0" applyNumberFormat="1" applyFont="1" applyBorder="1" applyAlignment="1">
      <alignment horizontal="center" vertical="center"/>
    </xf>
    <xf numFmtId="176" fontId="23" fillId="2" borderId="1" xfId="0" applyNumberFormat="1" applyFont="1" applyFill="1" applyBorder="1" applyAlignment="1">
      <alignment horizontal="center" vertical="center" wrapText="1"/>
    </xf>
    <xf numFmtId="177" fontId="24" fillId="7" borderId="1" xfId="0" applyNumberFormat="1" applyFont="1" applyFill="1" applyBorder="1" applyAlignment="1">
      <alignment vertical="center" wrapText="1"/>
    </xf>
    <xf numFmtId="176" fontId="25" fillId="7" borderId="1" xfId="0" applyNumberFormat="1" applyFont="1" applyFill="1" applyBorder="1">
      <alignment vertical="center"/>
    </xf>
    <xf numFmtId="176" fontId="4" fillId="7" borderId="1" xfId="0" applyNumberFormat="1" applyFont="1" applyFill="1" applyBorder="1" applyAlignment="1">
      <alignment horizontal="center" vertical="center" wrapText="1"/>
    </xf>
  </cellXfs>
  <cellStyles count="2">
    <cellStyle name="Normal" xfId="1" xr:uid="{1E71A85E-0087-428D-94B5-951AF1A222FA}"/>
    <cellStyle name="一般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FDA4FF-D95E-4D7B-BB5F-7E001EEF4EAB}">
  <sheetPr>
    <pageSetUpPr fitToPage="1"/>
  </sheetPr>
  <dimension ref="A1:AE438"/>
  <sheetViews>
    <sheetView tabSelected="1" topLeftCell="A3" zoomScaleNormal="100" workbookViewId="0">
      <selection activeCell="A274" sqref="A274"/>
    </sheetView>
  </sheetViews>
  <sheetFormatPr defaultRowHeight="21" customHeight="1"/>
  <cols>
    <col min="1" max="1" width="9" style="10"/>
    <col min="2" max="2" width="25.625" style="14" customWidth="1"/>
    <col min="3" max="3" width="34.375" style="14" customWidth="1"/>
    <col min="4" max="4" width="7.625" style="7" bestFit="1" customWidth="1"/>
    <col min="5" max="5" width="10.125" style="9" hidden="1" customWidth="1"/>
    <col min="6" max="6" width="10.125" style="9" bestFit="1" customWidth="1"/>
    <col min="7" max="7" width="6.625" style="9" bestFit="1" customWidth="1"/>
    <col min="8" max="8" width="5.5" style="9" bestFit="1" customWidth="1"/>
    <col min="9" max="9" width="12.125" style="6" hidden="1" customWidth="1"/>
    <col min="10" max="11" width="10" style="7" hidden="1" customWidth="1"/>
    <col min="12" max="12" width="12.125" style="6" hidden="1" customWidth="1"/>
    <col min="13" max="18" width="10" style="10" hidden="1" customWidth="1"/>
    <col min="19" max="19" width="10.125" style="10" hidden="1" customWidth="1"/>
    <col min="20" max="20" width="11.125" style="10" hidden="1" customWidth="1"/>
    <col min="21" max="21" width="22.25" style="14" hidden="1" customWidth="1"/>
    <col min="22" max="22" width="9.5" style="14" bestFit="1" customWidth="1"/>
    <col min="23" max="23" width="5.5" style="129" bestFit="1" customWidth="1"/>
    <col min="24" max="24" width="11" style="38" bestFit="1" customWidth="1"/>
    <col min="25" max="25" width="26.5" style="14" bestFit="1" customWidth="1"/>
    <col min="26" max="26" width="6" style="14" hidden="1" customWidth="1"/>
    <col min="27" max="27" width="19.875" style="14" customWidth="1"/>
    <col min="28" max="28" width="8.5" style="10" bestFit="1" customWidth="1"/>
    <col min="29" max="29" width="8.625" style="10" bestFit="1" customWidth="1"/>
    <col min="30" max="30" width="13.875" style="10" customWidth="1"/>
    <col min="31" max="16384" width="9" style="10"/>
  </cols>
  <sheetData>
    <row r="1" spans="1:30" ht="18.75" hidden="1">
      <c r="B1" s="35" t="s">
        <v>482</v>
      </c>
      <c r="C1" s="11"/>
      <c r="D1" s="44"/>
      <c r="E1" s="11"/>
      <c r="F1" s="11"/>
      <c r="G1" s="11"/>
      <c r="H1" s="11"/>
      <c r="I1" s="11"/>
      <c r="J1" s="11"/>
      <c r="K1" s="11"/>
      <c r="L1" s="20"/>
      <c r="M1" s="12"/>
      <c r="N1" s="12"/>
      <c r="O1" s="12"/>
      <c r="P1" s="12"/>
      <c r="Q1" s="11"/>
      <c r="R1" s="11"/>
      <c r="S1" s="20"/>
      <c r="T1" s="20"/>
      <c r="U1" s="18"/>
      <c r="V1" s="18"/>
      <c r="W1" s="45"/>
      <c r="X1" s="37"/>
      <c r="Y1" s="18"/>
      <c r="Z1" s="34"/>
      <c r="AA1" s="34"/>
    </row>
    <row r="2" spans="1:30" s="7" customFormat="1" ht="15.75" hidden="1">
      <c r="B2" s="14"/>
      <c r="C2" s="12"/>
      <c r="D2" s="12">
        <f>SUM(D4:D507)</f>
        <v>15185</v>
      </c>
      <c r="E2" s="12"/>
      <c r="F2" s="12">
        <f>SUM(F4:F507)</f>
        <v>6830578</v>
      </c>
      <c r="G2" s="12">
        <f>SUM(G4:G507)</f>
        <v>1368</v>
      </c>
      <c r="H2" s="12">
        <f>SUM(H4:H507)</f>
        <v>119</v>
      </c>
      <c r="I2" s="16"/>
      <c r="J2" s="12">
        <f>SUM(J4:J507)</f>
        <v>0</v>
      </c>
      <c r="K2" s="12">
        <f>SUM(K4:K507)</f>
        <v>0</v>
      </c>
      <c r="L2" s="16"/>
      <c r="M2" s="13">
        <f>SUM(M4:M507)</f>
        <v>0</v>
      </c>
      <c r="N2" s="13">
        <f>SUM(N4:N507)</f>
        <v>0</v>
      </c>
      <c r="O2" s="13">
        <f>SUM(O4:O507)</f>
        <v>0</v>
      </c>
      <c r="P2" s="13">
        <f>SUM(P4:P507)</f>
        <v>0</v>
      </c>
      <c r="Q2" s="13">
        <f>SUM(Q4:Q507)</f>
        <v>0</v>
      </c>
      <c r="R2" s="13">
        <f>SUM(R4:R507)</f>
        <v>0</v>
      </c>
      <c r="S2" s="20">
        <f>SUM(S4:S507)</f>
        <v>4588</v>
      </c>
      <c r="T2" s="20">
        <f>SUM(T4:T507)</f>
        <v>3113854</v>
      </c>
      <c r="U2" s="18"/>
      <c r="V2" s="18"/>
      <c r="W2" s="45"/>
      <c r="X2" s="37"/>
      <c r="Y2" s="18"/>
      <c r="Z2" s="33"/>
      <c r="AA2" s="33"/>
      <c r="AB2" s="12">
        <f>SUM(AB4:AB507)</f>
        <v>697381.1521260998</v>
      </c>
      <c r="AC2" s="12">
        <f>SUM(AC4:AC507)</f>
        <v>160943.35997076024</v>
      </c>
      <c r="AD2" s="12">
        <f>SUM(AD4:AD507)</f>
        <v>145422.06649122806</v>
      </c>
    </row>
    <row r="3" spans="1:30" s="17" customFormat="1" ht="33">
      <c r="A3" s="130" t="s">
        <v>684</v>
      </c>
      <c r="B3" s="4" t="s">
        <v>4</v>
      </c>
      <c r="C3" s="39" t="s">
        <v>5</v>
      </c>
      <c r="D3" s="4" t="s">
        <v>6</v>
      </c>
      <c r="E3" s="5" t="s">
        <v>175</v>
      </c>
      <c r="F3" s="5" t="s">
        <v>18</v>
      </c>
      <c r="G3" s="5" t="s">
        <v>11</v>
      </c>
      <c r="H3" s="5" t="s">
        <v>12</v>
      </c>
      <c r="I3" s="15" t="s">
        <v>176</v>
      </c>
      <c r="J3" s="1" t="s">
        <v>13</v>
      </c>
      <c r="K3" s="1" t="s">
        <v>14</v>
      </c>
      <c r="L3" s="8" t="s">
        <v>177</v>
      </c>
      <c r="M3" s="2" t="s">
        <v>15</v>
      </c>
      <c r="N3" s="2" t="s">
        <v>16</v>
      </c>
      <c r="O3" s="19" t="s">
        <v>21</v>
      </c>
      <c r="P3" s="19" t="s">
        <v>22</v>
      </c>
      <c r="Q3" s="2" t="s">
        <v>178</v>
      </c>
      <c r="R3" s="2" t="s">
        <v>179</v>
      </c>
      <c r="S3" s="3" t="s">
        <v>17</v>
      </c>
      <c r="T3" s="3" t="s">
        <v>18</v>
      </c>
      <c r="U3" s="4" t="s">
        <v>19</v>
      </c>
      <c r="V3" s="4" t="s">
        <v>483</v>
      </c>
      <c r="W3" s="43" t="s">
        <v>473</v>
      </c>
      <c r="X3" s="4" t="s">
        <v>474</v>
      </c>
      <c r="Y3" s="4" t="s">
        <v>475</v>
      </c>
      <c r="Z3" s="4" t="s">
        <v>7</v>
      </c>
      <c r="AA3" s="4" t="s">
        <v>392</v>
      </c>
      <c r="AB3" s="4" t="s">
        <v>484</v>
      </c>
      <c r="AC3" s="4" t="s">
        <v>485</v>
      </c>
      <c r="AD3" s="4" t="s">
        <v>390</v>
      </c>
    </row>
    <row r="4" spans="1:30" s="30" customFormat="1" ht="15.75">
      <c r="A4" s="131" t="s">
        <v>685</v>
      </c>
      <c r="B4" s="27" t="s">
        <v>486</v>
      </c>
      <c r="C4" s="27" t="s">
        <v>487</v>
      </c>
      <c r="D4" s="28">
        <v>40</v>
      </c>
      <c r="E4" s="28">
        <f t="shared" ref="E4:E66" si="0">IFERROR(F4/D4,0)</f>
        <v>420</v>
      </c>
      <c r="F4" s="28">
        <v>16800</v>
      </c>
      <c r="G4" s="9">
        <v>0</v>
      </c>
      <c r="H4" s="9">
        <v>0</v>
      </c>
      <c r="I4" s="24">
        <v>45184</v>
      </c>
      <c r="J4" s="22"/>
      <c r="K4" s="22"/>
      <c r="L4" s="24">
        <v>45204</v>
      </c>
      <c r="M4" s="25"/>
      <c r="N4" s="25"/>
      <c r="O4" s="25"/>
      <c r="P4" s="25"/>
      <c r="Q4" s="25"/>
      <c r="R4" s="25"/>
      <c r="S4" s="26">
        <f t="shared" ref="S4:S66" si="1">D4+J4-M4+O4+Q4</f>
        <v>40</v>
      </c>
      <c r="T4" s="26">
        <f t="shared" ref="T4:T66" si="2">F4+K4-N4+P4+R4</f>
        <v>16800</v>
      </c>
      <c r="U4" s="29"/>
      <c r="V4" s="29"/>
      <c r="W4" s="46">
        <v>0</v>
      </c>
      <c r="X4" s="47"/>
      <c r="Y4" s="29"/>
      <c r="Z4" s="29"/>
      <c r="AA4" s="29"/>
      <c r="AB4" s="26"/>
      <c r="AC4" s="26"/>
      <c r="AD4" s="25"/>
    </row>
    <row r="5" spans="1:30" s="30" customFormat="1" ht="15.75">
      <c r="A5" s="131" t="s">
        <v>685</v>
      </c>
      <c r="B5" s="48" t="s">
        <v>10</v>
      </c>
      <c r="C5" s="48" t="s">
        <v>488</v>
      </c>
      <c r="D5" s="49">
        <v>3</v>
      </c>
      <c r="E5" s="49">
        <f t="shared" si="0"/>
        <v>2100</v>
      </c>
      <c r="F5" s="49">
        <v>6300</v>
      </c>
      <c r="G5" s="50">
        <v>0</v>
      </c>
      <c r="H5" s="50">
        <v>0</v>
      </c>
      <c r="I5" s="51">
        <v>40801</v>
      </c>
      <c r="J5" s="52"/>
      <c r="K5" s="52"/>
      <c r="L5" s="51">
        <v>42815</v>
      </c>
      <c r="M5" s="53"/>
      <c r="N5" s="53"/>
      <c r="O5" s="53"/>
      <c r="P5" s="53"/>
      <c r="Q5" s="53"/>
      <c r="R5" s="53"/>
      <c r="S5" s="54">
        <f t="shared" si="1"/>
        <v>3</v>
      </c>
      <c r="T5" s="54">
        <f t="shared" si="2"/>
        <v>6300</v>
      </c>
      <c r="U5" s="55"/>
      <c r="V5" s="55"/>
      <c r="W5" s="56">
        <v>1</v>
      </c>
      <c r="X5" s="57" t="s">
        <v>382</v>
      </c>
      <c r="Y5" s="55"/>
      <c r="Z5" s="58"/>
      <c r="AA5" s="58"/>
      <c r="AB5" s="54"/>
      <c r="AC5" s="54"/>
      <c r="AD5" s="53"/>
    </row>
    <row r="6" spans="1:30" s="30" customFormat="1" ht="15.75">
      <c r="A6" s="131" t="s">
        <v>685</v>
      </c>
      <c r="B6" s="59" t="s">
        <v>489</v>
      </c>
      <c r="C6" s="59" t="s">
        <v>490</v>
      </c>
      <c r="D6" s="60">
        <v>1</v>
      </c>
      <c r="E6" s="60">
        <f t="shared" si="0"/>
        <v>1580</v>
      </c>
      <c r="F6" s="60">
        <v>1580</v>
      </c>
      <c r="G6" s="61">
        <v>0</v>
      </c>
      <c r="H6" s="61">
        <v>0</v>
      </c>
      <c r="I6" s="62">
        <v>41869</v>
      </c>
      <c r="J6" s="63"/>
      <c r="K6" s="63"/>
      <c r="L6" s="62">
        <v>44567</v>
      </c>
      <c r="M6" s="64"/>
      <c r="N6" s="64"/>
      <c r="O6" s="64"/>
      <c r="P6" s="64"/>
      <c r="Q6" s="64"/>
      <c r="R6" s="64"/>
      <c r="S6" s="65">
        <f t="shared" si="1"/>
        <v>1</v>
      </c>
      <c r="T6" s="65">
        <f t="shared" si="2"/>
        <v>1580</v>
      </c>
      <c r="U6" s="66"/>
      <c r="V6" s="66"/>
      <c r="W6" s="67">
        <v>1</v>
      </c>
      <c r="X6" s="68" t="s">
        <v>386</v>
      </c>
      <c r="Y6" s="66"/>
      <c r="Z6" s="69"/>
      <c r="AA6" s="69"/>
      <c r="AB6" s="65"/>
      <c r="AC6" s="65"/>
      <c r="AD6" s="64"/>
    </row>
    <row r="7" spans="1:30" s="30" customFormat="1" ht="15.75">
      <c r="A7" s="131" t="s">
        <v>685</v>
      </c>
      <c r="B7" s="21" t="s">
        <v>393</v>
      </c>
      <c r="C7" s="21" t="s">
        <v>180</v>
      </c>
      <c r="D7" s="28">
        <v>2</v>
      </c>
      <c r="E7" s="28">
        <f t="shared" si="0"/>
        <v>65</v>
      </c>
      <c r="F7" s="28">
        <v>130</v>
      </c>
      <c r="G7" s="23">
        <v>2</v>
      </c>
      <c r="H7" s="23">
        <v>0</v>
      </c>
      <c r="I7" s="31">
        <v>43370</v>
      </c>
      <c r="J7" s="22"/>
      <c r="K7" s="22"/>
      <c r="L7" s="31">
        <v>45266</v>
      </c>
      <c r="M7" s="25"/>
      <c r="N7" s="25"/>
      <c r="O7" s="25"/>
      <c r="P7" s="25"/>
      <c r="Q7" s="25"/>
      <c r="R7" s="25"/>
      <c r="S7" s="26">
        <f t="shared" si="1"/>
        <v>2</v>
      </c>
      <c r="T7" s="26">
        <f t="shared" si="2"/>
        <v>130</v>
      </c>
      <c r="U7" s="32"/>
      <c r="V7" s="32"/>
      <c r="W7" s="70">
        <v>0</v>
      </c>
      <c r="X7" s="32"/>
      <c r="Y7" s="32"/>
      <c r="Z7" s="21"/>
      <c r="AA7" s="21"/>
      <c r="AB7" s="26"/>
      <c r="AC7" s="26"/>
      <c r="AD7" s="25"/>
    </row>
    <row r="8" spans="1:30" s="30" customFormat="1" ht="15.75">
      <c r="A8" s="131" t="s">
        <v>685</v>
      </c>
      <c r="B8" s="69" t="s">
        <v>491</v>
      </c>
      <c r="C8" s="69" t="s">
        <v>181</v>
      </c>
      <c r="D8" s="60">
        <v>16</v>
      </c>
      <c r="E8" s="60">
        <f t="shared" si="0"/>
        <v>15.6875</v>
      </c>
      <c r="F8" s="60">
        <v>251</v>
      </c>
      <c r="G8" s="61">
        <v>0</v>
      </c>
      <c r="H8" s="61">
        <v>0</v>
      </c>
      <c r="I8" s="71">
        <v>45692</v>
      </c>
      <c r="J8" s="63"/>
      <c r="K8" s="63"/>
      <c r="L8" s="71">
        <v>45993</v>
      </c>
      <c r="M8" s="64"/>
      <c r="N8" s="64"/>
      <c r="O8" s="64"/>
      <c r="P8" s="64"/>
      <c r="Q8" s="64"/>
      <c r="R8" s="64"/>
      <c r="S8" s="65">
        <f t="shared" si="1"/>
        <v>16</v>
      </c>
      <c r="T8" s="65">
        <f t="shared" si="2"/>
        <v>251</v>
      </c>
      <c r="U8" s="66" t="s">
        <v>398</v>
      </c>
      <c r="V8" s="66"/>
      <c r="W8" s="72">
        <v>36</v>
      </c>
      <c r="X8" s="66" t="s">
        <v>492</v>
      </c>
      <c r="Y8" s="66"/>
      <c r="Z8" s="69"/>
      <c r="AA8" s="59"/>
      <c r="AB8" s="65"/>
      <c r="AC8" s="65"/>
      <c r="AD8" s="64"/>
    </row>
    <row r="9" spans="1:30" s="30" customFormat="1" ht="15.75">
      <c r="A9" s="131" t="s">
        <v>685</v>
      </c>
      <c r="B9" s="48" t="s">
        <v>394</v>
      </c>
      <c r="C9" s="48" t="s">
        <v>395</v>
      </c>
      <c r="D9" s="49">
        <v>20</v>
      </c>
      <c r="E9" s="49">
        <f t="shared" si="0"/>
        <v>40</v>
      </c>
      <c r="F9" s="49">
        <v>800</v>
      </c>
      <c r="G9" s="50">
        <v>20</v>
      </c>
      <c r="H9" s="50">
        <v>0</v>
      </c>
      <c r="I9" s="51">
        <v>43872</v>
      </c>
      <c r="J9" s="52"/>
      <c r="K9" s="52"/>
      <c r="L9" s="51">
        <v>44589</v>
      </c>
      <c r="M9" s="53"/>
      <c r="N9" s="53"/>
      <c r="O9" s="53"/>
      <c r="P9" s="53"/>
      <c r="Q9" s="53"/>
      <c r="R9" s="53"/>
      <c r="S9" s="54">
        <f t="shared" si="1"/>
        <v>20</v>
      </c>
      <c r="T9" s="54">
        <f t="shared" si="2"/>
        <v>800</v>
      </c>
      <c r="U9" s="55"/>
      <c r="V9" s="55"/>
      <c r="W9" s="56">
        <v>0</v>
      </c>
      <c r="X9" s="57"/>
      <c r="Y9" s="58" t="s">
        <v>493</v>
      </c>
      <c r="Z9" s="58"/>
      <c r="AA9" s="58" t="s">
        <v>494</v>
      </c>
      <c r="AB9" s="52">
        <f>(F9/D9)*20</f>
        <v>800</v>
      </c>
      <c r="AC9" s="52"/>
      <c r="AD9" s="53"/>
    </row>
    <row r="10" spans="1:30" s="30" customFormat="1" ht="15.75">
      <c r="A10" s="131" t="s">
        <v>685</v>
      </c>
      <c r="B10" s="27" t="s">
        <v>495</v>
      </c>
      <c r="C10" s="27" t="s">
        <v>496</v>
      </c>
      <c r="D10" s="28">
        <v>4</v>
      </c>
      <c r="E10" s="28">
        <f t="shared" si="0"/>
        <v>180</v>
      </c>
      <c r="F10" s="28">
        <v>720</v>
      </c>
      <c r="G10" s="9">
        <v>0</v>
      </c>
      <c r="H10" s="9">
        <v>0</v>
      </c>
      <c r="I10" s="24">
        <v>45943</v>
      </c>
      <c r="J10" s="22"/>
      <c r="K10" s="22"/>
      <c r="L10" s="24">
        <v>46014</v>
      </c>
      <c r="M10" s="25"/>
      <c r="N10" s="25"/>
      <c r="O10" s="25"/>
      <c r="P10" s="25"/>
      <c r="Q10" s="25"/>
      <c r="R10" s="25"/>
      <c r="S10" s="26">
        <f t="shared" si="1"/>
        <v>4</v>
      </c>
      <c r="T10" s="26">
        <f t="shared" si="2"/>
        <v>720</v>
      </c>
      <c r="U10" s="27"/>
      <c r="V10" s="27"/>
      <c r="W10" s="46">
        <v>0</v>
      </c>
      <c r="X10" s="73"/>
      <c r="Y10" s="27"/>
      <c r="Z10" s="27"/>
      <c r="AA10" s="27"/>
      <c r="AB10" s="26"/>
      <c r="AC10" s="26"/>
      <c r="AD10" s="25"/>
    </row>
    <row r="11" spans="1:30" s="30" customFormat="1" ht="31.5">
      <c r="A11" s="131" t="s">
        <v>685</v>
      </c>
      <c r="B11" s="27" t="s">
        <v>497</v>
      </c>
      <c r="C11" s="27" t="s">
        <v>498</v>
      </c>
      <c r="D11" s="28">
        <v>1</v>
      </c>
      <c r="E11" s="28">
        <f t="shared" si="0"/>
        <v>2930</v>
      </c>
      <c r="F11" s="28">
        <v>2930</v>
      </c>
      <c r="G11" s="23">
        <v>1</v>
      </c>
      <c r="H11" s="23">
        <v>0</v>
      </c>
      <c r="I11" s="31">
        <v>44061</v>
      </c>
      <c r="J11" s="22"/>
      <c r="K11" s="22"/>
      <c r="L11" s="24">
        <v>46003</v>
      </c>
      <c r="M11" s="25"/>
      <c r="N11" s="25"/>
      <c r="O11" s="25"/>
      <c r="P11" s="25"/>
      <c r="Q11" s="25"/>
      <c r="R11" s="25"/>
      <c r="S11" s="26">
        <f t="shared" si="1"/>
        <v>1</v>
      </c>
      <c r="T11" s="26">
        <f t="shared" si="2"/>
        <v>2930</v>
      </c>
      <c r="U11" s="32" t="s">
        <v>499</v>
      </c>
      <c r="V11" s="32"/>
      <c r="W11" s="70">
        <v>0</v>
      </c>
      <c r="X11" s="32"/>
      <c r="Y11" s="32"/>
      <c r="Z11" s="21"/>
      <c r="AA11" s="21"/>
      <c r="AB11" s="26"/>
      <c r="AC11" s="26"/>
      <c r="AD11" s="25"/>
    </row>
    <row r="12" spans="1:30" s="30" customFormat="1" ht="15.75">
      <c r="A12" s="131" t="s">
        <v>685</v>
      </c>
      <c r="B12" s="48" t="s">
        <v>396</v>
      </c>
      <c r="C12" s="48" t="s">
        <v>397</v>
      </c>
      <c r="D12" s="49">
        <v>1</v>
      </c>
      <c r="E12" s="49">
        <f t="shared" si="0"/>
        <v>16385</v>
      </c>
      <c r="F12" s="49">
        <v>16385</v>
      </c>
      <c r="G12" s="50">
        <v>1</v>
      </c>
      <c r="H12" s="50">
        <v>0</v>
      </c>
      <c r="I12" s="51">
        <v>44322</v>
      </c>
      <c r="J12" s="52"/>
      <c r="K12" s="52"/>
      <c r="L12" s="51">
        <v>44196</v>
      </c>
      <c r="M12" s="53"/>
      <c r="N12" s="53"/>
      <c r="O12" s="53"/>
      <c r="P12" s="53"/>
      <c r="Q12" s="53"/>
      <c r="R12" s="53"/>
      <c r="S12" s="54">
        <f t="shared" si="1"/>
        <v>1</v>
      </c>
      <c r="T12" s="54">
        <f t="shared" si="2"/>
        <v>16385</v>
      </c>
      <c r="U12" s="55"/>
      <c r="V12" s="55"/>
      <c r="W12" s="56">
        <v>0</v>
      </c>
      <c r="X12" s="57"/>
      <c r="Y12" s="58" t="s">
        <v>500</v>
      </c>
      <c r="Z12" s="58"/>
      <c r="AA12" s="58" t="s">
        <v>501</v>
      </c>
      <c r="AB12" s="52">
        <f>(F12/D12)*1</f>
        <v>16385</v>
      </c>
      <c r="AC12" s="52"/>
      <c r="AD12" s="53"/>
    </row>
    <row r="13" spans="1:30" s="30" customFormat="1" ht="15.75">
      <c r="A13" s="131" t="s">
        <v>685</v>
      </c>
      <c r="B13" s="27" t="s">
        <v>502</v>
      </c>
      <c r="C13" s="27" t="s">
        <v>503</v>
      </c>
      <c r="D13" s="28">
        <v>6</v>
      </c>
      <c r="E13" s="28">
        <f t="shared" si="0"/>
        <v>110</v>
      </c>
      <c r="F13" s="28">
        <v>660</v>
      </c>
      <c r="G13" s="9">
        <v>0</v>
      </c>
      <c r="H13" s="9">
        <v>0</v>
      </c>
      <c r="I13" s="31">
        <v>44839</v>
      </c>
      <c r="J13" s="22"/>
      <c r="K13" s="22"/>
      <c r="L13" s="31">
        <v>44841</v>
      </c>
      <c r="M13" s="25"/>
      <c r="N13" s="25"/>
      <c r="O13" s="25"/>
      <c r="P13" s="25"/>
      <c r="Q13" s="25"/>
      <c r="R13" s="25"/>
      <c r="S13" s="26">
        <f t="shared" si="1"/>
        <v>6</v>
      </c>
      <c r="T13" s="26">
        <f t="shared" si="2"/>
        <v>660</v>
      </c>
      <c r="U13" s="32"/>
      <c r="V13" s="32"/>
      <c r="W13" s="70">
        <v>0</v>
      </c>
      <c r="X13" s="32"/>
      <c r="Y13" s="32"/>
      <c r="Z13" s="21"/>
      <c r="AA13" s="21"/>
      <c r="AB13" s="26"/>
      <c r="AC13" s="26"/>
      <c r="AD13" s="25"/>
    </row>
    <row r="14" spans="1:30" s="30" customFormat="1" ht="15.75">
      <c r="A14" s="131" t="s">
        <v>685</v>
      </c>
      <c r="B14" s="21" t="s">
        <v>115</v>
      </c>
      <c r="C14" s="21" t="s">
        <v>182</v>
      </c>
      <c r="D14" s="28">
        <v>2</v>
      </c>
      <c r="E14" s="28">
        <f t="shared" si="0"/>
        <v>6766</v>
      </c>
      <c r="F14" s="28">
        <v>13532</v>
      </c>
      <c r="G14" s="23">
        <v>0</v>
      </c>
      <c r="H14" s="23">
        <v>0</v>
      </c>
      <c r="I14" s="31">
        <v>45170</v>
      </c>
      <c r="J14" s="22"/>
      <c r="K14" s="22"/>
      <c r="L14" s="31">
        <v>45289</v>
      </c>
      <c r="M14" s="25"/>
      <c r="N14" s="25"/>
      <c r="O14" s="25"/>
      <c r="P14" s="25"/>
      <c r="Q14" s="25"/>
      <c r="R14" s="25"/>
      <c r="S14" s="26">
        <f t="shared" si="1"/>
        <v>2</v>
      </c>
      <c r="T14" s="26">
        <f t="shared" si="2"/>
        <v>13532</v>
      </c>
      <c r="U14" s="32"/>
      <c r="V14" s="32"/>
      <c r="W14" s="70">
        <v>0</v>
      </c>
      <c r="X14" s="32"/>
      <c r="Y14" s="32"/>
      <c r="Z14" s="21"/>
      <c r="AA14" s="21"/>
      <c r="AB14" s="26"/>
      <c r="AC14" s="26"/>
      <c r="AD14" s="25"/>
    </row>
    <row r="15" spans="1:30" s="30" customFormat="1" ht="15.75">
      <c r="A15" s="131" t="s">
        <v>685</v>
      </c>
      <c r="B15" s="59" t="s">
        <v>20</v>
      </c>
      <c r="C15" s="59" t="s">
        <v>20</v>
      </c>
      <c r="D15" s="60">
        <v>3</v>
      </c>
      <c r="E15" s="60">
        <f t="shared" si="0"/>
        <v>14584.333333333334</v>
      </c>
      <c r="F15" s="60">
        <v>43753</v>
      </c>
      <c r="G15" s="61">
        <v>1</v>
      </c>
      <c r="H15" s="61">
        <v>0</v>
      </c>
      <c r="I15" s="62">
        <v>44971</v>
      </c>
      <c r="J15" s="63"/>
      <c r="K15" s="63"/>
      <c r="L15" s="62">
        <v>45147</v>
      </c>
      <c r="M15" s="64"/>
      <c r="N15" s="64"/>
      <c r="O15" s="64"/>
      <c r="P15" s="64"/>
      <c r="Q15" s="64"/>
      <c r="R15" s="64"/>
      <c r="S15" s="65">
        <f t="shared" si="1"/>
        <v>3</v>
      </c>
      <c r="T15" s="65">
        <f t="shared" si="2"/>
        <v>43753</v>
      </c>
      <c r="U15" s="66"/>
      <c r="V15" s="66"/>
      <c r="W15" s="67">
        <v>2</v>
      </c>
      <c r="X15" s="68" t="s">
        <v>383</v>
      </c>
      <c r="Y15" s="74" t="s">
        <v>504</v>
      </c>
      <c r="Z15" s="69"/>
      <c r="AA15" s="59" t="s">
        <v>505</v>
      </c>
      <c r="AB15" s="63"/>
      <c r="AC15" s="65">
        <f>(F15/D15)*1</f>
        <v>14584.333333333334</v>
      </c>
      <c r="AD15" s="64"/>
    </row>
    <row r="16" spans="1:30" s="30" customFormat="1" ht="15.75">
      <c r="A16" s="131" t="s">
        <v>685</v>
      </c>
      <c r="B16" s="59" t="s">
        <v>506</v>
      </c>
      <c r="C16" s="59" t="s">
        <v>507</v>
      </c>
      <c r="D16" s="60">
        <v>2</v>
      </c>
      <c r="E16" s="60">
        <f t="shared" si="0"/>
        <v>4221.5</v>
      </c>
      <c r="F16" s="60">
        <v>8443</v>
      </c>
      <c r="G16" s="61">
        <v>0</v>
      </c>
      <c r="H16" s="61">
        <v>0</v>
      </c>
      <c r="I16" s="62">
        <v>45971</v>
      </c>
      <c r="J16" s="63"/>
      <c r="K16" s="63"/>
      <c r="L16" s="62">
        <v>45273</v>
      </c>
      <c r="M16" s="64"/>
      <c r="N16" s="64"/>
      <c r="O16" s="64"/>
      <c r="P16" s="64"/>
      <c r="Q16" s="64"/>
      <c r="R16" s="64"/>
      <c r="S16" s="65">
        <f t="shared" si="1"/>
        <v>2</v>
      </c>
      <c r="T16" s="65">
        <f t="shared" si="2"/>
        <v>8443</v>
      </c>
      <c r="U16" s="66"/>
      <c r="V16" s="66"/>
      <c r="W16" s="67">
        <v>2</v>
      </c>
      <c r="X16" s="68" t="s">
        <v>476</v>
      </c>
      <c r="Y16" s="74"/>
      <c r="Z16" s="69"/>
      <c r="AA16" s="59"/>
      <c r="AB16" s="63"/>
      <c r="AC16" s="65"/>
      <c r="AD16" s="64"/>
    </row>
    <row r="17" spans="1:30" s="30" customFormat="1" ht="15.75">
      <c r="A17" s="131" t="s">
        <v>685</v>
      </c>
      <c r="B17" s="27" t="s">
        <v>145</v>
      </c>
      <c r="C17" s="27" t="s">
        <v>146</v>
      </c>
      <c r="D17" s="28">
        <v>9</v>
      </c>
      <c r="E17" s="28">
        <f t="shared" si="0"/>
        <v>2710</v>
      </c>
      <c r="F17" s="28">
        <v>24390</v>
      </c>
      <c r="G17" s="23">
        <v>9</v>
      </c>
      <c r="H17" s="23">
        <v>0</v>
      </c>
      <c r="I17" s="31">
        <v>44585</v>
      </c>
      <c r="J17" s="22"/>
      <c r="K17" s="22"/>
      <c r="L17" s="31">
        <v>44897</v>
      </c>
      <c r="M17" s="25"/>
      <c r="N17" s="25"/>
      <c r="O17" s="25"/>
      <c r="P17" s="25"/>
      <c r="Q17" s="25"/>
      <c r="R17" s="25"/>
      <c r="S17" s="26">
        <f t="shared" si="1"/>
        <v>9</v>
      </c>
      <c r="T17" s="26">
        <f t="shared" si="2"/>
        <v>24390</v>
      </c>
      <c r="U17" s="32"/>
      <c r="V17" s="32"/>
      <c r="W17" s="70">
        <v>0</v>
      </c>
      <c r="X17" s="32"/>
      <c r="Y17" s="32"/>
      <c r="Z17" s="21"/>
      <c r="AA17" s="21"/>
      <c r="AB17" s="26"/>
      <c r="AC17" s="26"/>
      <c r="AD17" s="25"/>
    </row>
    <row r="18" spans="1:30" s="30" customFormat="1" ht="15.75">
      <c r="A18" s="131" t="s">
        <v>685</v>
      </c>
      <c r="B18" s="59" t="s">
        <v>0</v>
      </c>
      <c r="C18" s="59" t="s">
        <v>0</v>
      </c>
      <c r="D18" s="60">
        <v>4</v>
      </c>
      <c r="E18" s="60">
        <f t="shared" si="0"/>
        <v>3250</v>
      </c>
      <c r="F18" s="60">
        <v>13000</v>
      </c>
      <c r="G18" s="61">
        <v>0</v>
      </c>
      <c r="H18" s="61">
        <v>0</v>
      </c>
      <c r="I18" s="62">
        <v>45979</v>
      </c>
      <c r="J18" s="63"/>
      <c r="K18" s="63"/>
      <c r="L18" s="62">
        <v>44897</v>
      </c>
      <c r="M18" s="64"/>
      <c r="N18" s="64"/>
      <c r="O18" s="64"/>
      <c r="P18" s="64"/>
      <c r="Q18" s="64"/>
      <c r="R18" s="64"/>
      <c r="S18" s="65">
        <f t="shared" si="1"/>
        <v>4</v>
      </c>
      <c r="T18" s="65">
        <f t="shared" si="2"/>
        <v>13000</v>
      </c>
      <c r="U18" s="66"/>
      <c r="V18" s="66"/>
      <c r="W18" s="67">
        <v>4</v>
      </c>
      <c r="X18" s="68" t="s">
        <v>476</v>
      </c>
      <c r="Y18" s="74"/>
      <c r="Z18" s="69"/>
      <c r="AA18" s="59"/>
      <c r="AB18" s="63"/>
      <c r="AC18" s="65"/>
      <c r="AD18" s="64"/>
    </row>
    <row r="19" spans="1:30" s="30" customFormat="1" ht="23.25">
      <c r="A19" s="131" t="s">
        <v>685</v>
      </c>
      <c r="B19" s="69" t="s">
        <v>480</v>
      </c>
      <c r="C19" s="69" t="s">
        <v>114</v>
      </c>
      <c r="D19" s="60">
        <v>2</v>
      </c>
      <c r="E19" s="60">
        <f t="shared" si="0"/>
        <v>1450</v>
      </c>
      <c r="F19" s="60">
        <v>2900</v>
      </c>
      <c r="G19" s="61">
        <v>0</v>
      </c>
      <c r="H19" s="61">
        <v>0</v>
      </c>
      <c r="I19" s="71">
        <v>45434</v>
      </c>
      <c r="J19" s="63"/>
      <c r="K19" s="63"/>
      <c r="L19" s="71">
        <v>45461</v>
      </c>
      <c r="M19" s="64"/>
      <c r="N19" s="64"/>
      <c r="O19" s="64"/>
      <c r="P19" s="64"/>
      <c r="Q19" s="64"/>
      <c r="R19" s="64"/>
      <c r="S19" s="65">
        <f t="shared" si="1"/>
        <v>2</v>
      </c>
      <c r="T19" s="65">
        <f t="shared" si="2"/>
        <v>2900</v>
      </c>
      <c r="U19" s="66"/>
      <c r="V19" s="66"/>
      <c r="W19" s="75">
        <v>5</v>
      </c>
      <c r="X19" s="66" t="s">
        <v>476</v>
      </c>
      <c r="Y19" s="66"/>
      <c r="Z19" s="69"/>
      <c r="AA19" s="69"/>
      <c r="AB19" s="65"/>
      <c r="AC19" s="65"/>
      <c r="AD19" s="64"/>
    </row>
    <row r="20" spans="1:30" s="30" customFormat="1" ht="15.75">
      <c r="A20" s="131" t="s">
        <v>685</v>
      </c>
      <c r="B20" s="59" t="s">
        <v>113</v>
      </c>
      <c r="C20" s="59" t="s">
        <v>113</v>
      </c>
      <c r="D20" s="60">
        <v>2</v>
      </c>
      <c r="E20" s="60">
        <f t="shared" si="0"/>
        <v>19610</v>
      </c>
      <c r="F20" s="60">
        <v>39220</v>
      </c>
      <c r="G20" s="61">
        <v>0</v>
      </c>
      <c r="H20" s="61">
        <v>0</v>
      </c>
      <c r="I20" s="62">
        <v>43388</v>
      </c>
      <c r="J20" s="63"/>
      <c r="K20" s="63"/>
      <c r="L20" s="62">
        <v>46022</v>
      </c>
      <c r="M20" s="64"/>
      <c r="N20" s="64"/>
      <c r="O20" s="64"/>
      <c r="P20" s="64"/>
      <c r="Q20" s="64"/>
      <c r="R20" s="64"/>
      <c r="S20" s="65">
        <f t="shared" si="1"/>
        <v>2</v>
      </c>
      <c r="T20" s="65">
        <f t="shared" si="2"/>
        <v>39220</v>
      </c>
      <c r="U20" s="66"/>
      <c r="V20" s="66"/>
      <c r="W20" s="67">
        <v>2</v>
      </c>
      <c r="X20" s="66" t="s">
        <v>384</v>
      </c>
      <c r="Y20" s="74"/>
      <c r="Z20" s="69"/>
      <c r="AA20" s="59"/>
      <c r="AB20" s="63"/>
      <c r="AC20" s="65"/>
      <c r="AD20" s="64"/>
    </row>
    <row r="21" spans="1:30" s="30" customFormat="1" ht="15.75">
      <c r="A21" s="131" t="s">
        <v>685</v>
      </c>
      <c r="B21" s="69" t="s">
        <v>112</v>
      </c>
      <c r="C21" s="69" t="s">
        <v>183</v>
      </c>
      <c r="D21" s="60">
        <v>1</v>
      </c>
      <c r="E21" s="60">
        <f t="shared" si="0"/>
        <v>150</v>
      </c>
      <c r="F21" s="60">
        <v>150</v>
      </c>
      <c r="G21" s="61">
        <v>0</v>
      </c>
      <c r="H21" s="61">
        <v>0</v>
      </c>
      <c r="I21" s="71">
        <v>45042</v>
      </c>
      <c r="J21" s="63"/>
      <c r="K21" s="63"/>
      <c r="L21" s="71">
        <v>45128</v>
      </c>
      <c r="M21" s="64"/>
      <c r="N21" s="64"/>
      <c r="O21" s="64"/>
      <c r="P21" s="64"/>
      <c r="Q21" s="64"/>
      <c r="R21" s="64"/>
      <c r="S21" s="65">
        <f t="shared" si="1"/>
        <v>1</v>
      </c>
      <c r="T21" s="65">
        <f t="shared" si="2"/>
        <v>150</v>
      </c>
      <c r="U21" s="66"/>
      <c r="V21" s="66"/>
      <c r="W21" s="72">
        <v>1</v>
      </c>
      <c r="X21" s="66" t="s">
        <v>472</v>
      </c>
      <c r="Y21" s="66"/>
      <c r="Z21" s="69"/>
      <c r="AA21" s="69"/>
      <c r="AB21" s="65"/>
      <c r="AC21" s="65"/>
      <c r="AD21" s="64"/>
    </row>
    <row r="22" spans="1:30" s="30" customFormat="1" ht="15.75">
      <c r="A22" s="131" t="s">
        <v>685</v>
      </c>
      <c r="B22" s="59" t="s">
        <v>111</v>
      </c>
      <c r="C22" s="59" t="s">
        <v>508</v>
      </c>
      <c r="D22" s="60">
        <v>1</v>
      </c>
      <c r="E22" s="60">
        <f t="shared" si="0"/>
        <v>200</v>
      </c>
      <c r="F22" s="60">
        <v>200</v>
      </c>
      <c r="G22" s="61">
        <v>0</v>
      </c>
      <c r="H22" s="61">
        <v>0</v>
      </c>
      <c r="I22" s="62">
        <v>44137</v>
      </c>
      <c r="J22" s="63"/>
      <c r="K22" s="63"/>
      <c r="L22" s="62">
        <v>44196</v>
      </c>
      <c r="M22" s="64"/>
      <c r="N22" s="64"/>
      <c r="O22" s="64"/>
      <c r="P22" s="64"/>
      <c r="Q22" s="64"/>
      <c r="R22" s="64"/>
      <c r="S22" s="65">
        <f t="shared" si="1"/>
        <v>1</v>
      </c>
      <c r="T22" s="65">
        <f t="shared" si="2"/>
        <v>200</v>
      </c>
      <c r="U22" s="66"/>
      <c r="V22" s="66"/>
      <c r="W22" s="67">
        <v>1</v>
      </c>
      <c r="X22" s="66" t="s">
        <v>472</v>
      </c>
      <c r="Y22" s="69"/>
      <c r="Z22" s="69"/>
      <c r="AA22" s="69"/>
      <c r="AB22" s="63"/>
      <c r="AC22" s="63"/>
      <c r="AD22" s="64"/>
    </row>
    <row r="23" spans="1:30" s="30" customFormat="1" ht="15.75">
      <c r="A23" s="131" t="s">
        <v>685</v>
      </c>
      <c r="B23" s="59" t="s">
        <v>110</v>
      </c>
      <c r="C23" s="59" t="s">
        <v>110</v>
      </c>
      <c r="D23" s="60">
        <v>1</v>
      </c>
      <c r="E23" s="60">
        <f t="shared" si="0"/>
        <v>32000</v>
      </c>
      <c r="F23" s="60">
        <v>32000</v>
      </c>
      <c r="G23" s="61">
        <v>0</v>
      </c>
      <c r="H23" s="61">
        <v>0</v>
      </c>
      <c r="I23" s="62">
        <v>45932</v>
      </c>
      <c r="J23" s="63"/>
      <c r="K23" s="63"/>
      <c r="L23" s="62">
        <v>44148</v>
      </c>
      <c r="M23" s="64"/>
      <c r="N23" s="64"/>
      <c r="O23" s="64"/>
      <c r="P23" s="64"/>
      <c r="Q23" s="64"/>
      <c r="R23" s="64"/>
      <c r="S23" s="65">
        <f t="shared" si="1"/>
        <v>1</v>
      </c>
      <c r="T23" s="65">
        <f t="shared" si="2"/>
        <v>32000</v>
      </c>
      <c r="U23" s="66"/>
      <c r="V23" s="66"/>
      <c r="W23" s="67">
        <v>1</v>
      </c>
      <c r="X23" s="66" t="s">
        <v>384</v>
      </c>
      <c r="Y23" s="74"/>
      <c r="Z23" s="69"/>
      <c r="AA23" s="59"/>
      <c r="AB23" s="63"/>
      <c r="AC23" s="65"/>
      <c r="AD23" s="64"/>
    </row>
    <row r="24" spans="1:30" s="30" customFormat="1" ht="15.75">
      <c r="A24" s="131" t="s">
        <v>685</v>
      </c>
      <c r="B24" s="59" t="s">
        <v>109</v>
      </c>
      <c r="C24" s="59" t="s">
        <v>509</v>
      </c>
      <c r="D24" s="60">
        <v>1</v>
      </c>
      <c r="E24" s="60">
        <f t="shared" si="0"/>
        <v>1280</v>
      </c>
      <c r="F24" s="60">
        <v>1280</v>
      </c>
      <c r="G24" s="61">
        <v>0</v>
      </c>
      <c r="H24" s="61">
        <v>0</v>
      </c>
      <c r="I24" s="62">
        <v>46054</v>
      </c>
      <c r="J24" s="63"/>
      <c r="K24" s="63"/>
      <c r="L24" s="62"/>
      <c r="M24" s="64"/>
      <c r="N24" s="64"/>
      <c r="O24" s="64"/>
      <c r="P24" s="64"/>
      <c r="Q24" s="64"/>
      <c r="R24" s="64"/>
      <c r="S24" s="65">
        <f t="shared" si="1"/>
        <v>1</v>
      </c>
      <c r="T24" s="65">
        <f t="shared" si="2"/>
        <v>1280</v>
      </c>
      <c r="U24" s="66"/>
      <c r="V24" s="66"/>
      <c r="W24" s="67">
        <v>1</v>
      </c>
      <c r="X24" s="66" t="s">
        <v>472</v>
      </c>
      <c r="Y24" s="69"/>
      <c r="Z24" s="69"/>
      <c r="AA24" s="69"/>
      <c r="AB24" s="63"/>
      <c r="AC24" s="63"/>
      <c r="AD24" s="64"/>
    </row>
    <row r="25" spans="1:30" s="30" customFormat="1" ht="15.75">
      <c r="A25" s="131" t="s">
        <v>685</v>
      </c>
      <c r="B25" s="21" t="s">
        <v>108</v>
      </c>
      <c r="C25" s="21" t="s">
        <v>184</v>
      </c>
      <c r="D25" s="28">
        <v>1</v>
      </c>
      <c r="E25" s="28">
        <f t="shared" si="0"/>
        <v>412</v>
      </c>
      <c r="F25" s="28">
        <v>412</v>
      </c>
      <c r="G25" s="23">
        <v>0</v>
      </c>
      <c r="H25" s="23">
        <v>0</v>
      </c>
      <c r="I25" s="24">
        <v>46054</v>
      </c>
      <c r="J25" s="28"/>
      <c r="K25" s="28"/>
      <c r="L25" s="24"/>
      <c r="M25" s="25"/>
      <c r="N25" s="25"/>
      <c r="O25" s="25"/>
      <c r="P25" s="25"/>
      <c r="Q25" s="25"/>
      <c r="R25" s="25"/>
      <c r="S25" s="26">
        <f t="shared" si="1"/>
        <v>1</v>
      </c>
      <c r="T25" s="26">
        <f t="shared" si="2"/>
        <v>412</v>
      </c>
      <c r="U25" s="27"/>
      <c r="V25" s="27"/>
      <c r="W25" s="46">
        <v>0</v>
      </c>
      <c r="X25" s="73"/>
      <c r="Y25" s="27"/>
      <c r="Z25" s="27"/>
      <c r="AA25" s="27"/>
      <c r="AB25" s="26"/>
      <c r="AC25" s="26"/>
      <c r="AD25" s="25"/>
    </row>
    <row r="26" spans="1:30" s="30" customFormat="1" ht="15.75">
      <c r="A26" s="131" t="s">
        <v>685</v>
      </c>
      <c r="B26" s="27" t="s">
        <v>156</v>
      </c>
      <c r="C26" s="27" t="s">
        <v>185</v>
      </c>
      <c r="D26" s="28">
        <v>1</v>
      </c>
      <c r="E26" s="28">
        <f t="shared" si="0"/>
        <v>550</v>
      </c>
      <c r="F26" s="28">
        <v>550</v>
      </c>
      <c r="G26" s="23">
        <v>0</v>
      </c>
      <c r="H26" s="23">
        <v>0</v>
      </c>
      <c r="I26" s="31">
        <v>45659</v>
      </c>
      <c r="J26" s="22"/>
      <c r="K26" s="22"/>
      <c r="L26" s="31">
        <v>45741</v>
      </c>
      <c r="M26" s="25"/>
      <c r="N26" s="25"/>
      <c r="O26" s="25"/>
      <c r="P26" s="25"/>
      <c r="Q26" s="25"/>
      <c r="R26" s="25"/>
      <c r="S26" s="26">
        <f t="shared" si="1"/>
        <v>1</v>
      </c>
      <c r="T26" s="26">
        <f t="shared" si="2"/>
        <v>550</v>
      </c>
      <c r="U26" s="21"/>
      <c r="V26" s="21"/>
      <c r="W26" s="70">
        <v>0</v>
      </c>
      <c r="X26" s="32"/>
      <c r="Y26" s="21"/>
      <c r="Z26" s="21"/>
      <c r="AA26" s="21"/>
      <c r="AB26" s="26"/>
      <c r="AC26" s="26"/>
      <c r="AD26" s="25"/>
    </row>
    <row r="27" spans="1:30" s="30" customFormat="1" ht="15.75">
      <c r="A27" s="131" t="s">
        <v>685</v>
      </c>
      <c r="B27" s="76" t="s">
        <v>107</v>
      </c>
      <c r="C27" s="21" t="s">
        <v>186</v>
      </c>
      <c r="D27" s="28">
        <v>1</v>
      </c>
      <c r="E27" s="28">
        <f t="shared" si="0"/>
        <v>900</v>
      </c>
      <c r="F27" s="28">
        <v>900</v>
      </c>
      <c r="G27" s="23">
        <v>0</v>
      </c>
      <c r="H27" s="23">
        <v>0</v>
      </c>
      <c r="I27" s="31">
        <v>45460</v>
      </c>
      <c r="J27" s="22"/>
      <c r="K27" s="22"/>
      <c r="L27" s="31">
        <v>45408</v>
      </c>
      <c r="M27" s="25"/>
      <c r="N27" s="25"/>
      <c r="O27" s="25"/>
      <c r="P27" s="25"/>
      <c r="Q27" s="25"/>
      <c r="R27" s="25"/>
      <c r="S27" s="26">
        <f t="shared" si="1"/>
        <v>1</v>
      </c>
      <c r="T27" s="26">
        <f t="shared" si="2"/>
        <v>900</v>
      </c>
      <c r="U27" s="32" t="s">
        <v>368</v>
      </c>
      <c r="V27" s="32"/>
      <c r="W27" s="70">
        <v>0</v>
      </c>
      <c r="X27" s="32"/>
      <c r="Y27" s="32"/>
      <c r="Z27" s="21"/>
      <c r="AA27" s="21"/>
      <c r="AB27" s="26"/>
      <c r="AC27" s="26"/>
      <c r="AD27" s="25"/>
    </row>
    <row r="28" spans="1:30" s="30" customFormat="1" ht="15.75">
      <c r="A28" s="131" t="s">
        <v>685</v>
      </c>
      <c r="B28" s="76" t="s">
        <v>106</v>
      </c>
      <c r="C28" s="21" t="s">
        <v>187</v>
      </c>
      <c r="D28" s="28">
        <v>1</v>
      </c>
      <c r="E28" s="28">
        <f t="shared" si="0"/>
        <v>2536</v>
      </c>
      <c r="F28" s="28">
        <v>2536</v>
      </c>
      <c r="G28" s="23">
        <v>1</v>
      </c>
      <c r="H28" s="23">
        <v>0</v>
      </c>
      <c r="I28" s="24">
        <v>45980</v>
      </c>
      <c r="J28" s="22"/>
      <c r="K28" s="22"/>
      <c r="L28" s="24">
        <v>46079</v>
      </c>
      <c r="M28" s="25"/>
      <c r="N28" s="25"/>
      <c r="O28" s="25"/>
      <c r="P28" s="25"/>
      <c r="Q28" s="25"/>
      <c r="R28" s="25"/>
      <c r="S28" s="26">
        <f t="shared" si="1"/>
        <v>1</v>
      </c>
      <c r="T28" s="26">
        <f t="shared" si="2"/>
        <v>2536</v>
      </c>
      <c r="U28" s="27"/>
      <c r="V28" s="27"/>
      <c r="W28" s="46">
        <v>0</v>
      </c>
      <c r="X28" s="73"/>
      <c r="Y28" s="27"/>
      <c r="Z28" s="27"/>
      <c r="AA28" s="27"/>
      <c r="AB28" s="26"/>
      <c r="AC28" s="26"/>
      <c r="AD28" s="25"/>
    </row>
    <row r="29" spans="1:30" s="30" customFormat="1" ht="15.75">
      <c r="A29" s="131" t="s">
        <v>685</v>
      </c>
      <c r="B29" s="59" t="s">
        <v>510</v>
      </c>
      <c r="C29" s="59" t="s">
        <v>511</v>
      </c>
      <c r="D29" s="60">
        <v>4</v>
      </c>
      <c r="E29" s="60">
        <f t="shared" si="0"/>
        <v>250</v>
      </c>
      <c r="F29" s="60">
        <v>1000</v>
      </c>
      <c r="G29" s="61">
        <v>0</v>
      </c>
      <c r="H29" s="61">
        <v>0</v>
      </c>
      <c r="I29" s="62">
        <v>46036</v>
      </c>
      <c r="J29" s="63"/>
      <c r="K29" s="63"/>
      <c r="L29" s="62"/>
      <c r="M29" s="64"/>
      <c r="N29" s="64"/>
      <c r="O29" s="64"/>
      <c r="P29" s="64"/>
      <c r="Q29" s="64"/>
      <c r="R29" s="64"/>
      <c r="S29" s="65">
        <f t="shared" si="1"/>
        <v>4</v>
      </c>
      <c r="T29" s="65">
        <f t="shared" si="2"/>
        <v>1000</v>
      </c>
      <c r="U29" s="66"/>
      <c r="V29" s="66"/>
      <c r="W29" s="67">
        <v>1</v>
      </c>
      <c r="X29" s="66" t="s">
        <v>386</v>
      </c>
      <c r="Y29" s="74"/>
      <c r="Z29" s="69"/>
      <c r="AA29" s="69" t="s">
        <v>512</v>
      </c>
      <c r="AB29" s="63"/>
      <c r="AC29" s="65"/>
      <c r="AD29" s="64">
        <f>(F29/D29)*3</f>
        <v>750</v>
      </c>
    </row>
    <row r="30" spans="1:30" s="25" customFormat="1" ht="15.75">
      <c r="A30" s="131" t="s">
        <v>685</v>
      </c>
      <c r="B30" s="69" t="s">
        <v>105</v>
      </c>
      <c r="C30" s="69" t="s">
        <v>188</v>
      </c>
      <c r="D30" s="60">
        <v>40</v>
      </c>
      <c r="E30" s="60">
        <f t="shared" si="0"/>
        <v>12</v>
      </c>
      <c r="F30" s="60">
        <v>480</v>
      </c>
      <c r="G30" s="61">
        <v>0</v>
      </c>
      <c r="H30" s="61">
        <v>0</v>
      </c>
      <c r="I30" s="62">
        <v>45985</v>
      </c>
      <c r="J30" s="63"/>
      <c r="K30" s="63"/>
      <c r="L30" s="62">
        <v>46079</v>
      </c>
      <c r="M30" s="64"/>
      <c r="N30" s="64"/>
      <c r="O30" s="64"/>
      <c r="P30" s="64"/>
      <c r="Q30" s="64"/>
      <c r="R30" s="64"/>
      <c r="S30" s="65">
        <f t="shared" si="1"/>
        <v>40</v>
      </c>
      <c r="T30" s="65">
        <f t="shared" si="2"/>
        <v>480</v>
      </c>
      <c r="U30" s="77"/>
      <c r="V30" s="77"/>
      <c r="W30" s="67">
        <v>30</v>
      </c>
      <c r="X30" s="66" t="s">
        <v>492</v>
      </c>
      <c r="Y30" s="77"/>
      <c r="Z30" s="78"/>
      <c r="AA30" s="77"/>
      <c r="AB30" s="65"/>
      <c r="AC30" s="65"/>
      <c r="AD30" s="64">
        <f>(F30/D30)*10</f>
        <v>120</v>
      </c>
    </row>
    <row r="31" spans="1:30" s="25" customFormat="1" ht="15.75">
      <c r="A31" s="131" t="s">
        <v>685</v>
      </c>
      <c r="B31" s="76" t="s">
        <v>104</v>
      </c>
      <c r="C31" s="21" t="s">
        <v>189</v>
      </c>
      <c r="D31" s="28">
        <v>22</v>
      </c>
      <c r="E31" s="28">
        <f t="shared" si="0"/>
        <v>3300</v>
      </c>
      <c r="F31" s="28">
        <v>72600</v>
      </c>
      <c r="G31" s="23">
        <v>0</v>
      </c>
      <c r="H31" s="23">
        <v>0</v>
      </c>
      <c r="I31" s="31">
        <v>45985</v>
      </c>
      <c r="J31" s="22"/>
      <c r="K31" s="22"/>
      <c r="L31" s="24">
        <v>46079</v>
      </c>
      <c r="S31" s="26">
        <f t="shared" si="1"/>
        <v>22</v>
      </c>
      <c r="T31" s="26">
        <f t="shared" si="2"/>
        <v>72600</v>
      </c>
      <c r="U31" s="32"/>
      <c r="V31" s="32"/>
      <c r="W31" s="70">
        <v>0</v>
      </c>
      <c r="X31" s="32"/>
      <c r="Y31" s="32"/>
      <c r="Z31" s="40"/>
      <c r="AA31" s="21"/>
    </row>
    <row r="32" spans="1:30" s="30" customFormat="1" ht="15.75">
      <c r="A32" s="131" t="s">
        <v>685</v>
      </c>
      <c r="B32" s="48" t="s">
        <v>513</v>
      </c>
      <c r="C32" s="48" t="s">
        <v>514</v>
      </c>
      <c r="D32" s="49">
        <v>28</v>
      </c>
      <c r="E32" s="49">
        <f t="shared" si="0"/>
        <v>220</v>
      </c>
      <c r="F32" s="49">
        <v>6160</v>
      </c>
      <c r="G32" s="50">
        <v>0</v>
      </c>
      <c r="H32" s="50">
        <v>0</v>
      </c>
      <c r="I32" s="51">
        <v>45932</v>
      </c>
      <c r="J32" s="52"/>
      <c r="K32" s="52"/>
      <c r="L32" s="51"/>
      <c r="M32" s="53"/>
      <c r="N32" s="53"/>
      <c r="O32" s="53"/>
      <c r="P32" s="53"/>
      <c r="Q32" s="53"/>
      <c r="R32" s="53"/>
      <c r="S32" s="54">
        <f t="shared" si="1"/>
        <v>28</v>
      </c>
      <c r="T32" s="54">
        <f t="shared" si="2"/>
        <v>6160</v>
      </c>
      <c r="U32" s="55"/>
      <c r="V32" s="55"/>
      <c r="W32" s="56">
        <v>0</v>
      </c>
      <c r="X32" s="55"/>
      <c r="Y32" s="79" t="s">
        <v>515</v>
      </c>
      <c r="Z32" s="58"/>
      <c r="AA32" s="58" t="s">
        <v>516</v>
      </c>
      <c r="AB32" s="52">
        <f>(F32/D32)*28</f>
        <v>6160</v>
      </c>
      <c r="AC32" s="52"/>
      <c r="AD32" s="53"/>
    </row>
    <row r="33" spans="1:30" s="25" customFormat="1" ht="15.75">
      <c r="A33" s="131" t="s">
        <v>685</v>
      </c>
      <c r="B33" s="27" t="s">
        <v>517</v>
      </c>
      <c r="C33" s="27" t="s">
        <v>518</v>
      </c>
      <c r="D33" s="28">
        <v>200</v>
      </c>
      <c r="E33" s="28">
        <f t="shared" si="0"/>
        <v>9.8699999999999992</v>
      </c>
      <c r="F33" s="28">
        <v>1974</v>
      </c>
      <c r="G33" s="9">
        <v>0</v>
      </c>
      <c r="H33" s="9">
        <v>0</v>
      </c>
      <c r="I33" s="31">
        <v>45076</v>
      </c>
      <c r="J33" s="22"/>
      <c r="K33" s="22"/>
      <c r="L33" s="31"/>
      <c r="S33" s="26">
        <f t="shared" si="1"/>
        <v>200</v>
      </c>
      <c r="T33" s="26">
        <f t="shared" si="2"/>
        <v>1974</v>
      </c>
      <c r="U33" s="32" t="s">
        <v>519</v>
      </c>
      <c r="V33" s="32"/>
      <c r="W33" s="70">
        <v>0</v>
      </c>
      <c r="X33" s="32"/>
      <c r="Y33" s="32"/>
      <c r="Z33" s="21"/>
      <c r="AA33" s="21"/>
    </row>
    <row r="34" spans="1:30" s="25" customFormat="1" ht="15.75">
      <c r="A34" s="131" t="s">
        <v>685</v>
      </c>
      <c r="B34" s="27" t="s">
        <v>520</v>
      </c>
      <c r="C34" s="27" t="s">
        <v>521</v>
      </c>
      <c r="D34" s="28">
        <v>100</v>
      </c>
      <c r="E34" s="28">
        <f t="shared" si="0"/>
        <v>10.4</v>
      </c>
      <c r="F34" s="28">
        <v>1040</v>
      </c>
      <c r="G34" s="9">
        <v>0</v>
      </c>
      <c r="H34" s="9">
        <v>0</v>
      </c>
      <c r="I34" s="24">
        <v>45758</v>
      </c>
      <c r="J34" s="22"/>
      <c r="K34" s="22"/>
      <c r="L34" s="24"/>
      <c r="S34" s="26">
        <f t="shared" si="1"/>
        <v>100</v>
      </c>
      <c r="T34" s="26">
        <f t="shared" si="2"/>
        <v>1040</v>
      </c>
      <c r="U34" s="29"/>
      <c r="V34" s="29"/>
      <c r="W34" s="46">
        <v>0</v>
      </c>
      <c r="X34" s="47"/>
      <c r="Y34" s="29"/>
      <c r="Z34" s="29"/>
      <c r="AA34" s="29"/>
    </row>
    <row r="35" spans="1:30" s="25" customFormat="1" ht="15.75">
      <c r="A35" s="131" t="s">
        <v>685</v>
      </c>
      <c r="B35" s="80" t="s">
        <v>399</v>
      </c>
      <c r="C35" s="80" t="s">
        <v>400</v>
      </c>
      <c r="D35" s="49">
        <v>26</v>
      </c>
      <c r="E35" s="49">
        <f t="shared" si="0"/>
        <v>110</v>
      </c>
      <c r="F35" s="49">
        <v>2860</v>
      </c>
      <c r="G35" s="50">
        <v>26</v>
      </c>
      <c r="H35" s="50">
        <v>0</v>
      </c>
      <c r="I35" s="51">
        <v>45996</v>
      </c>
      <c r="J35" s="52"/>
      <c r="K35" s="52"/>
      <c r="L35" s="51"/>
      <c r="M35" s="53"/>
      <c r="N35" s="53"/>
      <c r="O35" s="53"/>
      <c r="P35" s="53"/>
      <c r="Q35" s="53"/>
      <c r="R35" s="53"/>
      <c r="S35" s="54">
        <f t="shared" si="1"/>
        <v>26</v>
      </c>
      <c r="T35" s="54">
        <f t="shared" si="2"/>
        <v>2860</v>
      </c>
      <c r="U35" s="80"/>
      <c r="V35" s="80"/>
      <c r="W35" s="56">
        <v>0</v>
      </c>
      <c r="X35" s="81"/>
      <c r="Y35" s="82" t="s">
        <v>522</v>
      </c>
      <c r="Z35" s="80"/>
      <c r="AA35" s="80" t="s">
        <v>523</v>
      </c>
      <c r="AB35" s="52">
        <f>(F35/D35)*26</f>
        <v>2860</v>
      </c>
      <c r="AC35" s="53"/>
      <c r="AD35" s="53"/>
    </row>
    <row r="36" spans="1:30" s="25" customFormat="1" ht="15.75">
      <c r="A36" s="131" t="s">
        <v>685</v>
      </c>
      <c r="B36" s="80" t="s">
        <v>401</v>
      </c>
      <c r="C36" s="80" t="s">
        <v>402</v>
      </c>
      <c r="D36" s="49">
        <v>8</v>
      </c>
      <c r="E36" s="49">
        <f t="shared" si="0"/>
        <v>260</v>
      </c>
      <c r="F36" s="49">
        <v>2080</v>
      </c>
      <c r="G36" s="50">
        <v>8</v>
      </c>
      <c r="H36" s="50">
        <v>0</v>
      </c>
      <c r="I36" s="51">
        <v>45996</v>
      </c>
      <c r="J36" s="52"/>
      <c r="K36" s="52"/>
      <c r="L36" s="51"/>
      <c r="M36" s="53"/>
      <c r="N36" s="53"/>
      <c r="O36" s="53"/>
      <c r="P36" s="53"/>
      <c r="Q36" s="53"/>
      <c r="R36" s="53"/>
      <c r="S36" s="54">
        <f t="shared" si="1"/>
        <v>8</v>
      </c>
      <c r="T36" s="54">
        <f t="shared" si="2"/>
        <v>2080</v>
      </c>
      <c r="U36" s="80"/>
      <c r="V36" s="80"/>
      <c r="W36" s="56">
        <v>0</v>
      </c>
      <c r="X36" s="81"/>
      <c r="Y36" s="82" t="s">
        <v>524</v>
      </c>
      <c r="Z36" s="80"/>
      <c r="AA36" s="80" t="s">
        <v>525</v>
      </c>
      <c r="AB36" s="52">
        <f>(F36/D36)*8</f>
        <v>2080</v>
      </c>
      <c r="AC36" s="53"/>
      <c r="AD36" s="53"/>
    </row>
    <row r="37" spans="1:30" s="25" customFormat="1" ht="15.75">
      <c r="A37" s="131" t="s">
        <v>685</v>
      </c>
      <c r="B37" s="80" t="s">
        <v>403</v>
      </c>
      <c r="C37" s="80" t="s">
        <v>404</v>
      </c>
      <c r="D37" s="49">
        <v>100</v>
      </c>
      <c r="E37" s="49">
        <f t="shared" si="0"/>
        <v>11</v>
      </c>
      <c r="F37" s="49">
        <v>1100</v>
      </c>
      <c r="G37" s="50">
        <v>100</v>
      </c>
      <c r="H37" s="50">
        <v>0</v>
      </c>
      <c r="I37" s="83">
        <v>45525</v>
      </c>
      <c r="J37" s="52"/>
      <c r="K37" s="52"/>
      <c r="L37" s="83"/>
      <c r="M37" s="53"/>
      <c r="N37" s="53"/>
      <c r="O37" s="53"/>
      <c r="P37" s="53"/>
      <c r="Q37" s="53"/>
      <c r="R37" s="53"/>
      <c r="S37" s="54">
        <f t="shared" si="1"/>
        <v>100</v>
      </c>
      <c r="T37" s="54">
        <f t="shared" si="2"/>
        <v>1100</v>
      </c>
      <c r="U37" s="55"/>
      <c r="V37" s="55"/>
      <c r="W37" s="56">
        <v>0</v>
      </c>
      <c r="X37" s="55"/>
      <c r="Y37" s="82" t="s">
        <v>526</v>
      </c>
      <c r="Z37" s="58"/>
      <c r="AA37" s="80" t="s">
        <v>527</v>
      </c>
      <c r="AB37" s="52">
        <f>(F37/D37)*100</f>
        <v>1100</v>
      </c>
      <c r="AC37" s="53"/>
      <c r="AD37" s="53"/>
    </row>
    <row r="38" spans="1:30" s="25" customFormat="1" ht="15.75">
      <c r="A38" s="131" t="s">
        <v>685</v>
      </c>
      <c r="B38" s="80" t="s">
        <v>405</v>
      </c>
      <c r="C38" s="80" t="s">
        <v>406</v>
      </c>
      <c r="D38" s="49">
        <v>100</v>
      </c>
      <c r="E38" s="49">
        <f t="shared" si="0"/>
        <v>16</v>
      </c>
      <c r="F38" s="49">
        <v>1600</v>
      </c>
      <c r="G38" s="50">
        <v>100</v>
      </c>
      <c r="H38" s="50">
        <v>0</v>
      </c>
      <c r="I38" s="83">
        <v>45295</v>
      </c>
      <c r="J38" s="52"/>
      <c r="K38" s="52"/>
      <c r="L38" s="83"/>
      <c r="M38" s="53"/>
      <c r="N38" s="53"/>
      <c r="O38" s="53"/>
      <c r="P38" s="53"/>
      <c r="Q38" s="53"/>
      <c r="R38" s="53"/>
      <c r="S38" s="54">
        <f t="shared" si="1"/>
        <v>100</v>
      </c>
      <c r="T38" s="54">
        <f t="shared" si="2"/>
        <v>1600</v>
      </c>
      <c r="U38" s="55" t="s">
        <v>528</v>
      </c>
      <c r="V38" s="55"/>
      <c r="W38" s="56">
        <v>0</v>
      </c>
      <c r="X38" s="55"/>
      <c r="Y38" s="82" t="s">
        <v>526</v>
      </c>
      <c r="Z38" s="58"/>
      <c r="AA38" s="80" t="s">
        <v>527</v>
      </c>
      <c r="AB38" s="52">
        <f>(F38/D38)*100</f>
        <v>1600</v>
      </c>
      <c r="AC38" s="53"/>
      <c r="AD38" s="53"/>
    </row>
    <row r="39" spans="1:30" s="25" customFormat="1" ht="15.75">
      <c r="A39" s="131" t="s">
        <v>685</v>
      </c>
      <c r="B39" s="27" t="s">
        <v>529</v>
      </c>
      <c r="C39" s="27" t="s">
        <v>530</v>
      </c>
      <c r="D39" s="28">
        <v>10</v>
      </c>
      <c r="E39" s="28">
        <f t="shared" si="0"/>
        <v>3</v>
      </c>
      <c r="F39" s="28">
        <v>30</v>
      </c>
      <c r="G39" s="9">
        <v>0</v>
      </c>
      <c r="H39" s="9">
        <v>0</v>
      </c>
      <c r="I39" s="24">
        <v>46077</v>
      </c>
      <c r="J39" s="22"/>
      <c r="K39" s="22"/>
      <c r="L39" s="24">
        <v>46022</v>
      </c>
      <c r="S39" s="26">
        <f t="shared" si="1"/>
        <v>10</v>
      </c>
      <c r="T39" s="26">
        <f t="shared" si="2"/>
        <v>30</v>
      </c>
      <c r="U39" s="32" t="s">
        <v>531</v>
      </c>
      <c r="V39" s="32"/>
      <c r="W39" s="70">
        <v>0</v>
      </c>
      <c r="X39" s="32"/>
      <c r="Y39" s="32"/>
      <c r="Z39" s="21"/>
      <c r="AA39" s="21"/>
    </row>
    <row r="40" spans="1:30" s="25" customFormat="1" ht="15.75">
      <c r="A40" s="131" t="s">
        <v>685</v>
      </c>
      <c r="B40" s="27" t="s">
        <v>532</v>
      </c>
      <c r="C40" s="27" t="s">
        <v>533</v>
      </c>
      <c r="D40" s="28">
        <v>6</v>
      </c>
      <c r="E40" s="28">
        <f t="shared" si="0"/>
        <v>65</v>
      </c>
      <c r="F40" s="28">
        <v>390</v>
      </c>
      <c r="G40" s="9">
        <v>0</v>
      </c>
      <c r="H40" s="9">
        <v>0</v>
      </c>
      <c r="I40" s="31">
        <v>44512</v>
      </c>
      <c r="J40" s="22"/>
      <c r="K40" s="22"/>
      <c r="L40" s="31">
        <v>44811</v>
      </c>
      <c r="S40" s="26">
        <f t="shared" si="1"/>
        <v>6</v>
      </c>
      <c r="T40" s="26">
        <f t="shared" si="2"/>
        <v>390</v>
      </c>
      <c r="U40" s="32"/>
      <c r="V40" s="32"/>
      <c r="W40" s="70">
        <v>0</v>
      </c>
      <c r="X40" s="32"/>
      <c r="Y40" s="32"/>
      <c r="Z40" s="21"/>
      <c r="AA40" s="21"/>
    </row>
    <row r="41" spans="1:30" s="25" customFormat="1" ht="15.75">
      <c r="A41" s="131" t="s">
        <v>685</v>
      </c>
      <c r="B41" s="27" t="s">
        <v>534</v>
      </c>
      <c r="C41" s="27" t="s">
        <v>535</v>
      </c>
      <c r="D41" s="28">
        <v>77</v>
      </c>
      <c r="E41" s="28">
        <f t="shared" si="0"/>
        <v>0.64935064935064934</v>
      </c>
      <c r="F41" s="28">
        <v>50</v>
      </c>
      <c r="G41" s="23">
        <v>0</v>
      </c>
      <c r="H41" s="23">
        <v>0</v>
      </c>
      <c r="I41" s="24">
        <v>46048</v>
      </c>
      <c r="J41" s="22"/>
      <c r="K41" s="22"/>
      <c r="L41" s="24"/>
      <c r="S41" s="26">
        <f t="shared" si="1"/>
        <v>77</v>
      </c>
      <c r="T41" s="26">
        <f t="shared" si="2"/>
        <v>50</v>
      </c>
      <c r="U41" s="27"/>
      <c r="V41" s="27"/>
      <c r="W41" s="70">
        <v>0</v>
      </c>
      <c r="X41" s="73"/>
      <c r="Y41" s="27"/>
      <c r="Z41" s="27"/>
      <c r="AA41" s="27"/>
    </row>
    <row r="42" spans="1:30" s="25" customFormat="1" ht="15.75">
      <c r="A42" s="131" t="s">
        <v>685</v>
      </c>
      <c r="B42" s="27" t="s">
        <v>536</v>
      </c>
      <c r="C42" s="27" t="s">
        <v>537</v>
      </c>
      <c r="D42" s="28">
        <v>4</v>
      </c>
      <c r="E42" s="28">
        <f t="shared" si="0"/>
        <v>110</v>
      </c>
      <c r="F42" s="28">
        <v>440</v>
      </c>
      <c r="G42" s="9">
        <v>0</v>
      </c>
      <c r="H42" s="9">
        <v>0</v>
      </c>
      <c r="I42" s="31">
        <v>45693</v>
      </c>
      <c r="J42" s="22"/>
      <c r="K42" s="22"/>
      <c r="L42" s="24">
        <v>45835</v>
      </c>
      <c r="S42" s="26">
        <f t="shared" si="1"/>
        <v>4</v>
      </c>
      <c r="T42" s="26">
        <f t="shared" si="2"/>
        <v>440</v>
      </c>
      <c r="U42" s="29"/>
      <c r="V42" s="29"/>
      <c r="W42" s="70">
        <v>0</v>
      </c>
      <c r="X42" s="47"/>
      <c r="Y42" s="29"/>
      <c r="Z42" s="29"/>
      <c r="AA42" s="29"/>
    </row>
    <row r="43" spans="1:30" s="25" customFormat="1" ht="15.75">
      <c r="A43" s="131" t="s">
        <v>685</v>
      </c>
      <c r="B43" s="27" t="s">
        <v>538</v>
      </c>
      <c r="C43" s="27" t="s">
        <v>539</v>
      </c>
      <c r="D43" s="28">
        <v>10</v>
      </c>
      <c r="E43" s="28">
        <f t="shared" si="0"/>
        <v>80</v>
      </c>
      <c r="F43" s="28">
        <v>800</v>
      </c>
      <c r="G43" s="9">
        <v>0</v>
      </c>
      <c r="H43" s="9">
        <v>0</v>
      </c>
      <c r="I43" s="31">
        <v>45693</v>
      </c>
      <c r="J43" s="22"/>
      <c r="K43" s="22"/>
      <c r="L43" s="24">
        <v>45835</v>
      </c>
      <c r="S43" s="26">
        <f t="shared" si="1"/>
        <v>10</v>
      </c>
      <c r="T43" s="26">
        <f t="shared" si="2"/>
        <v>800</v>
      </c>
      <c r="U43" s="29"/>
      <c r="V43" s="29"/>
      <c r="W43" s="70">
        <v>0</v>
      </c>
      <c r="X43" s="47"/>
      <c r="Y43" s="29"/>
      <c r="Z43" s="29"/>
      <c r="AA43" s="29"/>
    </row>
    <row r="44" spans="1:30" s="25" customFormat="1" ht="15.75">
      <c r="A44" s="131" t="s">
        <v>685</v>
      </c>
      <c r="B44" s="27" t="s">
        <v>540</v>
      </c>
      <c r="C44" s="27" t="s">
        <v>541</v>
      </c>
      <c r="D44" s="28">
        <v>200</v>
      </c>
      <c r="E44" s="28">
        <f t="shared" si="0"/>
        <v>2</v>
      </c>
      <c r="F44" s="28">
        <v>400</v>
      </c>
      <c r="G44" s="9">
        <v>0</v>
      </c>
      <c r="H44" s="9">
        <v>0</v>
      </c>
      <c r="I44" s="31">
        <v>45636</v>
      </c>
      <c r="J44" s="22"/>
      <c r="K44" s="22"/>
      <c r="L44" s="31">
        <v>45650</v>
      </c>
      <c r="S44" s="26">
        <f t="shared" si="1"/>
        <v>200</v>
      </c>
      <c r="T44" s="26">
        <f t="shared" si="2"/>
        <v>400</v>
      </c>
      <c r="U44" s="32"/>
      <c r="V44" s="32"/>
      <c r="W44" s="70">
        <v>0</v>
      </c>
      <c r="X44" s="32"/>
      <c r="Y44" s="32"/>
      <c r="Z44" s="21"/>
      <c r="AA44" s="21"/>
    </row>
    <row r="45" spans="1:30" s="25" customFormat="1" ht="15.75">
      <c r="A45" s="131" t="s">
        <v>685</v>
      </c>
      <c r="B45" s="27" t="s">
        <v>542</v>
      </c>
      <c r="C45" s="27" t="s">
        <v>543</v>
      </c>
      <c r="D45" s="28">
        <v>100</v>
      </c>
      <c r="E45" s="28">
        <f t="shared" si="0"/>
        <v>2</v>
      </c>
      <c r="F45" s="28">
        <v>200</v>
      </c>
      <c r="G45" s="9">
        <v>0</v>
      </c>
      <c r="H45" s="9">
        <v>0</v>
      </c>
      <c r="I45" s="24">
        <v>45772</v>
      </c>
      <c r="J45" s="22"/>
      <c r="K45" s="22"/>
      <c r="L45" s="24"/>
      <c r="S45" s="26">
        <f t="shared" si="1"/>
        <v>100</v>
      </c>
      <c r="T45" s="26">
        <f t="shared" si="2"/>
        <v>200</v>
      </c>
      <c r="U45" s="29"/>
      <c r="V45" s="29"/>
      <c r="W45" s="70">
        <v>0</v>
      </c>
      <c r="X45" s="47"/>
      <c r="Y45" s="29"/>
      <c r="Z45" s="29"/>
      <c r="AA45" s="29"/>
    </row>
    <row r="46" spans="1:30" s="25" customFormat="1" ht="15.75">
      <c r="A46" s="131" t="s">
        <v>685</v>
      </c>
      <c r="B46" s="27" t="s">
        <v>544</v>
      </c>
      <c r="C46" s="27" t="s">
        <v>545</v>
      </c>
      <c r="D46" s="28">
        <v>4</v>
      </c>
      <c r="E46" s="28">
        <f t="shared" si="0"/>
        <v>250</v>
      </c>
      <c r="F46" s="28">
        <v>1000</v>
      </c>
      <c r="G46" s="9">
        <v>0</v>
      </c>
      <c r="H46" s="9">
        <v>0</v>
      </c>
      <c r="I46" s="24">
        <v>45972</v>
      </c>
      <c r="J46" s="22"/>
      <c r="K46" s="22"/>
      <c r="L46" s="24">
        <v>46079</v>
      </c>
      <c r="S46" s="26">
        <f t="shared" si="1"/>
        <v>4</v>
      </c>
      <c r="T46" s="26">
        <f t="shared" si="2"/>
        <v>1000</v>
      </c>
      <c r="U46" s="32"/>
      <c r="V46" s="32"/>
      <c r="W46" s="70">
        <v>0</v>
      </c>
      <c r="X46" s="32"/>
      <c r="Y46" s="32"/>
      <c r="Z46" s="84"/>
      <c r="AA46" s="21"/>
    </row>
    <row r="47" spans="1:30" s="25" customFormat="1" ht="15.75">
      <c r="A47" s="131" t="s">
        <v>685</v>
      </c>
      <c r="B47" s="27" t="s">
        <v>407</v>
      </c>
      <c r="C47" s="27" t="s">
        <v>408</v>
      </c>
      <c r="D47" s="28">
        <v>22</v>
      </c>
      <c r="E47" s="28">
        <f t="shared" si="0"/>
        <v>6000</v>
      </c>
      <c r="F47" s="28">
        <v>132000</v>
      </c>
      <c r="G47" s="23">
        <v>0</v>
      </c>
      <c r="H47" s="23">
        <v>0</v>
      </c>
      <c r="I47" s="24">
        <v>45755</v>
      </c>
      <c r="J47" s="22"/>
      <c r="K47" s="22"/>
      <c r="L47" s="24">
        <v>45993</v>
      </c>
      <c r="S47" s="26">
        <f t="shared" si="1"/>
        <v>22</v>
      </c>
      <c r="T47" s="26">
        <f t="shared" si="2"/>
        <v>132000</v>
      </c>
      <c r="U47" s="32"/>
      <c r="V47" s="32"/>
      <c r="W47" s="70">
        <v>0</v>
      </c>
      <c r="X47" s="32"/>
      <c r="Y47" s="32"/>
      <c r="Z47" s="21"/>
      <c r="AA47" s="21"/>
    </row>
    <row r="48" spans="1:30" s="25" customFormat="1" ht="15.75">
      <c r="A48" s="131" t="s">
        <v>685</v>
      </c>
      <c r="B48" s="27" t="s">
        <v>379</v>
      </c>
      <c r="C48" s="27" t="s">
        <v>391</v>
      </c>
      <c r="D48" s="28">
        <v>5</v>
      </c>
      <c r="E48" s="28">
        <f t="shared" si="0"/>
        <v>46000</v>
      </c>
      <c r="F48" s="28">
        <v>230000</v>
      </c>
      <c r="G48" s="23">
        <v>0</v>
      </c>
      <c r="H48" s="23">
        <v>0</v>
      </c>
      <c r="I48" s="24">
        <v>46000</v>
      </c>
      <c r="J48" s="22"/>
      <c r="K48" s="22"/>
      <c r="L48" s="24"/>
      <c r="S48" s="26">
        <f t="shared" si="1"/>
        <v>5</v>
      </c>
      <c r="T48" s="26">
        <f t="shared" si="2"/>
        <v>230000</v>
      </c>
      <c r="U48" s="27"/>
      <c r="V48" s="27"/>
      <c r="W48" s="70">
        <v>0</v>
      </c>
      <c r="X48" s="73"/>
      <c r="Y48" s="27"/>
      <c r="Z48" s="27"/>
      <c r="AA48" s="27"/>
    </row>
    <row r="49" spans="1:30" s="25" customFormat="1" ht="15.75">
      <c r="A49" s="131" t="s">
        <v>685</v>
      </c>
      <c r="B49" s="27" t="s">
        <v>409</v>
      </c>
      <c r="C49" s="27" t="s">
        <v>380</v>
      </c>
      <c r="D49" s="28">
        <v>6</v>
      </c>
      <c r="E49" s="28">
        <f t="shared" si="0"/>
        <v>5000</v>
      </c>
      <c r="F49" s="28">
        <v>30000</v>
      </c>
      <c r="G49" s="23">
        <v>0</v>
      </c>
      <c r="H49" s="23">
        <v>0</v>
      </c>
      <c r="I49" s="24">
        <v>46045</v>
      </c>
      <c r="J49" s="22"/>
      <c r="K49" s="22"/>
      <c r="L49" s="24"/>
      <c r="S49" s="26">
        <f t="shared" si="1"/>
        <v>6</v>
      </c>
      <c r="T49" s="26">
        <f t="shared" si="2"/>
        <v>30000</v>
      </c>
      <c r="U49" s="27"/>
      <c r="V49" s="27"/>
      <c r="W49" s="70">
        <v>0</v>
      </c>
      <c r="X49" s="73"/>
      <c r="Y49" s="27"/>
      <c r="Z49" s="27"/>
      <c r="AA49" s="27"/>
    </row>
    <row r="50" spans="1:30" s="25" customFormat="1" ht="15.75">
      <c r="A50" s="131" t="s">
        <v>685</v>
      </c>
      <c r="B50" s="77" t="s">
        <v>546</v>
      </c>
      <c r="C50" s="77" t="s">
        <v>547</v>
      </c>
      <c r="D50" s="60">
        <v>2</v>
      </c>
      <c r="E50" s="60">
        <f t="shared" si="0"/>
        <v>1200</v>
      </c>
      <c r="F50" s="60">
        <v>2400</v>
      </c>
      <c r="G50" s="61">
        <v>0</v>
      </c>
      <c r="H50" s="61">
        <v>0</v>
      </c>
      <c r="I50" s="71">
        <v>45377</v>
      </c>
      <c r="J50" s="63"/>
      <c r="K50" s="63"/>
      <c r="L50" s="71"/>
      <c r="M50" s="64"/>
      <c r="N50" s="64"/>
      <c r="O50" s="64"/>
      <c r="P50" s="64"/>
      <c r="Q50" s="64"/>
      <c r="R50" s="64"/>
      <c r="S50" s="65">
        <f t="shared" si="1"/>
        <v>2</v>
      </c>
      <c r="T50" s="65">
        <f t="shared" si="2"/>
        <v>2400</v>
      </c>
      <c r="U50" s="66" t="s">
        <v>333</v>
      </c>
      <c r="V50" s="66"/>
      <c r="W50" s="72">
        <v>2</v>
      </c>
      <c r="X50" s="66" t="s">
        <v>472</v>
      </c>
      <c r="Y50" s="85"/>
      <c r="Z50" s="69"/>
      <c r="AA50" s="77"/>
      <c r="AB50" s="63"/>
      <c r="AC50" s="64"/>
      <c r="AD50" s="64"/>
    </row>
    <row r="51" spans="1:30" s="30" customFormat="1" ht="47.25">
      <c r="A51" s="131" t="s">
        <v>685</v>
      </c>
      <c r="B51" s="86" t="s">
        <v>548</v>
      </c>
      <c r="C51" s="86" t="s">
        <v>549</v>
      </c>
      <c r="D51" s="87">
        <v>40</v>
      </c>
      <c r="E51" s="87">
        <f t="shared" si="0"/>
        <v>112.375</v>
      </c>
      <c r="F51" s="87">
        <v>4495</v>
      </c>
      <c r="G51" s="88">
        <v>22</v>
      </c>
      <c r="H51" s="88">
        <v>0</v>
      </c>
      <c r="I51" s="89">
        <v>46025</v>
      </c>
      <c r="J51" s="90"/>
      <c r="K51" s="90"/>
      <c r="L51" s="89"/>
      <c r="M51" s="91"/>
      <c r="N51" s="91"/>
      <c r="O51" s="91"/>
      <c r="P51" s="91"/>
      <c r="Q51" s="91"/>
      <c r="R51" s="91"/>
      <c r="S51" s="92">
        <f t="shared" si="1"/>
        <v>40</v>
      </c>
      <c r="T51" s="92">
        <f t="shared" si="2"/>
        <v>4495</v>
      </c>
      <c r="U51" s="93"/>
      <c r="V51" s="93"/>
      <c r="W51" s="94">
        <f>17+18</f>
        <v>35</v>
      </c>
      <c r="X51" s="95" t="s">
        <v>472</v>
      </c>
      <c r="Y51" s="96" t="s">
        <v>550</v>
      </c>
      <c r="Z51" s="96"/>
      <c r="AA51" s="96" t="s">
        <v>551</v>
      </c>
      <c r="AB51" s="90">
        <f>(F51/D51)*1</f>
        <v>112.375</v>
      </c>
      <c r="AC51" s="92">
        <f>(F51/D51)*21</f>
        <v>2359.875</v>
      </c>
      <c r="AD51" s="91"/>
    </row>
    <row r="52" spans="1:30" s="30" customFormat="1" ht="15.75">
      <c r="A52" s="131" t="s">
        <v>685</v>
      </c>
      <c r="B52" s="97" t="s">
        <v>552</v>
      </c>
      <c r="C52" s="48" t="s">
        <v>157</v>
      </c>
      <c r="D52" s="49">
        <v>6</v>
      </c>
      <c r="E52" s="49">
        <f t="shared" si="0"/>
        <v>1250</v>
      </c>
      <c r="F52" s="49">
        <v>7500</v>
      </c>
      <c r="G52" s="50">
        <v>0</v>
      </c>
      <c r="H52" s="50">
        <v>0</v>
      </c>
      <c r="I52" s="51">
        <v>46030</v>
      </c>
      <c r="J52" s="52"/>
      <c r="K52" s="52"/>
      <c r="L52" s="51"/>
      <c r="M52" s="53"/>
      <c r="N52" s="53"/>
      <c r="O52" s="53"/>
      <c r="P52" s="53"/>
      <c r="Q52" s="53"/>
      <c r="R52" s="53"/>
      <c r="S52" s="54">
        <f t="shared" si="1"/>
        <v>6</v>
      </c>
      <c r="T52" s="54">
        <f t="shared" si="2"/>
        <v>7500</v>
      </c>
      <c r="U52" s="55"/>
      <c r="V52" s="55"/>
      <c r="W52" s="98">
        <v>5</v>
      </c>
      <c r="X52" s="57" t="s">
        <v>385</v>
      </c>
      <c r="Y52" s="58"/>
      <c r="Z52" s="58"/>
      <c r="AA52" s="58" t="s">
        <v>553</v>
      </c>
      <c r="AB52" s="52"/>
      <c r="AC52" s="54"/>
      <c r="AD52" s="53">
        <f>(F52/D52)*2</f>
        <v>2500</v>
      </c>
    </row>
    <row r="53" spans="1:30" s="25" customFormat="1" ht="15.75">
      <c r="A53" s="131" t="s">
        <v>685</v>
      </c>
      <c r="B53" s="29" t="s">
        <v>410</v>
      </c>
      <c r="C53" s="29" t="s">
        <v>411</v>
      </c>
      <c r="D53" s="28">
        <v>27</v>
      </c>
      <c r="E53" s="28">
        <f t="shared" si="0"/>
        <v>2850</v>
      </c>
      <c r="F53" s="28">
        <v>76950</v>
      </c>
      <c r="G53" s="23">
        <v>0</v>
      </c>
      <c r="H53" s="23">
        <v>0</v>
      </c>
      <c r="I53" s="24">
        <v>46027</v>
      </c>
      <c r="J53" s="22"/>
      <c r="K53" s="22"/>
      <c r="L53" s="24">
        <v>46057</v>
      </c>
      <c r="S53" s="26">
        <f t="shared" si="1"/>
        <v>27</v>
      </c>
      <c r="T53" s="26">
        <f t="shared" si="2"/>
        <v>76950</v>
      </c>
      <c r="U53" s="27"/>
      <c r="V53" s="27"/>
      <c r="W53" s="46">
        <v>0</v>
      </c>
      <c r="X53" s="73"/>
      <c r="Y53" s="27"/>
      <c r="Z53" s="27"/>
      <c r="AA53" s="27"/>
    </row>
    <row r="54" spans="1:30" s="30" customFormat="1" ht="15.75">
      <c r="A54" s="131" t="s">
        <v>685</v>
      </c>
      <c r="B54" s="59" t="s">
        <v>554</v>
      </c>
      <c r="C54" s="59" t="s">
        <v>190</v>
      </c>
      <c r="D54" s="60">
        <v>2</v>
      </c>
      <c r="E54" s="60">
        <f t="shared" si="0"/>
        <v>8180</v>
      </c>
      <c r="F54" s="60">
        <v>16360</v>
      </c>
      <c r="G54" s="61">
        <v>0</v>
      </c>
      <c r="H54" s="61">
        <v>0</v>
      </c>
      <c r="I54" s="62">
        <v>46026</v>
      </c>
      <c r="J54" s="63"/>
      <c r="K54" s="63"/>
      <c r="L54" s="62"/>
      <c r="M54" s="64"/>
      <c r="N54" s="64"/>
      <c r="O54" s="64"/>
      <c r="P54" s="64"/>
      <c r="Q54" s="64"/>
      <c r="R54" s="64"/>
      <c r="S54" s="65">
        <f t="shared" si="1"/>
        <v>2</v>
      </c>
      <c r="T54" s="65">
        <f t="shared" si="2"/>
        <v>16360</v>
      </c>
      <c r="U54" s="66" t="s">
        <v>555</v>
      </c>
      <c r="V54" s="66"/>
      <c r="W54" s="99">
        <v>2</v>
      </c>
      <c r="X54" s="68" t="s">
        <v>476</v>
      </c>
      <c r="Y54" s="69"/>
      <c r="Z54" s="69"/>
      <c r="AA54" s="69"/>
      <c r="AB54" s="63"/>
      <c r="AC54" s="65"/>
      <c r="AD54" s="64"/>
    </row>
    <row r="55" spans="1:30" s="30" customFormat="1" ht="63">
      <c r="A55" s="131" t="s">
        <v>685</v>
      </c>
      <c r="B55" s="86" t="s">
        <v>412</v>
      </c>
      <c r="C55" s="86" t="s">
        <v>556</v>
      </c>
      <c r="D55" s="87">
        <v>12</v>
      </c>
      <c r="E55" s="87">
        <f t="shared" si="0"/>
        <v>6361.5</v>
      </c>
      <c r="F55" s="87">
        <v>76338</v>
      </c>
      <c r="G55" s="88">
        <v>6</v>
      </c>
      <c r="H55" s="88">
        <v>0</v>
      </c>
      <c r="I55" s="89">
        <v>46027</v>
      </c>
      <c r="J55" s="90"/>
      <c r="K55" s="90"/>
      <c r="L55" s="89">
        <v>46057</v>
      </c>
      <c r="M55" s="91"/>
      <c r="N55" s="91"/>
      <c r="O55" s="91"/>
      <c r="P55" s="91"/>
      <c r="Q55" s="91"/>
      <c r="R55" s="91"/>
      <c r="S55" s="92">
        <f t="shared" si="1"/>
        <v>12</v>
      </c>
      <c r="T55" s="92">
        <f t="shared" si="2"/>
        <v>76338</v>
      </c>
      <c r="U55" s="93"/>
      <c r="V55" s="93"/>
      <c r="W55" s="100">
        <v>0</v>
      </c>
      <c r="X55" s="95" t="s">
        <v>389</v>
      </c>
      <c r="Y55" s="92" t="s">
        <v>557</v>
      </c>
      <c r="Z55" s="96"/>
      <c r="AA55" s="96" t="s">
        <v>558</v>
      </c>
      <c r="AB55" s="90"/>
      <c r="AC55" s="92">
        <f>(F55/D55)*13</f>
        <v>82699.5</v>
      </c>
      <c r="AD55" s="91">
        <f>(F55/D55)*2</f>
        <v>12723</v>
      </c>
    </row>
    <row r="56" spans="1:30" s="30" customFormat="1" ht="78.75">
      <c r="A56" s="131" t="s">
        <v>685</v>
      </c>
      <c r="B56" s="86" t="s">
        <v>413</v>
      </c>
      <c r="C56" s="86" t="s">
        <v>556</v>
      </c>
      <c r="D56" s="87">
        <v>36</v>
      </c>
      <c r="E56" s="87">
        <f t="shared" si="0"/>
        <v>3761.3611111111113</v>
      </c>
      <c r="F56" s="87">
        <v>135409</v>
      </c>
      <c r="G56" s="88">
        <v>29</v>
      </c>
      <c r="H56" s="88">
        <v>0</v>
      </c>
      <c r="I56" s="89">
        <v>46026</v>
      </c>
      <c r="J56" s="90"/>
      <c r="K56" s="90"/>
      <c r="L56" s="89">
        <v>46057</v>
      </c>
      <c r="M56" s="91"/>
      <c r="N56" s="91"/>
      <c r="O56" s="91"/>
      <c r="P56" s="91"/>
      <c r="Q56" s="91"/>
      <c r="R56" s="91"/>
      <c r="S56" s="92">
        <f t="shared" si="1"/>
        <v>36</v>
      </c>
      <c r="T56" s="92">
        <f t="shared" si="2"/>
        <v>135409</v>
      </c>
      <c r="U56" s="93"/>
      <c r="V56" s="93"/>
      <c r="W56" s="100">
        <v>19</v>
      </c>
      <c r="X56" s="101" t="s">
        <v>381</v>
      </c>
      <c r="Y56" s="92" t="s">
        <v>559</v>
      </c>
      <c r="Z56" s="96"/>
      <c r="AA56" s="96" t="s">
        <v>560</v>
      </c>
      <c r="AB56" s="90"/>
      <c r="AC56" s="92">
        <f>(F56/D56)*4</f>
        <v>15045.444444444445</v>
      </c>
      <c r="AD56" s="91">
        <f>(F56/D56)*24</f>
        <v>90272.666666666672</v>
      </c>
    </row>
    <row r="57" spans="1:30" s="25" customFormat="1" ht="15.75">
      <c r="A57" s="131" t="s">
        <v>685</v>
      </c>
      <c r="B57" s="21" t="s">
        <v>414</v>
      </c>
      <c r="C57" s="21" t="s">
        <v>8</v>
      </c>
      <c r="D57" s="28">
        <v>1</v>
      </c>
      <c r="E57" s="28">
        <f t="shared" si="0"/>
        <v>19047</v>
      </c>
      <c r="F57" s="28">
        <v>19047</v>
      </c>
      <c r="G57" s="23">
        <v>0</v>
      </c>
      <c r="H57" s="23">
        <v>0</v>
      </c>
      <c r="I57" s="24">
        <v>45964</v>
      </c>
      <c r="J57" s="22"/>
      <c r="K57" s="22"/>
      <c r="L57" s="24">
        <v>46014</v>
      </c>
      <c r="S57" s="26">
        <f t="shared" si="1"/>
        <v>1</v>
      </c>
      <c r="T57" s="26">
        <f t="shared" si="2"/>
        <v>19047</v>
      </c>
      <c r="U57" s="27"/>
      <c r="V57" s="27"/>
      <c r="W57" s="46">
        <v>0</v>
      </c>
      <c r="X57" s="73"/>
      <c r="Y57" s="27"/>
      <c r="Z57" s="27"/>
      <c r="AA57" s="27"/>
    </row>
    <row r="58" spans="1:30" s="25" customFormat="1" ht="15.75">
      <c r="A58" s="131" t="s">
        <v>685</v>
      </c>
      <c r="B58" s="77" t="s">
        <v>561</v>
      </c>
      <c r="C58" s="77" t="s">
        <v>562</v>
      </c>
      <c r="D58" s="60">
        <v>1</v>
      </c>
      <c r="E58" s="60">
        <f t="shared" si="0"/>
        <v>5950</v>
      </c>
      <c r="F58" s="60">
        <v>5950</v>
      </c>
      <c r="G58" s="61">
        <v>0</v>
      </c>
      <c r="H58" s="61">
        <v>0</v>
      </c>
      <c r="I58" s="71">
        <v>45407</v>
      </c>
      <c r="J58" s="63"/>
      <c r="K58" s="63"/>
      <c r="L58" s="71"/>
      <c r="M58" s="64"/>
      <c r="N58" s="64"/>
      <c r="O58" s="64"/>
      <c r="P58" s="64"/>
      <c r="Q58" s="64"/>
      <c r="R58" s="64"/>
      <c r="S58" s="65">
        <f t="shared" si="1"/>
        <v>1</v>
      </c>
      <c r="T58" s="65">
        <f t="shared" si="2"/>
        <v>5950</v>
      </c>
      <c r="U58" s="66"/>
      <c r="V58" s="66"/>
      <c r="W58" s="72">
        <v>1</v>
      </c>
      <c r="X58" s="66" t="s">
        <v>472</v>
      </c>
      <c r="Y58" s="85"/>
      <c r="Z58" s="69"/>
      <c r="AA58" s="77"/>
      <c r="AB58" s="63"/>
      <c r="AC58" s="64"/>
      <c r="AD58" s="64"/>
    </row>
    <row r="59" spans="1:30" s="25" customFormat="1" ht="15.75">
      <c r="A59" s="131" t="s">
        <v>685</v>
      </c>
      <c r="B59" s="80" t="s">
        <v>165</v>
      </c>
      <c r="C59" s="80" t="s">
        <v>191</v>
      </c>
      <c r="D59" s="49">
        <v>1</v>
      </c>
      <c r="E59" s="49">
        <f t="shared" si="0"/>
        <v>10476</v>
      </c>
      <c r="F59" s="49">
        <v>10476</v>
      </c>
      <c r="G59" s="50">
        <v>0</v>
      </c>
      <c r="H59" s="50">
        <v>0</v>
      </c>
      <c r="I59" s="83">
        <v>45964</v>
      </c>
      <c r="J59" s="52"/>
      <c r="K59" s="52"/>
      <c r="L59" s="83">
        <v>46022</v>
      </c>
      <c r="M59" s="53"/>
      <c r="N59" s="53"/>
      <c r="O59" s="53"/>
      <c r="P59" s="53"/>
      <c r="Q59" s="53"/>
      <c r="R59" s="53"/>
      <c r="S59" s="54">
        <f t="shared" si="1"/>
        <v>1</v>
      </c>
      <c r="T59" s="54">
        <f t="shared" si="2"/>
        <v>10476</v>
      </c>
      <c r="U59" s="55"/>
      <c r="V59" s="55"/>
      <c r="W59" s="102">
        <v>0</v>
      </c>
      <c r="X59" s="55"/>
      <c r="Y59" s="82"/>
      <c r="Z59" s="58"/>
      <c r="AA59" s="58" t="s">
        <v>563</v>
      </c>
      <c r="AB59" s="52">
        <f>(F59/D59)*1</f>
        <v>10476</v>
      </c>
      <c r="AC59" s="54"/>
      <c r="AD59" s="53"/>
    </row>
    <row r="60" spans="1:30" s="25" customFormat="1" ht="15.75">
      <c r="A60" s="131" t="s">
        <v>685</v>
      </c>
      <c r="B60" s="80" t="s">
        <v>166</v>
      </c>
      <c r="C60" s="80" t="s">
        <v>192</v>
      </c>
      <c r="D60" s="49">
        <v>1</v>
      </c>
      <c r="E60" s="49">
        <f t="shared" si="0"/>
        <v>4762</v>
      </c>
      <c r="F60" s="49">
        <v>4762</v>
      </c>
      <c r="G60" s="50">
        <v>0</v>
      </c>
      <c r="H60" s="50">
        <v>0</v>
      </c>
      <c r="I60" s="83">
        <v>42604</v>
      </c>
      <c r="J60" s="52"/>
      <c r="K60" s="52"/>
      <c r="L60" s="83"/>
      <c r="M60" s="53"/>
      <c r="N60" s="53"/>
      <c r="O60" s="53"/>
      <c r="P60" s="53"/>
      <c r="Q60" s="53"/>
      <c r="R60" s="53"/>
      <c r="S60" s="54">
        <f t="shared" si="1"/>
        <v>1</v>
      </c>
      <c r="T60" s="54">
        <f t="shared" si="2"/>
        <v>4762</v>
      </c>
      <c r="U60" s="55" t="s">
        <v>334</v>
      </c>
      <c r="V60" s="55"/>
      <c r="W60" s="102">
        <v>0</v>
      </c>
      <c r="X60" s="55"/>
      <c r="Y60" s="82"/>
      <c r="Z60" s="58"/>
      <c r="AA60" s="58" t="s">
        <v>563</v>
      </c>
      <c r="AB60" s="52">
        <f>(F60/D60)*1</f>
        <v>4762</v>
      </c>
      <c r="AC60" s="53"/>
      <c r="AD60" s="53"/>
    </row>
    <row r="61" spans="1:30" s="25" customFormat="1" ht="15.75">
      <c r="A61" s="131" t="s">
        <v>685</v>
      </c>
      <c r="B61" s="21" t="s">
        <v>2</v>
      </c>
      <c r="C61" s="21" t="s">
        <v>9</v>
      </c>
      <c r="D61" s="28">
        <v>1</v>
      </c>
      <c r="E61" s="28">
        <f t="shared" si="0"/>
        <v>26120</v>
      </c>
      <c r="F61" s="28">
        <v>26120</v>
      </c>
      <c r="G61" s="23">
        <v>0</v>
      </c>
      <c r="H61" s="23">
        <v>0</v>
      </c>
      <c r="I61" s="31">
        <v>45589</v>
      </c>
      <c r="J61" s="22"/>
      <c r="K61" s="22"/>
      <c r="L61" s="24">
        <v>46022</v>
      </c>
      <c r="S61" s="26">
        <f t="shared" si="1"/>
        <v>1</v>
      </c>
      <c r="T61" s="26">
        <f t="shared" si="2"/>
        <v>26120</v>
      </c>
      <c r="U61" s="32" t="s">
        <v>335</v>
      </c>
      <c r="V61" s="32"/>
      <c r="W61" s="70">
        <v>0</v>
      </c>
      <c r="X61" s="32"/>
      <c r="Y61" s="32"/>
      <c r="Z61" s="21"/>
      <c r="AA61" s="21"/>
    </row>
    <row r="62" spans="1:30" s="30" customFormat="1" ht="15.75">
      <c r="A62" s="131" t="s">
        <v>685</v>
      </c>
      <c r="B62" s="59" t="s">
        <v>564</v>
      </c>
      <c r="C62" s="59" t="s">
        <v>565</v>
      </c>
      <c r="D62" s="60">
        <v>3</v>
      </c>
      <c r="E62" s="60">
        <f t="shared" si="0"/>
        <v>1700</v>
      </c>
      <c r="F62" s="60">
        <v>5100</v>
      </c>
      <c r="G62" s="61">
        <v>2</v>
      </c>
      <c r="H62" s="61">
        <v>0</v>
      </c>
      <c r="I62" s="62">
        <v>45770</v>
      </c>
      <c r="J62" s="63"/>
      <c r="K62" s="63"/>
      <c r="L62" s="62">
        <v>45289</v>
      </c>
      <c r="M62" s="64"/>
      <c r="N62" s="64"/>
      <c r="O62" s="64"/>
      <c r="P62" s="64"/>
      <c r="Q62" s="64"/>
      <c r="R62" s="64"/>
      <c r="S62" s="65">
        <f t="shared" si="1"/>
        <v>3</v>
      </c>
      <c r="T62" s="65">
        <f t="shared" si="2"/>
        <v>5100</v>
      </c>
      <c r="U62" s="66"/>
      <c r="V62" s="66"/>
      <c r="W62" s="72">
        <v>1</v>
      </c>
      <c r="X62" s="66" t="s">
        <v>386</v>
      </c>
      <c r="Y62" s="74" t="s">
        <v>387</v>
      </c>
      <c r="Z62" s="69"/>
      <c r="AA62" s="69" t="s">
        <v>566</v>
      </c>
      <c r="AB62" s="63"/>
      <c r="AC62" s="65"/>
      <c r="AD62" s="64">
        <f>(F62/D62)*2</f>
        <v>3400</v>
      </c>
    </row>
    <row r="63" spans="1:30" s="25" customFormat="1" ht="15.75">
      <c r="A63" s="131" t="s">
        <v>685</v>
      </c>
      <c r="B63" s="69" t="s">
        <v>567</v>
      </c>
      <c r="C63" s="69" t="s">
        <v>193</v>
      </c>
      <c r="D63" s="60">
        <v>3</v>
      </c>
      <c r="E63" s="60">
        <f t="shared" si="0"/>
        <v>4500</v>
      </c>
      <c r="F63" s="60">
        <v>13500</v>
      </c>
      <c r="G63" s="61">
        <v>0</v>
      </c>
      <c r="H63" s="61">
        <v>0</v>
      </c>
      <c r="I63" s="62">
        <v>45996</v>
      </c>
      <c r="J63" s="63"/>
      <c r="K63" s="63"/>
      <c r="L63" s="62">
        <v>45993</v>
      </c>
      <c r="M63" s="64"/>
      <c r="N63" s="64"/>
      <c r="O63" s="64"/>
      <c r="P63" s="64"/>
      <c r="Q63" s="64"/>
      <c r="R63" s="64"/>
      <c r="S63" s="65">
        <f t="shared" si="1"/>
        <v>3</v>
      </c>
      <c r="T63" s="65">
        <f t="shared" si="2"/>
        <v>13500</v>
      </c>
      <c r="U63" s="66"/>
      <c r="V63" s="66"/>
      <c r="W63" s="72">
        <v>2</v>
      </c>
      <c r="X63" s="66" t="s">
        <v>568</v>
      </c>
      <c r="Y63" s="66"/>
      <c r="Z63" s="69"/>
      <c r="AA63" s="69"/>
      <c r="AB63" s="64"/>
      <c r="AC63" s="64"/>
      <c r="AD63" s="64">
        <f>(F63/D63)*1</f>
        <v>4500</v>
      </c>
    </row>
    <row r="64" spans="1:30" s="25" customFormat="1" ht="15.75">
      <c r="A64" s="131" t="s">
        <v>685</v>
      </c>
      <c r="B64" s="77" t="s">
        <v>103</v>
      </c>
      <c r="C64" s="77" t="s">
        <v>194</v>
      </c>
      <c r="D64" s="60">
        <v>3</v>
      </c>
      <c r="E64" s="60">
        <f t="shared" si="0"/>
        <v>400</v>
      </c>
      <c r="F64" s="60">
        <v>1200</v>
      </c>
      <c r="G64" s="61">
        <v>0</v>
      </c>
      <c r="H64" s="61">
        <v>0</v>
      </c>
      <c r="I64" s="71">
        <v>45119</v>
      </c>
      <c r="J64" s="63"/>
      <c r="K64" s="63"/>
      <c r="L64" s="71"/>
      <c r="M64" s="64"/>
      <c r="N64" s="64"/>
      <c r="O64" s="64"/>
      <c r="P64" s="64"/>
      <c r="Q64" s="64"/>
      <c r="R64" s="64"/>
      <c r="S64" s="65">
        <f t="shared" si="1"/>
        <v>3</v>
      </c>
      <c r="T64" s="65">
        <f t="shared" si="2"/>
        <v>1200</v>
      </c>
      <c r="U64" s="66" t="s">
        <v>519</v>
      </c>
      <c r="V64" s="66"/>
      <c r="W64" s="72">
        <v>3</v>
      </c>
      <c r="X64" s="66" t="s">
        <v>472</v>
      </c>
      <c r="Y64" s="85"/>
      <c r="Z64" s="69"/>
      <c r="AA64" s="69"/>
      <c r="AB64" s="63"/>
      <c r="AC64" s="64"/>
      <c r="AD64" s="64"/>
    </row>
    <row r="65" spans="1:30" s="25" customFormat="1" ht="15.75">
      <c r="A65" s="131" t="s">
        <v>685</v>
      </c>
      <c r="B65" s="80" t="s">
        <v>415</v>
      </c>
      <c r="C65" s="80" t="s">
        <v>416</v>
      </c>
      <c r="D65" s="49">
        <v>1</v>
      </c>
      <c r="E65" s="49">
        <f t="shared" si="0"/>
        <v>79800</v>
      </c>
      <c r="F65" s="49">
        <v>79800</v>
      </c>
      <c r="G65" s="50">
        <v>0</v>
      </c>
      <c r="H65" s="50">
        <v>0</v>
      </c>
      <c r="I65" s="83">
        <v>39450</v>
      </c>
      <c r="J65" s="52"/>
      <c r="K65" s="52"/>
      <c r="L65" s="83">
        <v>39595</v>
      </c>
      <c r="M65" s="53"/>
      <c r="N65" s="53"/>
      <c r="O65" s="53"/>
      <c r="P65" s="53"/>
      <c r="Q65" s="53"/>
      <c r="R65" s="53"/>
      <c r="S65" s="54">
        <f t="shared" si="1"/>
        <v>1</v>
      </c>
      <c r="T65" s="54">
        <f t="shared" si="2"/>
        <v>79800</v>
      </c>
      <c r="U65" s="55"/>
      <c r="V65" s="55"/>
      <c r="W65" s="102">
        <v>0</v>
      </c>
      <c r="X65" s="81"/>
      <c r="Y65" s="82"/>
      <c r="Z65" s="58"/>
      <c r="AA65" s="58" t="s">
        <v>563</v>
      </c>
      <c r="AB65" s="52">
        <f>(F65/D65)*1</f>
        <v>79800</v>
      </c>
      <c r="AC65" s="53"/>
      <c r="AD65" s="53"/>
    </row>
    <row r="66" spans="1:30" s="25" customFormat="1" ht="15.75">
      <c r="A66" s="131" t="s">
        <v>685</v>
      </c>
      <c r="B66" s="77" t="s">
        <v>23</v>
      </c>
      <c r="C66" s="77" t="s">
        <v>195</v>
      </c>
      <c r="D66" s="60">
        <v>3</v>
      </c>
      <c r="E66" s="60">
        <f t="shared" si="0"/>
        <v>3000</v>
      </c>
      <c r="F66" s="60">
        <v>9000</v>
      </c>
      <c r="G66" s="61">
        <v>0</v>
      </c>
      <c r="H66" s="61">
        <v>0</v>
      </c>
      <c r="I66" s="71">
        <v>39436</v>
      </c>
      <c r="J66" s="63"/>
      <c r="K66" s="63"/>
      <c r="L66" s="71">
        <v>41472</v>
      </c>
      <c r="M66" s="64"/>
      <c r="N66" s="64"/>
      <c r="O66" s="64"/>
      <c r="P66" s="64"/>
      <c r="Q66" s="64"/>
      <c r="R66" s="64"/>
      <c r="S66" s="65">
        <f t="shared" si="1"/>
        <v>3</v>
      </c>
      <c r="T66" s="65">
        <f t="shared" si="2"/>
        <v>9000</v>
      </c>
      <c r="U66" s="66"/>
      <c r="V66" s="66"/>
      <c r="W66" s="72">
        <v>3</v>
      </c>
      <c r="X66" s="66" t="s">
        <v>568</v>
      </c>
      <c r="Y66" s="66"/>
      <c r="Z66" s="69"/>
      <c r="AA66" s="69" t="s">
        <v>569</v>
      </c>
      <c r="AB66" s="64"/>
      <c r="AC66" s="64"/>
      <c r="AD66" s="64"/>
    </row>
    <row r="67" spans="1:30" s="30" customFormat="1" ht="15.75">
      <c r="A67" s="131" t="s">
        <v>685</v>
      </c>
      <c r="B67" s="59" t="s">
        <v>570</v>
      </c>
      <c r="C67" s="59" t="s">
        <v>571</v>
      </c>
      <c r="D67" s="60">
        <v>3</v>
      </c>
      <c r="E67" s="60">
        <f t="shared" ref="E67:E130" si="3">IFERROR(F67/D67,0)</f>
        <v>3000</v>
      </c>
      <c r="F67" s="60">
        <v>9000</v>
      </c>
      <c r="G67" s="61">
        <v>0</v>
      </c>
      <c r="H67" s="61">
        <v>0</v>
      </c>
      <c r="I67" s="62">
        <v>42366</v>
      </c>
      <c r="J67" s="63"/>
      <c r="K67" s="63"/>
      <c r="L67" s="62">
        <v>42636</v>
      </c>
      <c r="M67" s="64"/>
      <c r="N67" s="64"/>
      <c r="O67" s="64"/>
      <c r="P67" s="64"/>
      <c r="Q67" s="64"/>
      <c r="R67" s="64"/>
      <c r="S67" s="65">
        <f t="shared" ref="S67:S130" si="4">D67+J67-M67+O67+Q67</f>
        <v>3</v>
      </c>
      <c r="T67" s="65">
        <f t="shared" ref="T67:T130" si="5">F67+K67-N67+P67+R67</f>
        <v>9000</v>
      </c>
      <c r="U67" s="66" t="s">
        <v>336</v>
      </c>
      <c r="V67" s="66"/>
      <c r="W67" s="72">
        <v>3</v>
      </c>
      <c r="X67" s="66" t="s">
        <v>386</v>
      </c>
      <c r="Y67" s="74"/>
      <c r="Z67" s="69"/>
      <c r="AA67" s="69"/>
      <c r="AB67" s="63"/>
      <c r="AC67" s="65"/>
      <c r="AD67" s="64"/>
    </row>
    <row r="68" spans="1:30" s="25" customFormat="1" ht="15.75">
      <c r="A68" s="131" t="s">
        <v>685</v>
      </c>
      <c r="B68" s="77" t="s">
        <v>572</v>
      </c>
      <c r="C68" s="77" t="s">
        <v>573</v>
      </c>
      <c r="D68" s="60">
        <v>2</v>
      </c>
      <c r="E68" s="60">
        <f t="shared" si="3"/>
        <v>1232</v>
      </c>
      <c r="F68" s="60">
        <v>2464</v>
      </c>
      <c r="G68" s="61">
        <v>1</v>
      </c>
      <c r="H68" s="61">
        <v>0</v>
      </c>
      <c r="I68" s="71">
        <v>40830</v>
      </c>
      <c r="J68" s="63"/>
      <c r="K68" s="63"/>
      <c r="L68" s="71">
        <v>41089</v>
      </c>
      <c r="M68" s="64"/>
      <c r="N68" s="64"/>
      <c r="O68" s="64"/>
      <c r="P68" s="64"/>
      <c r="Q68" s="64"/>
      <c r="R68" s="64"/>
      <c r="S68" s="65">
        <f t="shared" si="4"/>
        <v>2</v>
      </c>
      <c r="T68" s="65">
        <f t="shared" si="5"/>
        <v>2464</v>
      </c>
      <c r="U68" s="66" t="s">
        <v>337</v>
      </c>
      <c r="V68" s="66"/>
      <c r="W68" s="72">
        <v>1</v>
      </c>
      <c r="X68" s="103" t="s">
        <v>472</v>
      </c>
      <c r="Y68" s="77" t="s">
        <v>574</v>
      </c>
      <c r="Z68" s="69"/>
      <c r="AA68" s="77" t="s">
        <v>575</v>
      </c>
      <c r="AB68" s="63"/>
      <c r="AC68" s="64">
        <f>(F68/D68)*1</f>
        <v>1232</v>
      </c>
      <c r="AD68" s="64"/>
    </row>
    <row r="69" spans="1:30" s="25" customFormat="1" ht="15.75">
      <c r="A69" s="131" t="s">
        <v>685</v>
      </c>
      <c r="B69" s="77" t="s">
        <v>576</v>
      </c>
      <c r="C69" s="77" t="s">
        <v>577</v>
      </c>
      <c r="D69" s="60">
        <v>2</v>
      </c>
      <c r="E69" s="60">
        <f t="shared" si="3"/>
        <v>650</v>
      </c>
      <c r="F69" s="60">
        <v>1300</v>
      </c>
      <c r="G69" s="61">
        <v>0</v>
      </c>
      <c r="H69" s="61">
        <v>0</v>
      </c>
      <c r="I69" s="71">
        <v>42552</v>
      </c>
      <c r="J69" s="63"/>
      <c r="K69" s="63"/>
      <c r="L69" s="71"/>
      <c r="M69" s="64"/>
      <c r="N69" s="64"/>
      <c r="O69" s="64"/>
      <c r="P69" s="64"/>
      <c r="Q69" s="64"/>
      <c r="R69" s="64"/>
      <c r="S69" s="65">
        <f t="shared" si="4"/>
        <v>2</v>
      </c>
      <c r="T69" s="65">
        <f t="shared" si="5"/>
        <v>1300</v>
      </c>
      <c r="U69" s="66"/>
      <c r="V69" s="66"/>
      <c r="W69" s="72">
        <v>2</v>
      </c>
      <c r="X69" s="103" t="s">
        <v>472</v>
      </c>
      <c r="Y69" s="85"/>
      <c r="Z69" s="69"/>
      <c r="AA69" s="69"/>
      <c r="AB69" s="63"/>
      <c r="AC69" s="64"/>
      <c r="AD69" s="64"/>
    </row>
    <row r="70" spans="1:30" s="25" customFormat="1" ht="126">
      <c r="A70" s="131" t="s">
        <v>685</v>
      </c>
      <c r="B70" s="104" t="s">
        <v>578</v>
      </c>
      <c r="C70" s="104" t="s">
        <v>579</v>
      </c>
      <c r="D70" s="87">
        <v>76</v>
      </c>
      <c r="E70" s="87">
        <f t="shared" si="3"/>
        <v>53.14473684210526</v>
      </c>
      <c r="F70" s="87">
        <v>4039</v>
      </c>
      <c r="G70" s="88">
        <v>54</v>
      </c>
      <c r="H70" s="88">
        <v>0</v>
      </c>
      <c r="I70" s="105">
        <v>43770</v>
      </c>
      <c r="J70" s="90"/>
      <c r="K70" s="90"/>
      <c r="L70" s="105">
        <v>43570</v>
      </c>
      <c r="M70" s="91"/>
      <c r="N70" s="91"/>
      <c r="O70" s="91"/>
      <c r="P70" s="91"/>
      <c r="Q70" s="91"/>
      <c r="R70" s="91"/>
      <c r="S70" s="92">
        <f t="shared" si="4"/>
        <v>76</v>
      </c>
      <c r="T70" s="92">
        <f t="shared" si="5"/>
        <v>4039</v>
      </c>
      <c r="U70" s="93" t="s">
        <v>580</v>
      </c>
      <c r="V70" s="93"/>
      <c r="W70" s="94">
        <v>6</v>
      </c>
      <c r="X70" s="101" t="s">
        <v>472</v>
      </c>
      <c r="Y70" s="92" t="s">
        <v>581</v>
      </c>
      <c r="Z70" s="96"/>
      <c r="AA70" s="96" t="s">
        <v>582</v>
      </c>
      <c r="AB70" s="90"/>
      <c r="AC70" s="91">
        <f>(F70/D70)*17</f>
        <v>903.46052631578937</v>
      </c>
      <c r="AD70" s="91">
        <f>(F70/D70)*45</f>
        <v>2391.5131578947367</v>
      </c>
    </row>
    <row r="71" spans="1:30" s="25" customFormat="1" ht="15.75">
      <c r="A71" s="131" t="s">
        <v>685</v>
      </c>
      <c r="B71" s="77" t="s">
        <v>102</v>
      </c>
      <c r="C71" s="77" t="s">
        <v>583</v>
      </c>
      <c r="D71" s="60">
        <v>9</v>
      </c>
      <c r="E71" s="60">
        <f t="shared" si="3"/>
        <v>112.88888888888889</v>
      </c>
      <c r="F71" s="60">
        <v>1016</v>
      </c>
      <c r="G71" s="61">
        <v>4</v>
      </c>
      <c r="H71" s="61">
        <v>0</v>
      </c>
      <c r="I71" s="71">
        <v>40150</v>
      </c>
      <c r="J71" s="63"/>
      <c r="K71" s="63"/>
      <c r="L71" s="71">
        <v>40546</v>
      </c>
      <c r="M71" s="64"/>
      <c r="N71" s="64"/>
      <c r="O71" s="64"/>
      <c r="P71" s="64"/>
      <c r="Q71" s="64"/>
      <c r="R71" s="64"/>
      <c r="S71" s="65">
        <f t="shared" si="4"/>
        <v>9</v>
      </c>
      <c r="T71" s="65">
        <f t="shared" si="5"/>
        <v>1016</v>
      </c>
      <c r="U71" s="66" t="s">
        <v>584</v>
      </c>
      <c r="V71" s="66"/>
      <c r="W71" s="72">
        <v>5</v>
      </c>
      <c r="X71" s="103" t="s">
        <v>472</v>
      </c>
      <c r="Y71" s="77" t="s">
        <v>585</v>
      </c>
      <c r="Z71" s="69"/>
      <c r="AA71" s="77" t="s">
        <v>586</v>
      </c>
      <c r="AB71" s="63"/>
      <c r="AC71" s="64">
        <f>(F71/D71)*4</f>
        <v>451.55555555555554</v>
      </c>
      <c r="AD71" s="64"/>
    </row>
    <row r="72" spans="1:30" s="25" customFormat="1" ht="15.75">
      <c r="A72" s="131" t="s">
        <v>685</v>
      </c>
      <c r="B72" s="77" t="s">
        <v>587</v>
      </c>
      <c r="C72" s="77" t="s">
        <v>588</v>
      </c>
      <c r="D72" s="60">
        <v>4</v>
      </c>
      <c r="E72" s="60">
        <f t="shared" si="3"/>
        <v>1300</v>
      </c>
      <c r="F72" s="60">
        <v>5200</v>
      </c>
      <c r="G72" s="61">
        <v>0</v>
      </c>
      <c r="H72" s="61">
        <v>0</v>
      </c>
      <c r="I72" s="71">
        <v>41289</v>
      </c>
      <c r="J72" s="63"/>
      <c r="K72" s="63"/>
      <c r="L72" s="71">
        <v>41967</v>
      </c>
      <c r="M72" s="64"/>
      <c r="N72" s="64"/>
      <c r="O72" s="64"/>
      <c r="P72" s="64"/>
      <c r="Q72" s="64"/>
      <c r="R72" s="64"/>
      <c r="S72" s="65">
        <f t="shared" si="4"/>
        <v>4</v>
      </c>
      <c r="T72" s="65">
        <f t="shared" si="5"/>
        <v>5200</v>
      </c>
      <c r="U72" s="66"/>
      <c r="V72" s="66"/>
      <c r="W72" s="72">
        <v>1</v>
      </c>
      <c r="X72" s="66"/>
      <c r="Y72" s="66"/>
      <c r="Z72" s="106"/>
      <c r="AA72" s="69"/>
      <c r="AB72" s="64"/>
      <c r="AC72" s="64"/>
      <c r="AD72" s="63">
        <f>(F72/D72)*3</f>
        <v>3900</v>
      </c>
    </row>
    <row r="73" spans="1:30" s="25" customFormat="1" ht="15.75">
      <c r="A73" s="131" t="s">
        <v>685</v>
      </c>
      <c r="B73" s="80" t="s">
        <v>101</v>
      </c>
      <c r="C73" s="80" t="s">
        <v>196</v>
      </c>
      <c r="D73" s="49">
        <v>1</v>
      </c>
      <c r="E73" s="49">
        <f t="shared" si="3"/>
        <v>28267</v>
      </c>
      <c r="F73" s="49">
        <v>28267</v>
      </c>
      <c r="G73" s="50">
        <v>0</v>
      </c>
      <c r="H73" s="50">
        <v>0</v>
      </c>
      <c r="I73" s="83">
        <v>40210</v>
      </c>
      <c r="J73" s="52"/>
      <c r="K73" s="52"/>
      <c r="L73" s="83">
        <v>40407</v>
      </c>
      <c r="M73" s="53"/>
      <c r="N73" s="53"/>
      <c r="O73" s="53"/>
      <c r="P73" s="53"/>
      <c r="Q73" s="53"/>
      <c r="R73" s="53"/>
      <c r="S73" s="54">
        <f t="shared" si="4"/>
        <v>1</v>
      </c>
      <c r="T73" s="54">
        <f t="shared" si="5"/>
        <v>28267</v>
      </c>
      <c r="U73" s="55"/>
      <c r="V73" s="55"/>
      <c r="W73" s="102">
        <v>0</v>
      </c>
      <c r="X73" s="81"/>
      <c r="Y73" s="80"/>
      <c r="Z73" s="58"/>
      <c r="AA73" s="58" t="s">
        <v>563</v>
      </c>
      <c r="AB73" s="52">
        <f>(F73/D73)*1</f>
        <v>28267</v>
      </c>
      <c r="AC73" s="53"/>
      <c r="AD73" s="53"/>
    </row>
    <row r="74" spans="1:30" s="25" customFormat="1" ht="31.5">
      <c r="A74" s="131" t="s">
        <v>685</v>
      </c>
      <c r="B74" s="21" t="s">
        <v>417</v>
      </c>
      <c r="C74" s="21" t="s">
        <v>418</v>
      </c>
      <c r="D74" s="28">
        <v>15</v>
      </c>
      <c r="E74" s="28">
        <f t="shared" si="3"/>
        <v>5800</v>
      </c>
      <c r="F74" s="28">
        <v>87000</v>
      </c>
      <c r="G74" s="23">
        <v>0</v>
      </c>
      <c r="H74" s="23">
        <v>0</v>
      </c>
      <c r="I74" s="31"/>
      <c r="J74" s="22"/>
      <c r="K74" s="22"/>
      <c r="L74" s="31"/>
      <c r="S74" s="26">
        <f t="shared" si="4"/>
        <v>15</v>
      </c>
      <c r="T74" s="26">
        <f t="shared" si="5"/>
        <v>87000</v>
      </c>
      <c r="U74" s="32"/>
      <c r="V74" s="32"/>
      <c r="W74" s="70">
        <v>0</v>
      </c>
      <c r="X74" s="32"/>
      <c r="Y74" s="32"/>
      <c r="Z74" s="21"/>
      <c r="AA74" s="21"/>
    </row>
    <row r="75" spans="1:30" s="25" customFormat="1" ht="15.75">
      <c r="A75" s="131" t="s">
        <v>685</v>
      </c>
      <c r="B75" s="80" t="s">
        <v>158</v>
      </c>
      <c r="C75" s="80" t="s">
        <v>197</v>
      </c>
      <c r="D75" s="49">
        <v>1</v>
      </c>
      <c r="E75" s="49">
        <f t="shared" si="3"/>
        <v>380</v>
      </c>
      <c r="F75" s="49">
        <v>380</v>
      </c>
      <c r="G75" s="50">
        <v>0</v>
      </c>
      <c r="H75" s="50">
        <v>0</v>
      </c>
      <c r="I75" s="83"/>
      <c r="J75" s="52"/>
      <c r="K75" s="52"/>
      <c r="L75" s="83"/>
      <c r="M75" s="53"/>
      <c r="N75" s="53"/>
      <c r="O75" s="53"/>
      <c r="P75" s="53"/>
      <c r="Q75" s="53"/>
      <c r="R75" s="53"/>
      <c r="S75" s="54">
        <f t="shared" si="4"/>
        <v>1</v>
      </c>
      <c r="T75" s="54">
        <f t="shared" si="5"/>
        <v>380</v>
      </c>
      <c r="U75" s="55"/>
      <c r="V75" s="55"/>
      <c r="W75" s="102">
        <v>0</v>
      </c>
      <c r="X75" s="55"/>
      <c r="Y75" s="55"/>
      <c r="Z75" s="58"/>
      <c r="AA75" s="107" t="s">
        <v>589</v>
      </c>
      <c r="AB75" s="53"/>
      <c r="AC75" s="53">
        <f>(F75/D75)*1</f>
        <v>380</v>
      </c>
      <c r="AD75" s="53"/>
    </row>
    <row r="76" spans="1:30" s="25" customFormat="1" ht="15.75">
      <c r="A76" s="131" t="s">
        <v>685</v>
      </c>
      <c r="B76" s="27" t="s">
        <v>100</v>
      </c>
      <c r="C76" s="27" t="s">
        <v>198</v>
      </c>
      <c r="D76" s="28">
        <v>1</v>
      </c>
      <c r="E76" s="28">
        <f t="shared" si="3"/>
        <v>969</v>
      </c>
      <c r="F76" s="28">
        <v>969</v>
      </c>
      <c r="G76" s="23">
        <v>0</v>
      </c>
      <c r="H76" s="23">
        <v>0</v>
      </c>
      <c r="I76" s="31">
        <v>41351</v>
      </c>
      <c r="J76" s="22"/>
      <c r="K76" s="22"/>
      <c r="L76" s="31">
        <v>41646</v>
      </c>
      <c r="S76" s="26">
        <f t="shared" si="4"/>
        <v>1</v>
      </c>
      <c r="T76" s="26">
        <f t="shared" si="5"/>
        <v>969</v>
      </c>
      <c r="U76" s="32"/>
      <c r="V76" s="32"/>
      <c r="W76" s="70">
        <v>0</v>
      </c>
      <c r="X76" s="32"/>
      <c r="Y76" s="32"/>
      <c r="Z76" s="21"/>
      <c r="AA76" s="21"/>
    </row>
    <row r="77" spans="1:30" s="25" customFormat="1" ht="15.75">
      <c r="A77" s="131" t="s">
        <v>685</v>
      </c>
      <c r="B77" s="27" t="s">
        <v>419</v>
      </c>
      <c r="C77" s="27" t="s">
        <v>420</v>
      </c>
      <c r="D77" s="28">
        <v>3</v>
      </c>
      <c r="E77" s="28">
        <f t="shared" si="3"/>
        <v>200</v>
      </c>
      <c r="F77" s="28">
        <v>600</v>
      </c>
      <c r="G77" s="23">
        <v>0</v>
      </c>
      <c r="H77" s="23">
        <v>0</v>
      </c>
      <c r="I77" s="31">
        <v>42962</v>
      </c>
      <c r="J77" s="22"/>
      <c r="K77" s="22"/>
      <c r="L77" s="31">
        <v>42643</v>
      </c>
      <c r="S77" s="26">
        <f t="shared" si="4"/>
        <v>3</v>
      </c>
      <c r="T77" s="26">
        <f t="shared" si="5"/>
        <v>600</v>
      </c>
      <c r="U77" s="32" t="s">
        <v>338</v>
      </c>
      <c r="V77" s="32"/>
      <c r="W77" s="70">
        <v>0</v>
      </c>
      <c r="X77" s="32"/>
      <c r="Y77" s="32"/>
      <c r="Z77" s="21"/>
      <c r="AA77" s="21"/>
    </row>
    <row r="78" spans="1:30" s="25" customFormat="1" ht="15.75">
      <c r="A78" s="131" t="s">
        <v>685</v>
      </c>
      <c r="B78" s="27" t="s">
        <v>421</v>
      </c>
      <c r="C78" s="27" t="s">
        <v>422</v>
      </c>
      <c r="D78" s="28">
        <v>3</v>
      </c>
      <c r="E78" s="28">
        <f t="shared" si="3"/>
        <v>2500</v>
      </c>
      <c r="F78" s="28">
        <v>7500</v>
      </c>
      <c r="G78" s="23">
        <v>0</v>
      </c>
      <c r="H78" s="23">
        <v>0</v>
      </c>
      <c r="I78" s="31">
        <v>42130</v>
      </c>
      <c r="J78" s="22"/>
      <c r="K78" s="22"/>
      <c r="L78" s="31">
        <v>44148</v>
      </c>
      <c r="S78" s="26">
        <f t="shared" si="4"/>
        <v>3</v>
      </c>
      <c r="T78" s="26">
        <f t="shared" si="5"/>
        <v>7500</v>
      </c>
      <c r="U78" s="32" t="s">
        <v>590</v>
      </c>
      <c r="V78" s="32"/>
      <c r="W78" s="70">
        <v>0</v>
      </c>
      <c r="X78" s="32"/>
      <c r="Y78" s="32"/>
      <c r="Z78" s="21"/>
      <c r="AA78" s="21"/>
    </row>
    <row r="79" spans="1:30" s="25" customFormat="1" ht="31.5">
      <c r="A79" s="131" t="s">
        <v>685</v>
      </c>
      <c r="B79" s="21" t="s">
        <v>159</v>
      </c>
      <c r="C79" s="21" t="s">
        <v>199</v>
      </c>
      <c r="D79" s="28">
        <v>9</v>
      </c>
      <c r="E79" s="28">
        <f t="shared" si="3"/>
        <v>2740</v>
      </c>
      <c r="F79" s="28">
        <v>24660</v>
      </c>
      <c r="G79" s="23">
        <v>0</v>
      </c>
      <c r="H79" s="23">
        <v>0</v>
      </c>
      <c r="I79" s="31">
        <v>42906</v>
      </c>
      <c r="J79" s="22"/>
      <c r="K79" s="22"/>
      <c r="L79" s="31">
        <v>42867</v>
      </c>
      <c r="S79" s="26">
        <f t="shared" si="4"/>
        <v>9</v>
      </c>
      <c r="T79" s="26">
        <f t="shared" si="5"/>
        <v>24660</v>
      </c>
      <c r="U79" s="32" t="s">
        <v>338</v>
      </c>
      <c r="V79" s="32"/>
      <c r="W79" s="70">
        <v>0</v>
      </c>
      <c r="X79" s="32"/>
      <c r="Y79" s="32"/>
      <c r="Z79" s="21"/>
      <c r="AA79" s="21"/>
    </row>
    <row r="80" spans="1:30" s="25" customFormat="1" ht="15.75">
      <c r="A80" s="131" t="s">
        <v>685</v>
      </c>
      <c r="B80" s="77" t="s">
        <v>591</v>
      </c>
      <c r="C80" s="77" t="s">
        <v>592</v>
      </c>
      <c r="D80" s="60">
        <v>2</v>
      </c>
      <c r="E80" s="60">
        <f t="shared" si="3"/>
        <v>1400</v>
      </c>
      <c r="F80" s="60">
        <v>2800</v>
      </c>
      <c r="G80" s="61">
        <v>0</v>
      </c>
      <c r="H80" s="61">
        <v>0</v>
      </c>
      <c r="I80" s="71">
        <v>42144</v>
      </c>
      <c r="J80" s="63"/>
      <c r="K80" s="63"/>
      <c r="L80" s="71"/>
      <c r="M80" s="64"/>
      <c r="N80" s="64"/>
      <c r="O80" s="64"/>
      <c r="P80" s="64"/>
      <c r="Q80" s="64"/>
      <c r="R80" s="64"/>
      <c r="S80" s="65">
        <f t="shared" si="4"/>
        <v>2</v>
      </c>
      <c r="T80" s="65">
        <f t="shared" si="5"/>
        <v>2800</v>
      </c>
      <c r="U80" s="66" t="s">
        <v>339</v>
      </c>
      <c r="V80" s="66"/>
      <c r="W80" s="72">
        <v>2</v>
      </c>
      <c r="X80" s="66" t="s">
        <v>472</v>
      </c>
      <c r="Y80" s="66"/>
      <c r="Z80" s="69"/>
      <c r="AA80" s="69"/>
      <c r="AB80" s="64"/>
      <c r="AC80" s="64"/>
      <c r="AD80" s="64"/>
    </row>
    <row r="81" spans="1:30" s="25" customFormat="1" ht="15.75">
      <c r="A81" s="131" t="s">
        <v>685</v>
      </c>
      <c r="B81" s="27" t="s">
        <v>160</v>
      </c>
      <c r="C81" s="27" t="s">
        <v>200</v>
      </c>
      <c r="D81" s="28">
        <v>9</v>
      </c>
      <c r="E81" s="28">
        <f t="shared" si="3"/>
        <v>5700</v>
      </c>
      <c r="F81" s="28">
        <v>51300</v>
      </c>
      <c r="G81" s="23">
        <v>0</v>
      </c>
      <c r="H81" s="23">
        <v>0</v>
      </c>
      <c r="I81" s="31">
        <v>42149</v>
      </c>
      <c r="J81" s="22"/>
      <c r="K81" s="22"/>
      <c r="L81" s="31">
        <v>42152</v>
      </c>
      <c r="S81" s="26">
        <f t="shared" si="4"/>
        <v>9</v>
      </c>
      <c r="T81" s="26">
        <f t="shared" si="5"/>
        <v>51300</v>
      </c>
      <c r="U81" s="32" t="s">
        <v>593</v>
      </c>
      <c r="V81" s="32"/>
      <c r="W81" s="70">
        <v>0</v>
      </c>
      <c r="X81" s="32"/>
      <c r="Y81" s="32"/>
      <c r="Z81" s="21"/>
      <c r="AA81" s="21"/>
    </row>
    <row r="82" spans="1:30" s="30" customFormat="1" ht="126">
      <c r="A82" s="131" t="s">
        <v>685</v>
      </c>
      <c r="B82" s="86" t="s">
        <v>594</v>
      </c>
      <c r="C82" s="86" t="s">
        <v>595</v>
      </c>
      <c r="D82" s="87">
        <v>75</v>
      </c>
      <c r="E82" s="87">
        <f t="shared" si="3"/>
        <v>123.24</v>
      </c>
      <c r="F82" s="87">
        <v>9243</v>
      </c>
      <c r="G82" s="88">
        <v>62</v>
      </c>
      <c r="H82" s="88">
        <v>0</v>
      </c>
      <c r="I82" s="89">
        <v>42229</v>
      </c>
      <c r="J82" s="90"/>
      <c r="K82" s="90"/>
      <c r="L82" s="89">
        <v>42369</v>
      </c>
      <c r="M82" s="91"/>
      <c r="N82" s="91"/>
      <c r="O82" s="91"/>
      <c r="P82" s="91"/>
      <c r="Q82" s="91"/>
      <c r="R82" s="91"/>
      <c r="S82" s="92">
        <f t="shared" si="4"/>
        <v>75</v>
      </c>
      <c r="T82" s="92">
        <f t="shared" si="5"/>
        <v>9243</v>
      </c>
      <c r="U82" s="93" t="s">
        <v>596</v>
      </c>
      <c r="V82" s="93"/>
      <c r="W82" s="94">
        <v>37</v>
      </c>
      <c r="X82" s="95" t="s">
        <v>385</v>
      </c>
      <c r="Y82" s="92" t="s">
        <v>597</v>
      </c>
      <c r="Z82" s="96"/>
      <c r="AA82" s="96" t="s">
        <v>598</v>
      </c>
      <c r="AB82" s="90"/>
      <c r="AC82" s="91">
        <f>(F82/D82)*17</f>
        <v>2095.08</v>
      </c>
      <c r="AD82" s="90">
        <f>(F82/D82)*53</f>
        <v>6531.7199999999993</v>
      </c>
    </row>
    <row r="83" spans="1:30" s="25" customFormat="1" ht="15.75">
      <c r="A83" s="131" t="s">
        <v>685</v>
      </c>
      <c r="B83" s="27" t="s">
        <v>98</v>
      </c>
      <c r="C83" s="27" t="s">
        <v>99</v>
      </c>
      <c r="D83" s="28">
        <v>1</v>
      </c>
      <c r="E83" s="28">
        <f t="shared" si="3"/>
        <v>30476</v>
      </c>
      <c r="F83" s="28">
        <v>30476</v>
      </c>
      <c r="G83" s="23">
        <v>0</v>
      </c>
      <c r="H83" s="23">
        <v>0</v>
      </c>
      <c r="I83" s="31">
        <v>43033</v>
      </c>
      <c r="J83" s="22"/>
      <c r="K83" s="22"/>
      <c r="L83" s="31">
        <v>43069</v>
      </c>
      <c r="S83" s="26">
        <f t="shared" si="4"/>
        <v>1</v>
      </c>
      <c r="T83" s="26">
        <f t="shared" si="5"/>
        <v>30476</v>
      </c>
      <c r="U83" s="32" t="s">
        <v>599</v>
      </c>
      <c r="V83" s="32"/>
      <c r="W83" s="70">
        <v>0</v>
      </c>
      <c r="X83" s="32"/>
      <c r="Y83" s="32"/>
      <c r="Z83" s="21"/>
      <c r="AA83" s="21"/>
    </row>
    <row r="84" spans="1:30" s="25" customFormat="1" ht="15.75">
      <c r="A84" s="131" t="s">
        <v>685</v>
      </c>
      <c r="B84" s="27" t="s">
        <v>97</v>
      </c>
      <c r="C84" s="27" t="s">
        <v>201</v>
      </c>
      <c r="D84" s="28">
        <v>1</v>
      </c>
      <c r="E84" s="28">
        <f t="shared" si="3"/>
        <v>9000</v>
      </c>
      <c r="F84" s="28">
        <v>9000</v>
      </c>
      <c r="G84" s="23">
        <v>0</v>
      </c>
      <c r="H84" s="23">
        <v>0</v>
      </c>
      <c r="I84" s="31">
        <v>40472</v>
      </c>
      <c r="J84" s="22"/>
      <c r="K84" s="22"/>
      <c r="L84" s="31">
        <v>41367</v>
      </c>
      <c r="S84" s="26">
        <f t="shared" si="4"/>
        <v>1</v>
      </c>
      <c r="T84" s="26">
        <f t="shared" si="5"/>
        <v>9000</v>
      </c>
      <c r="U84" s="32"/>
      <c r="V84" s="108"/>
      <c r="W84" s="109">
        <v>0</v>
      </c>
      <c r="X84" s="108"/>
      <c r="Y84" s="108"/>
      <c r="Z84" s="110"/>
      <c r="AA84" s="21"/>
    </row>
    <row r="85" spans="1:30" s="25" customFormat="1" ht="15.75">
      <c r="A85" s="131" t="s">
        <v>685</v>
      </c>
      <c r="B85" s="27" t="s">
        <v>24</v>
      </c>
      <c r="C85" s="27" t="s">
        <v>24</v>
      </c>
      <c r="D85" s="28">
        <v>2</v>
      </c>
      <c r="E85" s="28">
        <f t="shared" si="3"/>
        <v>1041.5</v>
      </c>
      <c r="F85" s="28">
        <v>2083</v>
      </c>
      <c r="G85" s="23">
        <v>0</v>
      </c>
      <c r="H85" s="23">
        <v>0</v>
      </c>
      <c r="I85" s="24">
        <v>45877</v>
      </c>
      <c r="J85" s="22"/>
      <c r="K85" s="22"/>
      <c r="L85" s="24">
        <v>45503</v>
      </c>
      <c r="S85" s="26">
        <f t="shared" si="4"/>
        <v>2</v>
      </c>
      <c r="T85" s="26">
        <f t="shared" si="5"/>
        <v>2083</v>
      </c>
      <c r="U85" s="27"/>
      <c r="V85" s="111"/>
      <c r="W85" s="112">
        <v>0</v>
      </c>
      <c r="X85" s="113"/>
      <c r="Y85" s="111"/>
      <c r="Z85" s="111"/>
      <c r="AA85" s="27"/>
    </row>
    <row r="86" spans="1:30" s="30" customFormat="1" ht="15.75">
      <c r="A86" s="131" t="s">
        <v>685</v>
      </c>
      <c r="B86" s="59" t="s">
        <v>600</v>
      </c>
      <c r="C86" s="59" t="s">
        <v>601</v>
      </c>
      <c r="D86" s="60">
        <v>4</v>
      </c>
      <c r="E86" s="60">
        <f t="shared" si="3"/>
        <v>482.5</v>
      </c>
      <c r="F86" s="60">
        <v>1930</v>
      </c>
      <c r="G86" s="61">
        <v>1</v>
      </c>
      <c r="H86" s="61">
        <v>0</v>
      </c>
      <c r="I86" s="62">
        <v>44531</v>
      </c>
      <c r="J86" s="63"/>
      <c r="K86" s="63"/>
      <c r="L86" s="62">
        <v>44616</v>
      </c>
      <c r="M86" s="64"/>
      <c r="N86" s="64"/>
      <c r="O86" s="64"/>
      <c r="P86" s="64"/>
      <c r="Q86" s="64"/>
      <c r="R86" s="64"/>
      <c r="S86" s="65">
        <f t="shared" si="4"/>
        <v>4</v>
      </c>
      <c r="T86" s="65">
        <f t="shared" si="5"/>
        <v>1930</v>
      </c>
      <c r="U86" s="66"/>
      <c r="V86" s="66"/>
      <c r="W86" s="99">
        <v>3</v>
      </c>
      <c r="X86" s="68" t="s">
        <v>477</v>
      </c>
      <c r="Y86" s="114" t="s">
        <v>478</v>
      </c>
      <c r="Z86" s="69"/>
      <c r="AA86" s="69" t="s">
        <v>602</v>
      </c>
      <c r="AB86" s="63"/>
      <c r="AC86" s="64"/>
      <c r="AD86" s="63">
        <f>(F86/D86)*1</f>
        <v>482.5</v>
      </c>
    </row>
    <row r="87" spans="1:30" s="30" customFormat="1" ht="15.75">
      <c r="A87" s="131" t="s">
        <v>685</v>
      </c>
      <c r="B87" s="59" t="s">
        <v>603</v>
      </c>
      <c r="C87" s="59" t="s">
        <v>604</v>
      </c>
      <c r="D87" s="60">
        <v>17</v>
      </c>
      <c r="E87" s="60">
        <f t="shared" si="3"/>
        <v>460</v>
      </c>
      <c r="F87" s="60">
        <v>7820</v>
      </c>
      <c r="G87" s="61">
        <v>10</v>
      </c>
      <c r="H87" s="61">
        <v>0</v>
      </c>
      <c r="I87" s="62">
        <v>42872</v>
      </c>
      <c r="J87" s="63"/>
      <c r="K87" s="63"/>
      <c r="L87" s="62">
        <v>46022</v>
      </c>
      <c r="M87" s="64"/>
      <c r="N87" s="64"/>
      <c r="O87" s="64"/>
      <c r="P87" s="64"/>
      <c r="Q87" s="64"/>
      <c r="R87" s="64"/>
      <c r="S87" s="65">
        <f t="shared" si="4"/>
        <v>17</v>
      </c>
      <c r="T87" s="65">
        <f t="shared" si="5"/>
        <v>7820</v>
      </c>
      <c r="U87" s="66" t="s">
        <v>340</v>
      </c>
      <c r="V87" s="66"/>
      <c r="W87" s="99">
        <v>7</v>
      </c>
      <c r="X87" s="68" t="s">
        <v>477</v>
      </c>
      <c r="Y87" s="114" t="s">
        <v>479</v>
      </c>
      <c r="Z87" s="69"/>
      <c r="AA87" s="69" t="s">
        <v>605</v>
      </c>
      <c r="AB87" s="63"/>
      <c r="AC87" s="64"/>
      <c r="AD87" s="63">
        <f>(F87/D87)*10</f>
        <v>4600</v>
      </c>
    </row>
    <row r="88" spans="1:30" s="25" customFormat="1" ht="15.75">
      <c r="A88" s="131" t="s">
        <v>685</v>
      </c>
      <c r="B88" s="21" t="s">
        <v>96</v>
      </c>
      <c r="C88" s="21" t="s">
        <v>202</v>
      </c>
      <c r="D88" s="28">
        <v>2</v>
      </c>
      <c r="E88" s="28">
        <f t="shared" si="3"/>
        <v>580</v>
      </c>
      <c r="F88" s="28">
        <v>1160</v>
      </c>
      <c r="G88" s="23">
        <v>0</v>
      </c>
      <c r="H88" s="23">
        <v>0</v>
      </c>
      <c r="I88" s="24">
        <v>46055</v>
      </c>
      <c r="J88" s="22"/>
      <c r="K88" s="22"/>
      <c r="L88" s="24">
        <v>46081</v>
      </c>
      <c r="S88" s="26">
        <f t="shared" si="4"/>
        <v>2</v>
      </c>
      <c r="T88" s="26">
        <f t="shared" si="5"/>
        <v>1160</v>
      </c>
      <c r="U88" s="32" t="s">
        <v>340</v>
      </c>
      <c r="V88" s="32"/>
      <c r="W88" s="70">
        <v>0</v>
      </c>
      <c r="X88" s="32"/>
      <c r="Y88" s="32"/>
      <c r="Z88" s="21"/>
      <c r="AA88" s="21"/>
    </row>
    <row r="89" spans="1:30" s="25" customFormat="1" ht="15.75">
      <c r="A89" s="131" t="s">
        <v>685</v>
      </c>
      <c r="B89" s="80" t="s">
        <v>95</v>
      </c>
      <c r="C89" s="80" t="s">
        <v>203</v>
      </c>
      <c r="D89" s="49">
        <v>1100</v>
      </c>
      <c r="E89" s="49">
        <f t="shared" si="3"/>
        <v>0.7654545454545455</v>
      </c>
      <c r="F89" s="49">
        <v>842</v>
      </c>
      <c r="G89" s="50">
        <v>100</v>
      </c>
      <c r="H89" s="50">
        <v>0</v>
      </c>
      <c r="I89" s="83">
        <v>41696</v>
      </c>
      <c r="J89" s="52"/>
      <c r="K89" s="52"/>
      <c r="L89" s="83">
        <v>41716</v>
      </c>
      <c r="M89" s="53"/>
      <c r="N89" s="53"/>
      <c r="O89" s="53"/>
      <c r="P89" s="53"/>
      <c r="Q89" s="53"/>
      <c r="R89" s="53"/>
      <c r="S89" s="54">
        <f t="shared" si="4"/>
        <v>1100</v>
      </c>
      <c r="T89" s="54">
        <f t="shared" si="5"/>
        <v>842</v>
      </c>
      <c r="U89" s="55" t="s">
        <v>341</v>
      </c>
      <c r="V89" s="55"/>
      <c r="W89" s="102">
        <v>0</v>
      </c>
      <c r="X89" s="55"/>
      <c r="Y89" s="55"/>
      <c r="Z89" s="58"/>
      <c r="AA89" s="58" t="s">
        <v>606</v>
      </c>
      <c r="AB89" s="52">
        <f>(F89/D89)*1000</f>
        <v>765.4545454545455</v>
      </c>
      <c r="AC89" s="53"/>
      <c r="AD89" s="53"/>
    </row>
    <row r="90" spans="1:30" s="25" customFormat="1" ht="15.75">
      <c r="A90" s="131" t="s">
        <v>685</v>
      </c>
      <c r="B90" s="21" t="s">
        <v>94</v>
      </c>
      <c r="C90" s="21" t="s">
        <v>204</v>
      </c>
      <c r="D90" s="28">
        <v>1</v>
      </c>
      <c r="E90" s="28">
        <f t="shared" si="3"/>
        <v>1100</v>
      </c>
      <c r="F90" s="28">
        <v>1100</v>
      </c>
      <c r="G90" s="23">
        <v>0</v>
      </c>
      <c r="H90" s="23">
        <v>0</v>
      </c>
      <c r="I90" s="31">
        <v>41688</v>
      </c>
      <c r="J90" s="22"/>
      <c r="K90" s="22"/>
      <c r="L90" s="31">
        <v>41716</v>
      </c>
      <c r="S90" s="26">
        <f t="shared" si="4"/>
        <v>1</v>
      </c>
      <c r="T90" s="26">
        <f t="shared" si="5"/>
        <v>1100</v>
      </c>
      <c r="U90" s="32" t="s">
        <v>341</v>
      </c>
      <c r="V90" s="32"/>
      <c r="W90" s="70">
        <v>0</v>
      </c>
      <c r="X90" s="32"/>
      <c r="Y90" s="32"/>
      <c r="Z90" s="21"/>
      <c r="AA90" s="21"/>
    </row>
    <row r="91" spans="1:30" s="25" customFormat="1" ht="15.75">
      <c r="A91" s="131" t="s">
        <v>685</v>
      </c>
      <c r="B91" s="27" t="s">
        <v>607</v>
      </c>
      <c r="C91" s="27" t="s">
        <v>608</v>
      </c>
      <c r="D91" s="28">
        <v>2</v>
      </c>
      <c r="E91" s="28">
        <f t="shared" si="3"/>
        <v>5705</v>
      </c>
      <c r="F91" s="28">
        <v>11410</v>
      </c>
      <c r="G91" s="9">
        <v>0</v>
      </c>
      <c r="H91" s="9">
        <v>0</v>
      </c>
      <c r="I91" s="31">
        <v>45384</v>
      </c>
      <c r="J91" s="22"/>
      <c r="K91" s="22"/>
      <c r="L91" s="31">
        <v>45922</v>
      </c>
      <c r="S91" s="26">
        <f t="shared" si="4"/>
        <v>2</v>
      </c>
      <c r="T91" s="26">
        <f t="shared" si="5"/>
        <v>11410</v>
      </c>
      <c r="U91" s="32" t="s">
        <v>342</v>
      </c>
      <c r="V91" s="32"/>
      <c r="W91" s="70">
        <v>0</v>
      </c>
      <c r="X91" s="32"/>
      <c r="Y91" s="32"/>
      <c r="Z91" s="21"/>
      <c r="AA91" s="21"/>
    </row>
    <row r="92" spans="1:30" s="25" customFormat="1" ht="15.75">
      <c r="A92" s="131" t="s">
        <v>685</v>
      </c>
      <c r="B92" s="27" t="s">
        <v>609</v>
      </c>
      <c r="C92" s="27" t="s">
        <v>610</v>
      </c>
      <c r="D92" s="28">
        <v>2</v>
      </c>
      <c r="E92" s="28">
        <f t="shared" si="3"/>
        <v>10463</v>
      </c>
      <c r="F92" s="28">
        <v>20926</v>
      </c>
      <c r="G92" s="9">
        <v>2</v>
      </c>
      <c r="H92" s="9">
        <v>0</v>
      </c>
      <c r="I92" s="31">
        <v>42895</v>
      </c>
      <c r="J92" s="22"/>
      <c r="K92" s="22"/>
      <c r="L92" s="31"/>
      <c r="S92" s="26">
        <f t="shared" si="4"/>
        <v>2</v>
      </c>
      <c r="T92" s="26">
        <f t="shared" si="5"/>
        <v>20926</v>
      </c>
      <c r="U92" s="32" t="s">
        <v>343</v>
      </c>
      <c r="V92" s="32"/>
      <c r="W92" s="70">
        <v>0</v>
      </c>
      <c r="X92" s="32"/>
      <c r="Y92" s="32"/>
      <c r="Z92" s="21"/>
      <c r="AA92" s="21"/>
    </row>
    <row r="93" spans="1:30" s="25" customFormat="1" ht="15.75">
      <c r="A93" s="131" t="s">
        <v>685</v>
      </c>
      <c r="B93" s="27" t="s">
        <v>611</v>
      </c>
      <c r="C93" s="27" t="s">
        <v>612</v>
      </c>
      <c r="D93" s="28">
        <v>1</v>
      </c>
      <c r="E93" s="28">
        <f t="shared" si="3"/>
        <v>1950</v>
      </c>
      <c r="F93" s="28">
        <v>1950</v>
      </c>
      <c r="G93" s="9">
        <v>0</v>
      </c>
      <c r="H93" s="9">
        <v>0</v>
      </c>
      <c r="I93" s="31">
        <v>43371</v>
      </c>
      <c r="J93" s="22"/>
      <c r="K93" s="22"/>
      <c r="L93" s="31">
        <v>43371</v>
      </c>
      <c r="S93" s="26">
        <f t="shared" si="4"/>
        <v>1</v>
      </c>
      <c r="T93" s="26">
        <f t="shared" si="5"/>
        <v>1950</v>
      </c>
      <c r="U93" s="32" t="s">
        <v>344</v>
      </c>
      <c r="V93" s="32"/>
      <c r="W93" s="70">
        <v>0</v>
      </c>
      <c r="X93" s="32"/>
      <c r="Y93" s="32"/>
      <c r="Z93" s="21"/>
      <c r="AA93" s="21"/>
    </row>
    <row r="94" spans="1:30" s="25" customFormat="1" ht="15.75">
      <c r="A94" s="131" t="s">
        <v>685</v>
      </c>
      <c r="B94" s="77" t="s">
        <v>423</v>
      </c>
      <c r="C94" s="77" t="s">
        <v>424</v>
      </c>
      <c r="D94" s="60">
        <v>2</v>
      </c>
      <c r="E94" s="60">
        <f t="shared" si="3"/>
        <v>1650</v>
      </c>
      <c r="F94" s="60">
        <v>3300</v>
      </c>
      <c r="G94" s="61">
        <v>1</v>
      </c>
      <c r="H94" s="61">
        <v>0</v>
      </c>
      <c r="I94" s="71">
        <v>43440</v>
      </c>
      <c r="J94" s="63"/>
      <c r="K94" s="63"/>
      <c r="L94" s="71">
        <v>45023</v>
      </c>
      <c r="M94" s="64"/>
      <c r="N94" s="64"/>
      <c r="O94" s="64"/>
      <c r="P94" s="64"/>
      <c r="Q94" s="64"/>
      <c r="R94" s="64"/>
      <c r="S94" s="65">
        <f t="shared" si="4"/>
        <v>2</v>
      </c>
      <c r="T94" s="65">
        <f t="shared" si="5"/>
        <v>3300</v>
      </c>
      <c r="U94" s="66"/>
      <c r="V94" s="66"/>
      <c r="W94" s="72">
        <v>1</v>
      </c>
      <c r="X94" s="66" t="s">
        <v>472</v>
      </c>
      <c r="Y94" s="66"/>
      <c r="Z94" s="69"/>
      <c r="AA94" s="69"/>
      <c r="AB94" s="64"/>
      <c r="AC94" s="64"/>
      <c r="AD94" s="63">
        <f>(F94/D94)*1</f>
        <v>1650</v>
      </c>
    </row>
    <row r="95" spans="1:30" s="25" customFormat="1" ht="15.75">
      <c r="A95" s="131" t="s">
        <v>685</v>
      </c>
      <c r="B95" s="77" t="s">
        <v>613</v>
      </c>
      <c r="C95" s="77" t="s">
        <v>614</v>
      </c>
      <c r="D95" s="60">
        <v>2</v>
      </c>
      <c r="E95" s="60">
        <f t="shared" si="3"/>
        <v>1400</v>
      </c>
      <c r="F95" s="60">
        <v>2800</v>
      </c>
      <c r="G95" s="61">
        <v>0</v>
      </c>
      <c r="H95" s="61">
        <v>0</v>
      </c>
      <c r="I95" s="71">
        <v>43983</v>
      </c>
      <c r="J95" s="63"/>
      <c r="K95" s="63"/>
      <c r="L95" s="71">
        <v>44148</v>
      </c>
      <c r="M95" s="64"/>
      <c r="N95" s="64"/>
      <c r="O95" s="64"/>
      <c r="P95" s="64"/>
      <c r="Q95" s="64"/>
      <c r="R95" s="64"/>
      <c r="S95" s="65">
        <f t="shared" si="4"/>
        <v>2</v>
      </c>
      <c r="T95" s="65">
        <f t="shared" si="5"/>
        <v>2800</v>
      </c>
      <c r="U95" s="66" t="s">
        <v>345</v>
      </c>
      <c r="V95" s="66"/>
      <c r="W95" s="72">
        <v>2</v>
      </c>
      <c r="X95" s="66" t="s">
        <v>472</v>
      </c>
      <c r="Y95" s="66"/>
      <c r="Z95" s="69"/>
      <c r="AA95" s="69"/>
      <c r="AB95" s="64"/>
      <c r="AC95" s="64"/>
      <c r="AD95" s="64"/>
    </row>
    <row r="96" spans="1:30" s="25" customFormat="1" ht="15.75">
      <c r="A96" s="131" t="s">
        <v>685</v>
      </c>
      <c r="B96" s="27" t="s">
        <v>615</v>
      </c>
      <c r="C96" s="27" t="s">
        <v>616</v>
      </c>
      <c r="D96" s="28">
        <v>1</v>
      </c>
      <c r="E96" s="28">
        <f t="shared" si="3"/>
        <v>180</v>
      </c>
      <c r="F96" s="28">
        <v>180</v>
      </c>
      <c r="G96" s="9">
        <v>0</v>
      </c>
      <c r="H96" s="9">
        <v>0</v>
      </c>
      <c r="I96" s="31">
        <v>43038</v>
      </c>
      <c r="J96" s="22"/>
      <c r="K96" s="22"/>
      <c r="L96" s="31"/>
      <c r="S96" s="26">
        <f t="shared" si="4"/>
        <v>1</v>
      </c>
      <c r="T96" s="26">
        <f t="shared" si="5"/>
        <v>180</v>
      </c>
      <c r="U96" s="32" t="s">
        <v>346</v>
      </c>
      <c r="V96" s="32"/>
      <c r="W96" s="70">
        <v>0</v>
      </c>
      <c r="X96" s="32"/>
      <c r="Y96" s="32"/>
      <c r="Z96" s="21"/>
      <c r="AA96" s="21"/>
    </row>
    <row r="97" spans="1:31" s="25" customFormat="1" ht="15.75">
      <c r="A97" s="131" t="s">
        <v>685</v>
      </c>
      <c r="B97" s="27" t="s">
        <v>617</v>
      </c>
      <c r="C97" s="27" t="s">
        <v>618</v>
      </c>
      <c r="D97" s="28">
        <v>250</v>
      </c>
      <c r="E97" s="28">
        <f t="shared" si="3"/>
        <v>15</v>
      </c>
      <c r="F97" s="28">
        <v>3750</v>
      </c>
      <c r="G97" s="9">
        <v>0</v>
      </c>
      <c r="H97" s="9">
        <v>0</v>
      </c>
      <c r="I97" s="31">
        <v>42346</v>
      </c>
      <c r="J97" s="22"/>
      <c r="K97" s="22"/>
      <c r="L97" s="31">
        <v>42349</v>
      </c>
      <c r="S97" s="26">
        <f t="shared" si="4"/>
        <v>250</v>
      </c>
      <c r="T97" s="26">
        <f t="shared" si="5"/>
        <v>3750</v>
      </c>
      <c r="U97" s="32" t="s">
        <v>347</v>
      </c>
      <c r="V97" s="32"/>
      <c r="W97" s="70">
        <v>0</v>
      </c>
      <c r="X97" s="32"/>
      <c r="Y97" s="32"/>
      <c r="Z97" s="21"/>
      <c r="AA97" s="21"/>
    </row>
    <row r="98" spans="1:31" s="25" customFormat="1" ht="15.75">
      <c r="A98" s="131" t="s">
        <v>685</v>
      </c>
      <c r="B98" s="27" t="s">
        <v>619</v>
      </c>
      <c r="C98" s="27" t="s">
        <v>620</v>
      </c>
      <c r="D98" s="28">
        <v>1</v>
      </c>
      <c r="E98" s="28">
        <f t="shared" si="3"/>
        <v>3660</v>
      </c>
      <c r="F98" s="28">
        <v>3660</v>
      </c>
      <c r="G98" s="23">
        <v>1</v>
      </c>
      <c r="H98" s="23">
        <v>0</v>
      </c>
      <c r="I98" s="31">
        <v>42346</v>
      </c>
      <c r="J98" s="22"/>
      <c r="K98" s="22"/>
      <c r="L98" s="31">
        <v>42348</v>
      </c>
      <c r="S98" s="26">
        <f t="shared" si="4"/>
        <v>1</v>
      </c>
      <c r="T98" s="26">
        <f t="shared" si="5"/>
        <v>3660</v>
      </c>
      <c r="U98" s="32" t="s">
        <v>348</v>
      </c>
      <c r="V98" s="32"/>
      <c r="W98" s="70">
        <v>0</v>
      </c>
      <c r="X98" s="32"/>
      <c r="Y98" s="32"/>
      <c r="Z98" s="21"/>
      <c r="AA98" s="21"/>
    </row>
    <row r="99" spans="1:31" s="25" customFormat="1" ht="15.75">
      <c r="A99" s="131" t="s">
        <v>685</v>
      </c>
      <c r="B99" s="27" t="s">
        <v>621</v>
      </c>
      <c r="C99" s="27" t="s">
        <v>622</v>
      </c>
      <c r="D99" s="28">
        <v>4</v>
      </c>
      <c r="E99" s="28">
        <f t="shared" si="3"/>
        <v>450</v>
      </c>
      <c r="F99" s="28">
        <v>1800</v>
      </c>
      <c r="G99" s="9">
        <v>0</v>
      </c>
      <c r="H99" s="9">
        <v>0</v>
      </c>
      <c r="I99" s="24">
        <v>45986</v>
      </c>
      <c r="J99" s="22"/>
      <c r="K99" s="22"/>
      <c r="L99" s="24">
        <v>45147</v>
      </c>
      <c r="S99" s="26">
        <f t="shared" si="4"/>
        <v>4</v>
      </c>
      <c r="T99" s="26">
        <f t="shared" si="5"/>
        <v>1800</v>
      </c>
      <c r="U99" s="27"/>
      <c r="V99" s="27"/>
      <c r="W99" s="70">
        <v>0</v>
      </c>
      <c r="X99" s="73"/>
      <c r="Y99" s="27"/>
      <c r="Z99" s="27"/>
      <c r="AA99" s="27"/>
    </row>
    <row r="100" spans="1:31" s="30" customFormat="1" ht="15.75">
      <c r="A100" s="131" t="s">
        <v>685</v>
      </c>
      <c r="B100" s="59" t="s">
        <v>1</v>
      </c>
      <c r="C100" s="59" t="s">
        <v>1</v>
      </c>
      <c r="D100" s="60">
        <v>2</v>
      </c>
      <c r="E100" s="60">
        <f t="shared" si="3"/>
        <v>6361</v>
      </c>
      <c r="F100" s="60">
        <v>12722</v>
      </c>
      <c r="G100" s="61">
        <v>0</v>
      </c>
      <c r="H100" s="61">
        <v>0</v>
      </c>
      <c r="I100" s="62">
        <v>45986</v>
      </c>
      <c r="J100" s="63"/>
      <c r="K100" s="63"/>
      <c r="L100" s="62">
        <v>45250</v>
      </c>
      <c r="M100" s="64"/>
      <c r="N100" s="64"/>
      <c r="O100" s="64"/>
      <c r="P100" s="64"/>
      <c r="Q100" s="64"/>
      <c r="R100" s="64"/>
      <c r="S100" s="65">
        <f t="shared" si="4"/>
        <v>2</v>
      </c>
      <c r="T100" s="65">
        <f t="shared" si="5"/>
        <v>12722</v>
      </c>
      <c r="U100" s="66"/>
      <c r="V100" s="66"/>
      <c r="W100" s="99">
        <v>2</v>
      </c>
      <c r="X100" s="68" t="s">
        <v>476</v>
      </c>
      <c r="Y100" s="114"/>
      <c r="Z100" s="69"/>
      <c r="AA100" s="69"/>
      <c r="AB100" s="63"/>
      <c r="AC100" s="64"/>
      <c r="AD100" s="63"/>
    </row>
    <row r="101" spans="1:31" s="30" customFormat="1" ht="15.75">
      <c r="A101" s="131" t="s">
        <v>685</v>
      </c>
      <c r="B101" s="59" t="s">
        <v>3</v>
      </c>
      <c r="C101" s="59" t="s">
        <v>3</v>
      </c>
      <c r="D101" s="60">
        <v>3</v>
      </c>
      <c r="E101" s="60">
        <f t="shared" si="3"/>
        <v>5993</v>
      </c>
      <c r="F101" s="60">
        <v>17979</v>
      </c>
      <c r="G101" s="61">
        <v>0</v>
      </c>
      <c r="H101" s="61">
        <v>0</v>
      </c>
      <c r="I101" s="62"/>
      <c r="J101" s="63"/>
      <c r="K101" s="63"/>
      <c r="L101" s="62"/>
      <c r="M101" s="64"/>
      <c r="N101" s="64"/>
      <c r="O101" s="64"/>
      <c r="P101" s="64"/>
      <c r="Q101" s="64"/>
      <c r="R101" s="64"/>
      <c r="S101" s="65">
        <f t="shared" si="4"/>
        <v>3</v>
      </c>
      <c r="T101" s="65">
        <f t="shared" si="5"/>
        <v>17979</v>
      </c>
      <c r="U101" s="66"/>
      <c r="V101" s="66"/>
      <c r="W101" s="99">
        <v>3</v>
      </c>
      <c r="X101" s="68" t="s">
        <v>476</v>
      </c>
      <c r="Y101" s="114"/>
      <c r="Z101" s="69"/>
      <c r="AA101" s="69"/>
      <c r="AB101" s="63"/>
      <c r="AC101" s="64"/>
      <c r="AD101" s="63"/>
    </row>
    <row r="102" spans="1:31" s="30" customFormat="1" ht="15.75">
      <c r="A102" s="131" t="s">
        <v>685</v>
      </c>
      <c r="B102" s="59" t="s">
        <v>93</v>
      </c>
      <c r="C102" s="59" t="s">
        <v>93</v>
      </c>
      <c r="D102" s="60">
        <v>2</v>
      </c>
      <c r="E102" s="60">
        <f t="shared" si="3"/>
        <v>5600</v>
      </c>
      <c r="F102" s="60">
        <v>11200</v>
      </c>
      <c r="G102" s="61">
        <v>0</v>
      </c>
      <c r="H102" s="61">
        <v>0</v>
      </c>
      <c r="I102" s="62">
        <v>41873</v>
      </c>
      <c r="J102" s="63"/>
      <c r="K102" s="63"/>
      <c r="L102" s="62">
        <v>41848</v>
      </c>
      <c r="M102" s="64"/>
      <c r="N102" s="64"/>
      <c r="O102" s="64"/>
      <c r="P102" s="64"/>
      <c r="Q102" s="64"/>
      <c r="R102" s="64"/>
      <c r="S102" s="65">
        <f t="shared" si="4"/>
        <v>2</v>
      </c>
      <c r="T102" s="65">
        <f t="shared" si="5"/>
        <v>11200</v>
      </c>
      <c r="U102" s="66"/>
      <c r="V102" s="66"/>
      <c r="W102" s="99">
        <v>2</v>
      </c>
      <c r="X102" s="66" t="s">
        <v>384</v>
      </c>
      <c r="Y102" s="114"/>
      <c r="Z102" s="69"/>
      <c r="AA102" s="69"/>
      <c r="AB102" s="63"/>
      <c r="AC102" s="64"/>
      <c r="AD102" s="63"/>
    </row>
    <row r="103" spans="1:31" s="25" customFormat="1" ht="15.75">
      <c r="A103" s="131" t="s">
        <v>685</v>
      </c>
      <c r="B103" s="27" t="s">
        <v>91</v>
      </c>
      <c r="C103" s="27" t="s">
        <v>92</v>
      </c>
      <c r="D103" s="28">
        <v>1</v>
      </c>
      <c r="E103" s="28">
        <f t="shared" si="3"/>
        <v>2240</v>
      </c>
      <c r="F103" s="28">
        <v>2240</v>
      </c>
      <c r="G103" s="23">
        <v>1</v>
      </c>
      <c r="H103" s="23">
        <v>0</v>
      </c>
      <c r="I103" s="31">
        <v>42972</v>
      </c>
      <c r="J103" s="22"/>
      <c r="K103" s="22"/>
      <c r="L103" s="31">
        <v>42388</v>
      </c>
      <c r="S103" s="26">
        <f t="shared" si="4"/>
        <v>1</v>
      </c>
      <c r="T103" s="26">
        <f t="shared" si="5"/>
        <v>2240</v>
      </c>
      <c r="U103" s="32" t="s">
        <v>336</v>
      </c>
      <c r="V103" s="32"/>
      <c r="W103" s="70">
        <v>0</v>
      </c>
      <c r="X103" s="32"/>
      <c r="Y103" s="32"/>
      <c r="Z103" s="21"/>
      <c r="AA103" s="21"/>
    </row>
    <row r="104" spans="1:31" s="30" customFormat="1" ht="15.75">
      <c r="A104" s="131" t="s">
        <v>685</v>
      </c>
      <c r="B104" s="59" t="s">
        <v>623</v>
      </c>
      <c r="C104" s="59" t="s">
        <v>90</v>
      </c>
      <c r="D104" s="60">
        <v>12</v>
      </c>
      <c r="E104" s="60">
        <f t="shared" si="3"/>
        <v>1400</v>
      </c>
      <c r="F104" s="60">
        <v>16800</v>
      </c>
      <c r="G104" s="61">
        <v>0</v>
      </c>
      <c r="H104" s="61">
        <v>0</v>
      </c>
      <c r="I104" s="62">
        <v>45442</v>
      </c>
      <c r="J104" s="63"/>
      <c r="K104" s="63"/>
      <c r="L104" s="62">
        <v>45903</v>
      </c>
      <c r="M104" s="64"/>
      <c r="N104" s="64"/>
      <c r="O104" s="64"/>
      <c r="P104" s="64"/>
      <c r="Q104" s="64"/>
      <c r="R104" s="64"/>
      <c r="S104" s="65">
        <f t="shared" si="4"/>
        <v>12</v>
      </c>
      <c r="T104" s="65">
        <f t="shared" si="5"/>
        <v>16800</v>
      </c>
      <c r="U104" s="66"/>
      <c r="V104" s="66"/>
      <c r="W104" s="99">
        <v>12</v>
      </c>
      <c r="X104" s="68" t="s">
        <v>476</v>
      </c>
      <c r="Y104" s="114"/>
      <c r="Z104" s="69"/>
      <c r="AA104" s="69"/>
      <c r="AB104" s="63"/>
      <c r="AC104" s="64"/>
      <c r="AD104" s="63"/>
    </row>
    <row r="105" spans="1:31" s="25" customFormat="1" ht="15.75">
      <c r="A105" s="131" t="s">
        <v>685</v>
      </c>
      <c r="B105" s="115" t="s">
        <v>88</v>
      </c>
      <c r="C105" s="115" t="s">
        <v>89</v>
      </c>
      <c r="D105" s="116">
        <v>7</v>
      </c>
      <c r="E105" s="116">
        <f t="shared" si="3"/>
        <v>1268.8571428571429</v>
      </c>
      <c r="F105" s="116">
        <v>8882</v>
      </c>
      <c r="G105" s="117">
        <v>1</v>
      </c>
      <c r="H105" s="117">
        <v>2</v>
      </c>
      <c r="I105" s="118">
        <v>39787</v>
      </c>
      <c r="J105" s="119"/>
      <c r="K105" s="119"/>
      <c r="L105" s="118">
        <v>40585</v>
      </c>
      <c r="M105" s="120"/>
      <c r="N105" s="120"/>
      <c r="O105" s="120"/>
      <c r="P105" s="120"/>
      <c r="Q105" s="120"/>
      <c r="R105" s="120"/>
      <c r="S105" s="121">
        <f t="shared" si="4"/>
        <v>7</v>
      </c>
      <c r="T105" s="121">
        <f t="shared" si="5"/>
        <v>8882</v>
      </c>
      <c r="U105" s="122"/>
      <c r="V105" s="122"/>
      <c r="W105" s="123">
        <v>0</v>
      </c>
      <c r="X105" s="122"/>
      <c r="Y105" s="122"/>
      <c r="Z105" s="115"/>
      <c r="AA105" s="115" t="s">
        <v>624</v>
      </c>
      <c r="AB105" s="120"/>
      <c r="AC105" s="120"/>
      <c r="AD105" s="120"/>
      <c r="AE105" s="124" t="s">
        <v>625</v>
      </c>
    </row>
    <row r="106" spans="1:31" s="30" customFormat="1" ht="15.75">
      <c r="A106" s="131" t="s">
        <v>685</v>
      </c>
      <c r="B106" s="59" t="s">
        <v>626</v>
      </c>
      <c r="C106" s="59" t="s">
        <v>87</v>
      </c>
      <c r="D106" s="60">
        <v>1</v>
      </c>
      <c r="E106" s="60">
        <f t="shared" si="3"/>
        <v>1580</v>
      </c>
      <c r="F106" s="60">
        <v>1580</v>
      </c>
      <c r="G106" s="61">
        <v>1</v>
      </c>
      <c r="H106" s="61">
        <v>0</v>
      </c>
      <c r="I106" s="62">
        <v>42809</v>
      </c>
      <c r="J106" s="63"/>
      <c r="K106" s="63"/>
      <c r="L106" s="62">
        <v>42843</v>
      </c>
      <c r="M106" s="64"/>
      <c r="N106" s="64"/>
      <c r="O106" s="64"/>
      <c r="P106" s="64"/>
      <c r="Q106" s="64"/>
      <c r="R106" s="64"/>
      <c r="S106" s="65">
        <f t="shared" si="4"/>
        <v>1</v>
      </c>
      <c r="T106" s="65">
        <f t="shared" si="5"/>
        <v>1580</v>
      </c>
      <c r="U106" s="66" t="s">
        <v>349</v>
      </c>
      <c r="V106" s="66"/>
      <c r="W106" s="99">
        <v>1</v>
      </c>
      <c r="X106" s="68" t="s">
        <v>476</v>
      </c>
      <c r="Y106" s="114"/>
      <c r="Z106" s="69"/>
      <c r="AA106" s="69"/>
      <c r="AB106" s="63"/>
      <c r="AC106" s="64"/>
      <c r="AD106" s="63"/>
    </row>
    <row r="107" spans="1:31" s="25" customFormat="1" ht="15.75">
      <c r="A107" s="131" t="s">
        <v>685</v>
      </c>
      <c r="B107" s="21" t="s">
        <v>425</v>
      </c>
      <c r="C107" s="21" t="s">
        <v>86</v>
      </c>
      <c r="D107" s="28">
        <v>1</v>
      </c>
      <c r="E107" s="28">
        <f t="shared" si="3"/>
        <v>19101</v>
      </c>
      <c r="F107" s="28">
        <v>19101</v>
      </c>
      <c r="G107" s="23">
        <v>1</v>
      </c>
      <c r="H107" s="23">
        <v>0</v>
      </c>
      <c r="I107" s="31">
        <v>45622</v>
      </c>
      <c r="J107" s="22"/>
      <c r="K107" s="22"/>
      <c r="L107" s="24">
        <v>45985</v>
      </c>
      <c r="S107" s="26">
        <f t="shared" si="4"/>
        <v>1</v>
      </c>
      <c r="T107" s="26">
        <f t="shared" si="5"/>
        <v>19101</v>
      </c>
      <c r="U107" s="32" t="s">
        <v>350</v>
      </c>
      <c r="V107" s="32"/>
      <c r="W107" s="70">
        <v>0</v>
      </c>
      <c r="X107" s="32"/>
      <c r="Y107" s="32"/>
      <c r="Z107" s="21"/>
      <c r="AA107" s="21"/>
    </row>
    <row r="108" spans="1:31" s="25" customFormat="1" ht="15.75">
      <c r="A108" s="131" t="s">
        <v>685</v>
      </c>
      <c r="B108" s="21" t="s">
        <v>85</v>
      </c>
      <c r="C108" s="21" t="s">
        <v>205</v>
      </c>
      <c r="D108" s="28">
        <v>1</v>
      </c>
      <c r="E108" s="28">
        <f t="shared" si="3"/>
        <v>500</v>
      </c>
      <c r="F108" s="28">
        <v>500</v>
      </c>
      <c r="G108" s="23">
        <v>1</v>
      </c>
      <c r="H108" s="23">
        <v>0</v>
      </c>
      <c r="I108" s="31">
        <v>42984</v>
      </c>
      <c r="J108" s="22"/>
      <c r="K108" s="22"/>
      <c r="L108" s="31"/>
      <c r="S108" s="26">
        <f t="shared" si="4"/>
        <v>1</v>
      </c>
      <c r="T108" s="26">
        <f t="shared" si="5"/>
        <v>500</v>
      </c>
      <c r="U108" s="32" t="s">
        <v>239</v>
      </c>
      <c r="V108" s="32"/>
      <c r="W108" s="70">
        <v>0</v>
      </c>
      <c r="X108" s="32"/>
      <c r="Y108" s="32"/>
      <c r="Z108" s="21"/>
      <c r="AA108" s="21"/>
    </row>
    <row r="109" spans="1:31" s="25" customFormat="1" ht="15.75">
      <c r="A109" s="131" t="s">
        <v>685</v>
      </c>
      <c r="B109" s="21" t="s">
        <v>83</v>
      </c>
      <c r="C109" s="21" t="s">
        <v>84</v>
      </c>
      <c r="D109" s="28">
        <v>1</v>
      </c>
      <c r="E109" s="28">
        <f t="shared" si="3"/>
        <v>12000</v>
      </c>
      <c r="F109" s="28">
        <v>12000</v>
      </c>
      <c r="G109" s="23">
        <v>1</v>
      </c>
      <c r="H109" s="23">
        <v>0</v>
      </c>
      <c r="I109" s="31">
        <v>42984</v>
      </c>
      <c r="J109" s="22"/>
      <c r="K109" s="22"/>
      <c r="L109" s="31"/>
      <c r="S109" s="26">
        <f t="shared" si="4"/>
        <v>1</v>
      </c>
      <c r="T109" s="26">
        <f t="shared" si="5"/>
        <v>12000</v>
      </c>
      <c r="U109" s="32" t="s">
        <v>351</v>
      </c>
      <c r="V109" s="32"/>
      <c r="W109" s="70">
        <v>0</v>
      </c>
      <c r="X109" s="32"/>
      <c r="Y109" s="32"/>
      <c r="Z109" s="21"/>
      <c r="AA109" s="21"/>
    </row>
    <row r="110" spans="1:31" s="25" customFormat="1" ht="15.75">
      <c r="A110" s="131" t="s">
        <v>685</v>
      </c>
      <c r="B110" s="21" t="s">
        <v>82</v>
      </c>
      <c r="C110" s="21" t="s">
        <v>206</v>
      </c>
      <c r="D110" s="28">
        <v>1</v>
      </c>
      <c r="E110" s="28">
        <f t="shared" si="3"/>
        <v>11905</v>
      </c>
      <c r="F110" s="28">
        <v>11905</v>
      </c>
      <c r="G110" s="23">
        <v>0</v>
      </c>
      <c r="H110" s="23">
        <v>0</v>
      </c>
      <c r="I110" s="31">
        <v>41766</v>
      </c>
      <c r="J110" s="22"/>
      <c r="K110" s="22"/>
      <c r="L110" s="31">
        <v>42895</v>
      </c>
      <c r="S110" s="26">
        <f t="shared" si="4"/>
        <v>1</v>
      </c>
      <c r="T110" s="26">
        <f t="shared" si="5"/>
        <v>11905</v>
      </c>
      <c r="U110" s="32"/>
      <c r="V110" s="32"/>
      <c r="W110" s="70">
        <v>0</v>
      </c>
      <c r="X110" s="32"/>
      <c r="Y110" s="32"/>
      <c r="Z110" s="21"/>
      <c r="AA110" s="21"/>
    </row>
    <row r="111" spans="1:31" s="25" customFormat="1" ht="15.75">
      <c r="A111" s="131" t="s">
        <v>685</v>
      </c>
      <c r="B111" s="21" t="s">
        <v>81</v>
      </c>
      <c r="C111" s="21" t="s">
        <v>207</v>
      </c>
      <c r="D111" s="28">
        <v>3</v>
      </c>
      <c r="E111" s="28">
        <f t="shared" si="3"/>
        <v>600</v>
      </c>
      <c r="F111" s="28">
        <v>1800</v>
      </c>
      <c r="G111" s="23">
        <v>0</v>
      </c>
      <c r="H111" s="23">
        <v>0</v>
      </c>
      <c r="I111" s="31"/>
      <c r="J111" s="22"/>
      <c r="K111" s="22"/>
      <c r="L111" s="31"/>
      <c r="S111" s="26">
        <f t="shared" si="4"/>
        <v>3</v>
      </c>
      <c r="T111" s="26">
        <f t="shared" si="5"/>
        <v>1800</v>
      </c>
      <c r="U111" s="32"/>
      <c r="V111" s="32"/>
      <c r="W111" s="70">
        <v>0</v>
      </c>
      <c r="X111" s="32"/>
      <c r="Y111" s="32"/>
      <c r="Z111" s="21"/>
      <c r="AA111" s="21"/>
    </row>
    <row r="112" spans="1:31" s="25" customFormat="1" ht="15.75">
      <c r="A112" s="131" t="s">
        <v>685</v>
      </c>
      <c r="B112" s="21" t="s">
        <v>80</v>
      </c>
      <c r="C112" s="21" t="s">
        <v>208</v>
      </c>
      <c r="D112" s="28">
        <v>24</v>
      </c>
      <c r="E112" s="28">
        <f t="shared" si="3"/>
        <v>450</v>
      </c>
      <c r="F112" s="28">
        <v>10800</v>
      </c>
      <c r="G112" s="23">
        <v>0</v>
      </c>
      <c r="H112" s="23">
        <v>0</v>
      </c>
      <c r="I112" s="31">
        <v>40801</v>
      </c>
      <c r="J112" s="22"/>
      <c r="K112" s="22"/>
      <c r="L112" s="31">
        <v>44410</v>
      </c>
      <c r="S112" s="26">
        <f t="shared" si="4"/>
        <v>24</v>
      </c>
      <c r="T112" s="26">
        <f t="shared" si="5"/>
        <v>10800</v>
      </c>
      <c r="U112" s="32"/>
      <c r="V112" s="32"/>
      <c r="W112" s="70">
        <v>0</v>
      </c>
      <c r="X112" s="32"/>
      <c r="Y112" s="32"/>
      <c r="Z112" s="21"/>
      <c r="AA112" s="21"/>
    </row>
    <row r="113" spans="1:30" s="25" customFormat="1" ht="31.5">
      <c r="A113" s="131" t="s">
        <v>685</v>
      </c>
      <c r="B113" s="21" t="s">
        <v>79</v>
      </c>
      <c r="C113" s="21" t="s">
        <v>209</v>
      </c>
      <c r="D113" s="28">
        <v>1</v>
      </c>
      <c r="E113" s="28">
        <f t="shared" si="3"/>
        <v>550</v>
      </c>
      <c r="F113" s="28">
        <v>550</v>
      </c>
      <c r="G113" s="23">
        <v>0</v>
      </c>
      <c r="H113" s="23">
        <v>0</v>
      </c>
      <c r="I113" s="31">
        <v>43488</v>
      </c>
      <c r="J113" s="22"/>
      <c r="K113" s="22"/>
      <c r="L113" s="31">
        <v>43371</v>
      </c>
      <c r="S113" s="26">
        <f t="shared" si="4"/>
        <v>1</v>
      </c>
      <c r="T113" s="26">
        <f t="shared" si="5"/>
        <v>550</v>
      </c>
      <c r="U113" s="32" t="s">
        <v>344</v>
      </c>
      <c r="V113" s="32"/>
      <c r="W113" s="70">
        <v>0</v>
      </c>
      <c r="X113" s="32"/>
      <c r="Y113" s="32"/>
      <c r="Z113" s="21"/>
      <c r="AA113" s="21"/>
    </row>
    <row r="114" spans="1:30" s="25" customFormat="1" ht="15.75">
      <c r="A114" s="131" t="s">
        <v>685</v>
      </c>
      <c r="B114" s="21" t="s">
        <v>78</v>
      </c>
      <c r="C114" s="21" t="s">
        <v>210</v>
      </c>
      <c r="D114" s="28">
        <v>1</v>
      </c>
      <c r="E114" s="28">
        <f t="shared" si="3"/>
        <v>2300</v>
      </c>
      <c r="F114" s="28">
        <v>2300</v>
      </c>
      <c r="G114" s="23">
        <v>0</v>
      </c>
      <c r="H114" s="23">
        <v>0</v>
      </c>
      <c r="I114" s="31">
        <v>40611</v>
      </c>
      <c r="J114" s="22"/>
      <c r="K114" s="22"/>
      <c r="L114" s="31">
        <v>41565</v>
      </c>
      <c r="S114" s="26">
        <f t="shared" si="4"/>
        <v>1</v>
      </c>
      <c r="T114" s="26">
        <f t="shared" si="5"/>
        <v>2300</v>
      </c>
      <c r="U114" s="32"/>
      <c r="V114" s="32"/>
      <c r="W114" s="70">
        <v>0</v>
      </c>
      <c r="X114" s="32"/>
      <c r="Y114" s="32"/>
      <c r="Z114" s="21"/>
      <c r="AA114" s="21"/>
    </row>
    <row r="115" spans="1:30" s="25" customFormat="1" ht="15.75">
      <c r="A115" s="131" t="s">
        <v>685</v>
      </c>
      <c r="B115" s="21" t="s">
        <v>77</v>
      </c>
      <c r="C115" s="21" t="s">
        <v>211</v>
      </c>
      <c r="D115" s="28">
        <v>1</v>
      </c>
      <c r="E115" s="28">
        <f t="shared" si="3"/>
        <v>4500</v>
      </c>
      <c r="F115" s="28">
        <v>4500</v>
      </c>
      <c r="G115" s="23">
        <v>0</v>
      </c>
      <c r="H115" s="23">
        <v>0</v>
      </c>
      <c r="I115" s="31">
        <v>40611</v>
      </c>
      <c r="J115" s="22"/>
      <c r="K115" s="22"/>
      <c r="L115" s="31">
        <v>41565</v>
      </c>
      <c r="S115" s="26">
        <f t="shared" si="4"/>
        <v>1</v>
      </c>
      <c r="T115" s="26">
        <f t="shared" si="5"/>
        <v>4500</v>
      </c>
      <c r="U115" s="32"/>
      <c r="V115" s="32"/>
      <c r="W115" s="70">
        <v>0</v>
      </c>
      <c r="X115" s="32"/>
      <c r="Y115" s="32"/>
      <c r="Z115" s="21"/>
      <c r="AA115" s="21"/>
    </row>
    <row r="116" spans="1:30" s="25" customFormat="1" ht="31.5">
      <c r="A116" s="131" t="s">
        <v>685</v>
      </c>
      <c r="B116" s="21" t="s">
        <v>76</v>
      </c>
      <c r="C116" s="21" t="s">
        <v>212</v>
      </c>
      <c r="D116" s="28">
        <v>4</v>
      </c>
      <c r="E116" s="28">
        <f t="shared" si="3"/>
        <v>3000</v>
      </c>
      <c r="F116" s="28">
        <v>12000</v>
      </c>
      <c r="G116" s="23">
        <v>0</v>
      </c>
      <c r="H116" s="23">
        <v>0</v>
      </c>
      <c r="I116" s="31">
        <v>43565</v>
      </c>
      <c r="J116" s="22"/>
      <c r="K116" s="22"/>
      <c r="L116" s="31"/>
      <c r="S116" s="26">
        <f t="shared" si="4"/>
        <v>4</v>
      </c>
      <c r="T116" s="26">
        <f t="shared" si="5"/>
        <v>12000</v>
      </c>
      <c r="U116" s="32" t="s">
        <v>352</v>
      </c>
      <c r="V116" s="32"/>
      <c r="W116" s="70">
        <v>0</v>
      </c>
      <c r="X116" s="32"/>
      <c r="Y116" s="32"/>
      <c r="Z116" s="21"/>
      <c r="AA116" s="21"/>
    </row>
    <row r="117" spans="1:30" s="25" customFormat="1" ht="31.5">
      <c r="A117" s="131" t="s">
        <v>685</v>
      </c>
      <c r="B117" s="21" t="s">
        <v>75</v>
      </c>
      <c r="C117" s="21" t="s">
        <v>213</v>
      </c>
      <c r="D117" s="28">
        <v>2</v>
      </c>
      <c r="E117" s="28">
        <f t="shared" si="3"/>
        <v>1000</v>
      </c>
      <c r="F117" s="28">
        <v>2000</v>
      </c>
      <c r="G117" s="23">
        <v>0</v>
      </c>
      <c r="H117" s="23">
        <v>0</v>
      </c>
      <c r="I117" s="31">
        <v>43565</v>
      </c>
      <c r="J117" s="22"/>
      <c r="K117" s="22"/>
      <c r="L117" s="31"/>
      <c r="S117" s="26">
        <f t="shared" si="4"/>
        <v>2</v>
      </c>
      <c r="T117" s="26">
        <f t="shared" si="5"/>
        <v>2000</v>
      </c>
      <c r="U117" s="32" t="s">
        <v>353</v>
      </c>
      <c r="V117" s="32"/>
      <c r="W117" s="70">
        <v>0</v>
      </c>
      <c r="X117" s="32"/>
      <c r="Y117" s="32"/>
      <c r="Z117" s="21"/>
      <c r="AA117" s="21"/>
    </row>
    <row r="118" spans="1:30" s="25" customFormat="1" ht="15.75">
      <c r="A118" s="131" t="s">
        <v>685</v>
      </c>
      <c r="B118" s="27" t="s">
        <v>426</v>
      </c>
      <c r="C118" s="27" t="s">
        <v>427</v>
      </c>
      <c r="D118" s="28">
        <v>1</v>
      </c>
      <c r="E118" s="28">
        <f t="shared" si="3"/>
        <v>26000</v>
      </c>
      <c r="F118" s="28">
        <v>26000</v>
      </c>
      <c r="G118" s="23">
        <v>0</v>
      </c>
      <c r="H118" s="23">
        <v>0</v>
      </c>
      <c r="I118" s="31">
        <v>45082</v>
      </c>
      <c r="J118" s="22"/>
      <c r="K118" s="22"/>
      <c r="L118" s="31">
        <v>42349</v>
      </c>
      <c r="S118" s="26">
        <f t="shared" si="4"/>
        <v>1</v>
      </c>
      <c r="T118" s="26">
        <f t="shared" si="5"/>
        <v>26000</v>
      </c>
      <c r="U118" s="32" t="s">
        <v>354</v>
      </c>
      <c r="V118" s="32"/>
      <c r="W118" s="70">
        <v>0</v>
      </c>
      <c r="X118" s="32"/>
      <c r="Y118" s="32"/>
      <c r="Z118" s="21"/>
      <c r="AA118" s="21"/>
    </row>
    <row r="119" spans="1:30" s="25" customFormat="1" ht="15.75">
      <c r="A119" s="131" t="s">
        <v>685</v>
      </c>
      <c r="B119" s="27" t="s">
        <v>428</v>
      </c>
      <c r="C119" s="27" t="s">
        <v>429</v>
      </c>
      <c r="D119" s="28">
        <v>80</v>
      </c>
      <c r="E119" s="28">
        <f t="shared" si="3"/>
        <v>1200</v>
      </c>
      <c r="F119" s="28">
        <v>96000</v>
      </c>
      <c r="G119" s="23">
        <v>0</v>
      </c>
      <c r="H119" s="23">
        <v>0</v>
      </c>
      <c r="I119" s="24">
        <v>45894</v>
      </c>
      <c r="J119" s="22"/>
      <c r="K119" s="22"/>
      <c r="L119" s="31">
        <v>46048</v>
      </c>
      <c r="S119" s="26">
        <f t="shared" si="4"/>
        <v>80</v>
      </c>
      <c r="T119" s="26">
        <f t="shared" si="5"/>
        <v>96000</v>
      </c>
      <c r="U119" s="21"/>
      <c r="V119" s="21"/>
      <c r="W119" s="70">
        <v>0</v>
      </c>
      <c r="X119" s="32"/>
      <c r="Y119" s="21"/>
      <c r="Z119" s="41"/>
      <c r="AA119" s="21"/>
    </row>
    <row r="120" spans="1:30" s="25" customFormat="1" ht="15.75">
      <c r="A120" s="131" t="s">
        <v>685</v>
      </c>
      <c r="B120" s="27" t="s">
        <v>430</v>
      </c>
      <c r="C120" s="27" t="s">
        <v>431</v>
      </c>
      <c r="D120" s="28">
        <v>20</v>
      </c>
      <c r="E120" s="28">
        <f t="shared" si="3"/>
        <v>900</v>
      </c>
      <c r="F120" s="28">
        <v>18000</v>
      </c>
      <c r="G120" s="23">
        <v>0</v>
      </c>
      <c r="H120" s="23">
        <v>0</v>
      </c>
      <c r="I120" s="31">
        <v>45803</v>
      </c>
      <c r="J120" s="22"/>
      <c r="K120" s="22"/>
      <c r="L120" s="31">
        <v>41451</v>
      </c>
      <c r="S120" s="26">
        <f t="shared" si="4"/>
        <v>20</v>
      </c>
      <c r="T120" s="26">
        <f t="shared" si="5"/>
        <v>18000</v>
      </c>
      <c r="U120" s="32" t="s">
        <v>355</v>
      </c>
      <c r="V120" s="32"/>
      <c r="W120" s="70">
        <v>0</v>
      </c>
      <c r="X120" s="32"/>
      <c r="Y120" s="32"/>
      <c r="Z120" s="21"/>
      <c r="AA120" s="21"/>
    </row>
    <row r="121" spans="1:30" s="25" customFormat="1" ht="15.75">
      <c r="A121" s="131" t="s">
        <v>685</v>
      </c>
      <c r="B121" s="27" t="s">
        <v>432</v>
      </c>
      <c r="C121" s="27" t="s">
        <v>433</v>
      </c>
      <c r="D121" s="28">
        <v>1</v>
      </c>
      <c r="E121" s="28">
        <f t="shared" si="3"/>
        <v>20000</v>
      </c>
      <c r="F121" s="28">
        <v>20000</v>
      </c>
      <c r="G121" s="23">
        <v>0</v>
      </c>
      <c r="H121" s="23">
        <v>0</v>
      </c>
      <c r="I121" s="31">
        <v>42494</v>
      </c>
      <c r="J121" s="22"/>
      <c r="K121" s="22"/>
      <c r="L121" s="31">
        <v>42508</v>
      </c>
      <c r="S121" s="26">
        <f t="shared" si="4"/>
        <v>1</v>
      </c>
      <c r="T121" s="26">
        <f t="shared" si="5"/>
        <v>20000</v>
      </c>
      <c r="U121" s="32" t="s">
        <v>356</v>
      </c>
      <c r="V121" s="32"/>
      <c r="W121" s="70">
        <v>0</v>
      </c>
      <c r="X121" s="32"/>
      <c r="Y121" s="32"/>
      <c r="Z121" s="21"/>
      <c r="AA121" s="21"/>
    </row>
    <row r="122" spans="1:30" s="25" customFormat="1" ht="15.75">
      <c r="A122" s="131" t="s">
        <v>685</v>
      </c>
      <c r="B122" s="27" t="s">
        <v>434</v>
      </c>
      <c r="C122" s="27" t="s">
        <v>435</v>
      </c>
      <c r="D122" s="28">
        <v>100</v>
      </c>
      <c r="E122" s="28">
        <f t="shared" si="3"/>
        <v>600</v>
      </c>
      <c r="F122" s="28">
        <v>60000</v>
      </c>
      <c r="G122" s="23">
        <v>0</v>
      </c>
      <c r="H122" s="23">
        <v>0</v>
      </c>
      <c r="I122" s="31">
        <v>40592</v>
      </c>
      <c r="J122" s="22"/>
      <c r="K122" s="22"/>
      <c r="L122" s="31">
        <v>43405</v>
      </c>
      <c r="S122" s="26">
        <f t="shared" si="4"/>
        <v>100</v>
      </c>
      <c r="T122" s="26">
        <f t="shared" si="5"/>
        <v>60000</v>
      </c>
      <c r="U122" s="32"/>
      <c r="V122" s="32"/>
      <c r="W122" s="70">
        <v>0</v>
      </c>
      <c r="X122" s="32"/>
      <c r="Y122" s="32"/>
      <c r="Z122" s="21"/>
      <c r="AA122" s="21"/>
    </row>
    <row r="123" spans="1:30" s="25" customFormat="1" ht="15.75">
      <c r="A123" s="131" t="s">
        <v>685</v>
      </c>
      <c r="B123" s="27" t="s">
        <v>436</v>
      </c>
      <c r="C123" s="27" t="s">
        <v>437</v>
      </c>
      <c r="D123" s="28">
        <v>20</v>
      </c>
      <c r="E123" s="28">
        <f t="shared" si="3"/>
        <v>400</v>
      </c>
      <c r="F123" s="28">
        <v>8000</v>
      </c>
      <c r="G123" s="23">
        <v>0</v>
      </c>
      <c r="H123" s="23">
        <v>0</v>
      </c>
      <c r="I123" s="31">
        <v>40625</v>
      </c>
      <c r="J123" s="22"/>
      <c r="K123" s="22"/>
      <c r="L123" s="31">
        <v>41096</v>
      </c>
      <c r="S123" s="26">
        <f t="shared" si="4"/>
        <v>20</v>
      </c>
      <c r="T123" s="26">
        <f t="shared" si="5"/>
        <v>8000</v>
      </c>
      <c r="U123" s="32"/>
      <c r="V123" s="32"/>
      <c r="W123" s="70">
        <v>0</v>
      </c>
      <c r="X123" s="32"/>
      <c r="Y123" s="32"/>
      <c r="Z123" s="21"/>
      <c r="AA123" s="21"/>
    </row>
    <row r="124" spans="1:30" s="25" customFormat="1" ht="15.75">
      <c r="A124" s="131" t="s">
        <v>685</v>
      </c>
      <c r="B124" s="27" t="s">
        <v>438</v>
      </c>
      <c r="C124" s="27" t="s">
        <v>439</v>
      </c>
      <c r="D124" s="28">
        <v>500</v>
      </c>
      <c r="E124" s="28">
        <f t="shared" si="3"/>
        <v>135</v>
      </c>
      <c r="F124" s="28">
        <v>67500</v>
      </c>
      <c r="G124" s="23">
        <v>0</v>
      </c>
      <c r="H124" s="23">
        <v>0</v>
      </c>
      <c r="I124" s="31">
        <v>40625</v>
      </c>
      <c r="J124" s="22"/>
      <c r="K124" s="22"/>
      <c r="L124" s="31">
        <v>41565</v>
      </c>
      <c r="S124" s="26">
        <f t="shared" si="4"/>
        <v>500</v>
      </c>
      <c r="T124" s="26">
        <f t="shared" si="5"/>
        <v>67500</v>
      </c>
      <c r="U124" s="32"/>
      <c r="V124" s="32"/>
      <c r="W124" s="70">
        <v>0</v>
      </c>
      <c r="X124" s="32"/>
      <c r="Y124" s="32"/>
      <c r="Z124" s="21"/>
      <c r="AA124" s="21"/>
    </row>
    <row r="125" spans="1:30" s="25" customFormat="1" ht="47.25">
      <c r="A125" s="131" t="s">
        <v>685</v>
      </c>
      <c r="B125" s="27" t="s">
        <v>627</v>
      </c>
      <c r="C125" s="27" t="s">
        <v>628</v>
      </c>
      <c r="D125" s="28">
        <v>1</v>
      </c>
      <c r="E125" s="28">
        <f t="shared" si="3"/>
        <v>8000</v>
      </c>
      <c r="F125" s="28">
        <v>8000</v>
      </c>
      <c r="G125" s="9">
        <v>0</v>
      </c>
      <c r="H125" s="9">
        <v>0</v>
      </c>
      <c r="I125" s="31">
        <v>41222</v>
      </c>
      <c r="J125" s="22"/>
      <c r="K125" s="22"/>
      <c r="L125" s="31">
        <v>43405</v>
      </c>
      <c r="S125" s="26">
        <f t="shared" si="4"/>
        <v>1</v>
      </c>
      <c r="T125" s="26">
        <f t="shared" si="5"/>
        <v>8000</v>
      </c>
      <c r="U125" s="32" t="s">
        <v>378</v>
      </c>
      <c r="V125" s="32"/>
      <c r="W125" s="70">
        <v>0</v>
      </c>
      <c r="X125" s="32"/>
      <c r="Y125" s="32"/>
      <c r="Z125" s="36"/>
      <c r="AA125" s="21"/>
    </row>
    <row r="126" spans="1:30" s="25" customFormat="1" ht="15.75">
      <c r="A126" s="131" t="s">
        <v>685</v>
      </c>
      <c r="B126" s="42" t="s">
        <v>440</v>
      </c>
      <c r="C126" s="42" t="s">
        <v>214</v>
      </c>
      <c r="D126" s="28">
        <v>3</v>
      </c>
      <c r="E126" s="28">
        <f t="shared" si="3"/>
        <v>430</v>
      </c>
      <c r="F126" s="28">
        <v>1290</v>
      </c>
      <c r="G126" s="23">
        <v>0</v>
      </c>
      <c r="H126" s="23">
        <v>0</v>
      </c>
      <c r="I126" s="31">
        <v>40134</v>
      </c>
      <c r="J126" s="22"/>
      <c r="K126" s="22"/>
      <c r="L126" s="31"/>
      <c r="S126" s="26">
        <f t="shared" si="4"/>
        <v>3</v>
      </c>
      <c r="T126" s="26">
        <f t="shared" si="5"/>
        <v>1290</v>
      </c>
      <c r="U126" s="32"/>
      <c r="V126" s="32"/>
      <c r="W126" s="70">
        <v>0</v>
      </c>
      <c r="X126" s="32"/>
      <c r="Y126" s="32"/>
      <c r="Z126" s="21"/>
      <c r="AA126" s="21"/>
    </row>
    <row r="127" spans="1:30" s="25" customFormat="1" ht="15.75">
      <c r="A127" s="131" t="s">
        <v>685</v>
      </c>
      <c r="B127" s="69" t="s">
        <v>629</v>
      </c>
      <c r="C127" s="69" t="s">
        <v>215</v>
      </c>
      <c r="D127" s="60">
        <v>2</v>
      </c>
      <c r="E127" s="60">
        <f t="shared" si="3"/>
        <v>450</v>
      </c>
      <c r="F127" s="60">
        <v>900</v>
      </c>
      <c r="G127" s="61">
        <v>0</v>
      </c>
      <c r="H127" s="61">
        <v>0</v>
      </c>
      <c r="I127" s="71">
        <v>45252</v>
      </c>
      <c r="J127" s="63"/>
      <c r="K127" s="63"/>
      <c r="L127" s="71">
        <v>45650</v>
      </c>
      <c r="M127" s="64"/>
      <c r="N127" s="64"/>
      <c r="O127" s="64"/>
      <c r="P127" s="64"/>
      <c r="Q127" s="64"/>
      <c r="R127" s="64"/>
      <c r="S127" s="65">
        <f t="shared" si="4"/>
        <v>2</v>
      </c>
      <c r="T127" s="65">
        <f t="shared" si="5"/>
        <v>900</v>
      </c>
      <c r="U127" s="66"/>
      <c r="V127" s="66"/>
      <c r="W127" s="72">
        <v>2</v>
      </c>
      <c r="X127" s="66" t="s">
        <v>630</v>
      </c>
      <c r="Y127" s="66"/>
      <c r="Z127" s="69"/>
      <c r="AA127" s="69"/>
      <c r="AB127" s="64"/>
      <c r="AC127" s="64"/>
      <c r="AD127" s="64"/>
    </row>
    <row r="128" spans="1:30" s="25" customFormat="1" ht="31.5">
      <c r="A128" s="131" t="s">
        <v>685</v>
      </c>
      <c r="B128" s="21" t="s">
        <v>74</v>
      </c>
      <c r="C128" s="21" t="s">
        <v>216</v>
      </c>
      <c r="D128" s="28">
        <v>1</v>
      </c>
      <c r="E128" s="28">
        <f t="shared" si="3"/>
        <v>4200</v>
      </c>
      <c r="F128" s="28">
        <v>4200</v>
      </c>
      <c r="G128" s="23">
        <v>0</v>
      </c>
      <c r="H128" s="23">
        <v>0</v>
      </c>
      <c r="I128" s="24">
        <v>45996</v>
      </c>
      <c r="J128" s="22"/>
      <c r="K128" s="22"/>
      <c r="L128" s="24"/>
      <c r="S128" s="26">
        <f t="shared" si="4"/>
        <v>1</v>
      </c>
      <c r="T128" s="26">
        <f t="shared" si="5"/>
        <v>4200</v>
      </c>
      <c r="U128" s="27"/>
      <c r="V128" s="27"/>
      <c r="W128" s="46">
        <v>0</v>
      </c>
      <c r="X128" s="73"/>
      <c r="Y128" s="27"/>
      <c r="Z128" s="27"/>
      <c r="AA128" s="27"/>
    </row>
    <row r="129" spans="1:30" s="25" customFormat="1" ht="15.75">
      <c r="A129" s="131" t="s">
        <v>685</v>
      </c>
      <c r="B129" s="80" t="s">
        <v>132</v>
      </c>
      <c r="C129" s="80" t="s">
        <v>217</v>
      </c>
      <c r="D129" s="49">
        <v>170</v>
      </c>
      <c r="E129" s="49">
        <f t="shared" si="3"/>
        <v>40</v>
      </c>
      <c r="F129" s="49">
        <v>6800</v>
      </c>
      <c r="G129" s="50">
        <v>0</v>
      </c>
      <c r="H129" s="50">
        <v>0</v>
      </c>
      <c r="I129" s="83">
        <v>45996</v>
      </c>
      <c r="J129" s="52"/>
      <c r="K129" s="52"/>
      <c r="L129" s="83"/>
      <c r="M129" s="53"/>
      <c r="N129" s="53"/>
      <c r="O129" s="53"/>
      <c r="P129" s="53"/>
      <c r="Q129" s="53"/>
      <c r="R129" s="53"/>
      <c r="S129" s="54">
        <f t="shared" si="4"/>
        <v>170</v>
      </c>
      <c r="T129" s="54">
        <f t="shared" si="5"/>
        <v>6800</v>
      </c>
      <c r="U129" s="55"/>
      <c r="V129" s="55"/>
      <c r="W129" s="102">
        <v>0</v>
      </c>
      <c r="X129" s="55"/>
      <c r="Y129" s="55"/>
      <c r="Z129" s="58"/>
      <c r="AA129" s="58" t="s">
        <v>631</v>
      </c>
      <c r="AB129" s="52"/>
      <c r="AC129" s="53">
        <f>(F129/D129)*170</f>
        <v>6800</v>
      </c>
      <c r="AD129" s="52"/>
    </row>
    <row r="130" spans="1:30" s="25" customFormat="1" ht="15.75">
      <c r="A130" s="131" t="s">
        <v>685</v>
      </c>
      <c r="B130" s="21" t="s">
        <v>73</v>
      </c>
      <c r="C130" s="21" t="s">
        <v>218</v>
      </c>
      <c r="D130" s="28">
        <v>2</v>
      </c>
      <c r="E130" s="28">
        <f t="shared" si="3"/>
        <v>35</v>
      </c>
      <c r="F130" s="28">
        <v>70</v>
      </c>
      <c r="G130" s="23">
        <v>2</v>
      </c>
      <c r="H130" s="23">
        <v>0</v>
      </c>
      <c r="I130" s="24">
        <v>45996</v>
      </c>
      <c r="J130" s="22"/>
      <c r="K130" s="22"/>
      <c r="L130" s="24"/>
      <c r="S130" s="26">
        <f t="shared" si="4"/>
        <v>2</v>
      </c>
      <c r="T130" s="26">
        <f t="shared" si="5"/>
        <v>70</v>
      </c>
      <c r="U130" s="27"/>
      <c r="V130" s="27"/>
      <c r="W130" s="46">
        <v>0</v>
      </c>
      <c r="X130" s="73"/>
      <c r="Y130" s="27"/>
      <c r="Z130" s="27"/>
      <c r="AA130" s="27"/>
    </row>
    <row r="131" spans="1:30" s="25" customFormat="1" ht="15.75">
      <c r="A131" s="131" t="s">
        <v>685</v>
      </c>
      <c r="B131" s="21" t="s">
        <v>72</v>
      </c>
      <c r="C131" s="21" t="s">
        <v>219</v>
      </c>
      <c r="D131" s="28">
        <v>50</v>
      </c>
      <c r="E131" s="28">
        <f t="shared" ref="E131:E181" si="6">IFERROR(F131/D131,0)</f>
        <v>6</v>
      </c>
      <c r="F131" s="28">
        <v>300</v>
      </c>
      <c r="G131" s="23">
        <v>0</v>
      </c>
      <c r="H131" s="23">
        <v>0</v>
      </c>
      <c r="I131" s="31">
        <v>44838</v>
      </c>
      <c r="J131" s="22"/>
      <c r="K131" s="22"/>
      <c r="L131" s="31">
        <v>44858</v>
      </c>
      <c r="S131" s="26">
        <f t="shared" ref="S131:S181" si="7">D131+J131-M131+O131+Q131</f>
        <v>50</v>
      </c>
      <c r="T131" s="26">
        <f t="shared" ref="T131:T181" si="8">F131+K131-N131+P131+R131</f>
        <v>300</v>
      </c>
      <c r="U131" s="32"/>
      <c r="V131" s="32"/>
      <c r="W131" s="46">
        <v>0</v>
      </c>
      <c r="X131" s="32"/>
      <c r="Y131" s="32"/>
      <c r="Z131" s="21"/>
      <c r="AA131" s="21"/>
    </row>
    <row r="132" spans="1:30" s="25" customFormat="1" ht="15.75">
      <c r="A132" s="131" t="s">
        <v>685</v>
      </c>
      <c r="B132" s="21" t="s">
        <v>441</v>
      </c>
      <c r="C132" s="21" t="s">
        <v>220</v>
      </c>
      <c r="D132" s="28">
        <v>20</v>
      </c>
      <c r="E132" s="28">
        <f t="shared" si="6"/>
        <v>14.3</v>
      </c>
      <c r="F132" s="28">
        <v>286</v>
      </c>
      <c r="G132" s="23">
        <v>0</v>
      </c>
      <c r="H132" s="23">
        <v>0</v>
      </c>
      <c r="I132" s="24">
        <v>45933</v>
      </c>
      <c r="J132" s="22"/>
      <c r="K132" s="22"/>
      <c r="L132" s="24"/>
      <c r="S132" s="26">
        <f t="shared" si="7"/>
        <v>20</v>
      </c>
      <c r="T132" s="26">
        <f t="shared" si="8"/>
        <v>286</v>
      </c>
      <c r="U132" s="27"/>
      <c r="V132" s="27"/>
      <c r="W132" s="46">
        <v>0</v>
      </c>
      <c r="X132" s="73"/>
      <c r="Y132" s="27"/>
      <c r="Z132" s="27"/>
      <c r="AA132" s="27"/>
    </row>
    <row r="133" spans="1:30" s="25" customFormat="1" ht="31.5">
      <c r="A133" s="131" t="s">
        <v>685</v>
      </c>
      <c r="B133" s="21" t="s">
        <v>71</v>
      </c>
      <c r="C133" s="21" t="s">
        <v>221</v>
      </c>
      <c r="D133" s="28">
        <v>1</v>
      </c>
      <c r="E133" s="28">
        <f t="shared" si="6"/>
        <v>56190</v>
      </c>
      <c r="F133" s="28">
        <v>56190</v>
      </c>
      <c r="G133" s="23">
        <v>0</v>
      </c>
      <c r="H133" s="23">
        <v>0</v>
      </c>
      <c r="I133" s="24">
        <v>45728</v>
      </c>
      <c r="J133" s="22"/>
      <c r="K133" s="22"/>
      <c r="L133" s="24">
        <v>45922</v>
      </c>
      <c r="S133" s="26">
        <f t="shared" si="7"/>
        <v>1</v>
      </c>
      <c r="T133" s="26">
        <f t="shared" si="8"/>
        <v>56190</v>
      </c>
      <c r="U133" s="27"/>
      <c r="V133" s="27"/>
      <c r="W133" s="46">
        <v>0</v>
      </c>
      <c r="X133" s="73"/>
      <c r="Y133" s="27"/>
      <c r="Z133" s="27"/>
      <c r="AA133" s="27"/>
    </row>
    <row r="134" spans="1:30" s="25" customFormat="1" ht="15.75">
      <c r="A134" s="131" t="s">
        <v>685</v>
      </c>
      <c r="B134" s="21" t="s">
        <v>70</v>
      </c>
      <c r="C134" s="21" t="s">
        <v>222</v>
      </c>
      <c r="D134" s="28">
        <v>3</v>
      </c>
      <c r="E134" s="28">
        <f t="shared" si="6"/>
        <v>25715</v>
      </c>
      <c r="F134" s="28">
        <v>77145</v>
      </c>
      <c r="G134" s="23">
        <v>0</v>
      </c>
      <c r="H134" s="23">
        <v>0</v>
      </c>
      <c r="I134" s="24">
        <v>46010</v>
      </c>
      <c r="J134" s="22"/>
      <c r="K134" s="22"/>
      <c r="L134" s="24"/>
      <c r="S134" s="26">
        <f t="shared" si="7"/>
        <v>3</v>
      </c>
      <c r="T134" s="26">
        <f t="shared" si="8"/>
        <v>77145</v>
      </c>
      <c r="U134" s="27"/>
      <c r="V134" s="27"/>
      <c r="W134" s="46">
        <v>0</v>
      </c>
      <c r="X134" s="73"/>
      <c r="Y134" s="27"/>
      <c r="Z134" s="27"/>
      <c r="AA134" s="27"/>
    </row>
    <row r="135" spans="1:30" s="25" customFormat="1" ht="15.75">
      <c r="A135" s="131" t="s">
        <v>685</v>
      </c>
      <c r="B135" s="21" t="s">
        <v>69</v>
      </c>
      <c r="C135" s="21" t="s">
        <v>223</v>
      </c>
      <c r="D135" s="28">
        <v>4</v>
      </c>
      <c r="E135" s="28">
        <f t="shared" si="6"/>
        <v>2458.25</v>
      </c>
      <c r="F135" s="28">
        <v>9833</v>
      </c>
      <c r="G135" s="23">
        <v>0</v>
      </c>
      <c r="H135" s="23">
        <v>0</v>
      </c>
      <c r="I135" s="24">
        <v>46010</v>
      </c>
      <c r="J135" s="22"/>
      <c r="K135" s="22"/>
      <c r="L135" s="24"/>
      <c r="S135" s="26">
        <f t="shared" si="7"/>
        <v>4</v>
      </c>
      <c r="T135" s="26">
        <f t="shared" si="8"/>
        <v>9833</v>
      </c>
      <c r="U135" s="27"/>
      <c r="V135" s="27"/>
      <c r="W135" s="46">
        <v>0</v>
      </c>
      <c r="X135" s="73"/>
      <c r="Y135" s="27"/>
      <c r="Z135" s="27"/>
      <c r="AA135" s="27"/>
    </row>
    <row r="136" spans="1:30" s="25" customFormat="1" ht="15.75">
      <c r="A136" s="131" t="s">
        <v>685</v>
      </c>
      <c r="B136" s="21" t="s">
        <v>68</v>
      </c>
      <c r="C136" s="21" t="s">
        <v>224</v>
      </c>
      <c r="D136" s="28">
        <v>1</v>
      </c>
      <c r="E136" s="28">
        <f t="shared" si="6"/>
        <v>8095</v>
      </c>
      <c r="F136" s="28">
        <v>8095</v>
      </c>
      <c r="G136" s="23">
        <v>0</v>
      </c>
      <c r="H136" s="23">
        <v>0</v>
      </c>
      <c r="I136" s="24">
        <v>46010</v>
      </c>
      <c r="J136" s="22"/>
      <c r="K136" s="22"/>
      <c r="L136" s="24"/>
      <c r="S136" s="26">
        <f t="shared" si="7"/>
        <v>1</v>
      </c>
      <c r="T136" s="26">
        <f t="shared" si="8"/>
        <v>8095</v>
      </c>
      <c r="U136" s="27"/>
      <c r="V136" s="27"/>
      <c r="W136" s="46">
        <v>0</v>
      </c>
      <c r="X136" s="73"/>
      <c r="Y136" s="27"/>
      <c r="Z136" s="27"/>
      <c r="AA136" s="27"/>
    </row>
    <row r="137" spans="1:30" s="25" customFormat="1" ht="15.75">
      <c r="A137" s="131" t="s">
        <v>685</v>
      </c>
      <c r="B137" s="21" t="s">
        <v>67</v>
      </c>
      <c r="C137" s="21" t="s">
        <v>225</v>
      </c>
      <c r="D137" s="28">
        <v>2</v>
      </c>
      <c r="E137" s="28">
        <f t="shared" si="6"/>
        <v>200</v>
      </c>
      <c r="F137" s="28">
        <v>400</v>
      </c>
      <c r="G137" s="23">
        <v>0</v>
      </c>
      <c r="H137" s="23">
        <v>0</v>
      </c>
      <c r="I137" s="24">
        <v>45964</v>
      </c>
      <c r="J137" s="22"/>
      <c r="K137" s="22"/>
      <c r="L137" s="24">
        <v>45945</v>
      </c>
      <c r="S137" s="26">
        <f t="shared" si="7"/>
        <v>2</v>
      </c>
      <c r="T137" s="26">
        <f t="shared" si="8"/>
        <v>400</v>
      </c>
      <c r="U137" s="27"/>
      <c r="V137" s="27"/>
      <c r="W137" s="46">
        <v>0</v>
      </c>
      <c r="X137" s="73"/>
      <c r="Y137" s="27"/>
      <c r="Z137" s="27"/>
      <c r="AA137" s="27"/>
    </row>
    <row r="138" spans="1:30" s="25" customFormat="1" ht="31.5">
      <c r="A138" s="131" t="s">
        <v>685</v>
      </c>
      <c r="B138" s="21" t="s">
        <v>161</v>
      </c>
      <c r="C138" s="21" t="s">
        <v>226</v>
      </c>
      <c r="D138" s="28">
        <v>5</v>
      </c>
      <c r="E138" s="28">
        <f t="shared" si="6"/>
        <v>190</v>
      </c>
      <c r="F138" s="28">
        <v>950</v>
      </c>
      <c r="G138" s="23">
        <v>0</v>
      </c>
      <c r="H138" s="23">
        <v>0</v>
      </c>
      <c r="I138" s="24">
        <v>45877</v>
      </c>
      <c r="J138" s="22"/>
      <c r="K138" s="22"/>
      <c r="L138" s="24"/>
      <c r="S138" s="26">
        <f t="shared" si="7"/>
        <v>5</v>
      </c>
      <c r="T138" s="26">
        <f t="shared" si="8"/>
        <v>950</v>
      </c>
      <c r="U138" s="27"/>
      <c r="V138" s="27"/>
      <c r="W138" s="46">
        <v>0</v>
      </c>
      <c r="X138" s="73"/>
      <c r="Y138" s="27"/>
      <c r="Z138" s="27"/>
      <c r="AA138" s="27"/>
    </row>
    <row r="139" spans="1:30" s="25" customFormat="1" ht="15.75">
      <c r="A139" s="131" t="s">
        <v>685</v>
      </c>
      <c r="B139" s="77" t="s">
        <v>66</v>
      </c>
      <c r="C139" s="77" t="s">
        <v>227</v>
      </c>
      <c r="D139" s="60">
        <v>7</v>
      </c>
      <c r="E139" s="60">
        <f t="shared" si="6"/>
        <v>230</v>
      </c>
      <c r="F139" s="60">
        <v>1610</v>
      </c>
      <c r="G139" s="61">
        <v>0</v>
      </c>
      <c r="H139" s="61">
        <v>0</v>
      </c>
      <c r="I139" s="71">
        <v>45174</v>
      </c>
      <c r="J139" s="63"/>
      <c r="K139" s="63"/>
      <c r="L139" s="71"/>
      <c r="M139" s="64"/>
      <c r="N139" s="64"/>
      <c r="O139" s="64"/>
      <c r="P139" s="64"/>
      <c r="Q139" s="64"/>
      <c r="R139" s="64"/>
      <c r="S139" s="65">
        <f t="shared" si="7"/>
        <v>7</v>
      </c>
      <c r="T139" s="65">
        <f t="shared" si="8"/>
        <v>1610</v>
      </c>
      <c r="U139" s="66"/>
      <c r="V139" s="66"/>
      <c r="W139" s="72">
        <v>4</v>
      </c>
      <c r="X139" s="66" t="s">
        <v>492</v>
      </c>
      <c r="Y139" s="66"/>
      <c r="Z139" s="69"/>
      <c r="AA139" s="69"/>
      <c r="AB139" s="64"/>
      <c r="AC139" s="64"/>
      <c r="AD139" s="63">
        <f>(F139/D139)*3</f>
        <v>690</v>
      </c>
    </row>
    <row r="140" spans="1:30" s="25" customFormat="1" ht="15.75">
      <c r="A140" s="131" t="s">
        <v>685</v>
      </c>
      <c r="B140" s="21" t="s">
        <v>65</v>
      </c>
      <c r="C140" s="21" t="s">
        <v>228</v>
      </c>
      <c r="D140" s="28">
        <v>100</v>
      </c>
      <c r="E140" s="28">
        <f t="shared" si="6"/>
        <v>3.54</v>
      </c>
      <c r="F140" s="28">
        <v>354</v>
      </c>
      <c r="G140" s="23">
        <v>0</v>
      </c>
      <c r="H140" s="23">
        <v>0</v>
      </c>
      <c r="I140" s="24">
        <v>46026</v>
      </c>
      <c r="J140" s="22"/>
      <c r="K140" s="22"/>
      <c r="L140" s="24">
        <v>45650</v>
      </c>
      <c r="S140" s="26">
        <f t="shared" si="7"/>
        <v>100</v>
      </c>
      <c r="T140" s="26">
        <f t="shared" si="8"/>
        <v>354</v>
      </c>
      <c r="U140" s="27"/>
      <c r="V140" s="27"/>
      <c r="W140" s="46">
        <v>0</v>
      </c>
      <c r="X140" s="73"/>
      <c r="Y140" s="27"/>
      <c r="Z140" s="27"/>
      <c r="AA140" s="27"/>
    </row>
    <row r="141" spans="1:30" s="25" customFormat="1" ht="15.75">
      <c r="A141" s="131" t="s">
        <v>685</v>
      </c>
      <c r="B141" s="21" t="s">
        <v>64</v>
      </c>
      <c r="C141" s="21" t="s">
        <v>229</v>
      </c>
      <c r="D141" s="28">
        <v>1</v>
      </c>
      <c r="E141" s="28">
        <f t="shared" si="6"/>
        <v>200</v>
      </c>
      <c r="F141" s="28">
        <v>200</v>
      </c>
      <c r="G141" s="23">
        <v>0</v>
      </c>
      <c r="H141" s="23">
        <v>0</v>
      </c>
      <c r="I141" s="24">
        <v>46003</v>
      </c>
      <c r="J141" s="22"/>
      <c r="K141" s="22"/>
      <c r="L141" s="24">
        <v>46057</v>
      </c>
      <c r="S141" s="26">
        <f t="shared" si="7"/>
        <v>1</v>
      </c>
      <c r="T141" s="26">
        <f t="shared" si="8"/>
        <v>200</v>
      </c>
      <c r="U141" s="27"/>
      <c r="V141" s="27"/>
      <c r="W141" s="46">
        <v>0</v>
      </c>
      <c r="X141" s="73"/>
      <c r="Y141" s="27"/>
      <c r="Z141" s="27"/>
      <c r="AA141" s="27"/>
    </row>
    <row r="142" spans="1:30" s="25" customFormat="1" ht="15.75">
      <c r="A142" s="131" t="s">
        <v>685</v>
      </c>
      <c r="B142" s="27" t="s">
        <v>632</v>
      </c>
      <c r="C142" s="27" t="s">
        <v>633</v>
      </c>
      <c r="D142" s="28">
        <v>1</v>
      </c>
      <c r="E142" s="28">
        <f t="shared" si="6"/>
        <v>2500</v>
      </c>
      <c r="F142" s="28">
        <v>2500</v>
      </c>
      <c r="G142" s="9">
        <v>0</v>
      </c>
      <c r="H142" s="9">
        <v>0</v>
      </c>
      <c r="I142" s="31">
        <v>45623</v>
      </c>
      <c r="J142" s="22"/>
      <c r="K142" s="22"/>
      <c r="L142" s="31"/>
      <c r="S142" s="26">
        <f t="shared" si="7"/>
        <v>1</v>
      </c>
      <c r="T142" s="26">
        <f t="shared" si="8"/>
        <v>2500</v>
      </c>
      <c r="U142" s="32" t="s">
        <v>369</v>
      </c>
      <c r="V142" s="32"/>
      <c r="W142" s="46">
        <v>0</v>
      </c>
      <c r="X142" s="32"/>
      <c r="Y142" s="32"/>
      <c r="Z142" s="21"/>
      <c r="AA142" s="21"/>
    </row>
    <row r="143" spans="1:30" s="25" customFormat="1" ht="15.75">
      <c r="A143" s="131" t="s">
        <v>685</v>
      </c>
      <c r="B143" s="21" t="s">
        <v>442</v>
      </c>
      <c r="C143" s="21" t="s">
        <v>230</v>
      </c>
      <c r="D143" s="28">
        <v>1</v>
      </c>
      <c r="E143" s="28">
        <f t="shared" si="6"/>
        <v>8500</v>
      </c>
      <c r="F143" s="28">
        <v>8500</v>
      </c>
      <c r="G143" s="23">
        <v>0</v>
      </c>
      <c r="H143" s="23">
        <v>0</v>
      </c>
      <c r="I143" s="24">
        <v>46025</v>
      </c>
      <c r="J143" s="28"/>
      <c r="K143" s="28"/>
      <c r="L143" s="24"/>
      <c r="S143" s="26">
        <f t="shared" si="7"/>
        <v>1</v>
      </c>
      <c r="T143" s="26">
        <f t="shared" si="8"/>
        <v>8500</v>
      </c>
      <c r="U143" s="27"/>
      <c r="V143" s="27"/>
      <c r="W143" s="46">
        <v>0</v>
      </c>
      <c r="X143" s="73"/>
      <c r="Y143" s="27"/>
      <c r="Z143" s="27"/>
      <c r="AA143" s="27"/>
    </row>
    <row r="144" spans="1:30" s="25" customFormat="1" ht="15.75">
      <c r="A144" s="131" t="s">
        <v>685</v>
      </c>
      <c r="B144" s="21" t="s">
        <v>63</v>
      </c>
      <c r="C144" s="21" t="s">
        <v>231</v>
      </c>
      <c r="D144" s="28">
        <v>4</v>
      </c>
      <c r="E144" s="28">
        <f t="shared" si="6"/>
        <v>2400</v>
      </c>
      <c r="F144" s="28">
        <v>9600</v>
      </c>
      <c r="G144" s="23">
        <v>0</v>
      </c>
      <c r="H144" s="23">
        <v>0</v>
      </c>
      <c r="I144" s="31">
        <v>40984</v>
      </c>
      <c r="J144" s="22"/>
      <c r="K144" s="22"/>
      <c r="L144" s="31"/>
      <c r="S144" s="26">
        <f t="shared" si="7"/>
        <v>4</v>
      </c>
      <c r="T144" s="26">
        <f t="shared" si="8"/>
        <v>9600</v>
      </c>
      <c r="U144" s="32"/>
      <c r="V144" s="32"/>
      <c r="W144" s="46">
        <v>0</v>
      </c>
      <c r="X144" s="32"/>
      <c r="Y144" s="32"/>
      <c r="Z144" s="21"/>
      <c r="AA144" s="21"/>
    </row>
    <row r="145" spans="1:27" s="25" customFormat="1" ht="31.5">
      <c r="A145" s="131" t="s">
        <v>685</v>
      </c>
      <c r="B145" s="21" t="s">
        <v>62</v>
      </c>
      <c r="C145" s="21" t="s">
        <v>232</v>
      </c>
      <c r="D145" s="28">
        <v>10</v>
      </c>
      <c r="E145" s="28">
        <f t="shared" si="6"/>
        <v>818.2</v>
      </c>
      <c r="F145" s="28">
        <v>8182</v>
      </c>
      <c r="G145" s="23">
        <v>0</v>
      </c>
      <c r="H145" s="23">
        <v>0</v>
      </c>
      <c r="I145" s="31">
        <v>42858</v>
      </c>
      <c r="J145" s="22"/>
      <c r="K145" s="22"/>
      <c r="L145" s="31"/>
      <c r="S145" s="26">
        <f t="shared" si="7"/>
        <v>10</v>
      </c>
      <c r="T145" s="26">
        <f t="shared" si="8"/>
        <v>8182</v>
      </c>
      <c r="U145" s="32" t="s">
        <v>357</v>
      </c>
      <c r="V145" s="32"/>
      <c r="W145" s="46">
        <v>0</v>
      </c>
      <c r="X145" s="32"/>
      <c r="Y145" s="32"/>
      <c r="Z145" s="21"/>
      <c r="AA145" s="21"/>
    </row>
    <row r="146" spans="1:27" s="25" customFormat="1" ht="15.75">
      <c r="A146" s="131" t="s">
        <v>685</v>
      </c>
      <c r="B146" s="27" t="s">
        <v>61</v>
      </c>
      <c r="C146" s="27" t="s">
        <v>233</v>
      </c>
      <c r="D146" s="28">
        <v>1</v>
      </c>
      <c r="E146" s="28">
        <f t="shared" si="6"/>
        <v>25800</v>
      </c>
      <c r="F146" s="28">
        <v>25800</v>
      </c>
      <c r="G146" s="23">
        <v>0</v>
      </c>
      <c r="H146" s="23">
        <v>0</v>
      </c>
      <c r="I146" s="31">
        <v>43089</v>
      </c>
      <c r="J146" s="22"/>
      <c r="K146" s="22"/>
      <c r="L146" s="31"/>
      <c r="S146" s="26">
        <f t="shared" si="7"/>
        <v>1</v>
      </c>
      <c r="T146" s="26">
        <f t="shared" si="8"/>
        <v>25800</v>
      </c>
      <c r="U146" s="32" t="s">
        <v>634</v>
      </c>
      <c r="V146" s="32"/>
      <c r="W146" s="46">
        <v>0</v>
      </c>
      <c r="X146" s="32"/>
      <c r="Y146" s="32"/>
      <c r="Z146" s="21"/>
      <c r="AA146" s="21"/>
    </row>
    <row r="147" spans="1:27" s="25" customFormat="1" ht="15.75">
      <c r="A147" s="131" t="s">
        <v>685</v>
      </c>
      <c r="B147" s="21" t="s">
        <v>60</v>
      </c>
      <c r="C147" s="21" t="s">
        <v>234</v>
      </c>
      <c r="D147" s="28">
        <v>1</v>
      </c>
      <c r="E147" s="28">
        <f t="shared" si="6"/>
        <v>3800</v>
      </c>
      <c r="F147" s="28">
        <v>3800</v>
      </c>
      <c r="G147" s="23">
        <v>0</v>
      </c>
      <c r="H147" s="23">
        <v>0</v>
      </c>
      <c r="I147" s="31">
        <v>42790</v>
      </c>
      <c r="J147" s="22"/>
      <c r="K147" s="22"/>
      <c r="L147" s="31">
        <v>42636</v>
      </c>
      <c r="S147" s="26">
        <f t="shared" si="7"/>
        <v>1</v>
      </c>
      <c r="T147" s="26">
        <f t="shared" si="8"/>
        <v>3800</v>
      </c>
      <c r="U147" s="32" t="s">
        <v>342</v>
      </c>
      <c r="V147" s="32"/>
      <c r="W147" s="46">
        <v>0</v>
      </c>
      <c r="X147" s="32"/>
      <c r="Y147" s="32"/>
      <c r="Z147" s="21"/>
      <c r="AA147" s="21"/>
    </row>
    <row r="148" spans="1:27" s="25" customFormat="1" ht="15.75">
      <c r="A148" s="131" t="s">
        <v>685</v>
      </c>
      <c r="B148" s="27" t="s">
        <v>635</v>
      </c>
      <c r="C148" s="27" t="s">
        <v>636</v>
      </c>
      <c r="D148" s="28">
        <v>1</v>
      </c>
      <c r="E148" s="28">
        <f t="shared" si="6"/>
        <v>150</v>
      </c>
      <c r="F148" s="28">
        <v>150</v>
      </c>
      <c r="G148" s="9">
        <v>0</v>
      </c>
      <c r="H148" s="9">
        <v>0</v>
      </c>
      <c r="I148" s="24">
        <v>45996</v>
      </c>
      <c r="J148" s="22"/>
      <c r="K148" s="22"/>
      <c r="L148" s="24">
        <v>45961</v>
      </c>
      <c r="S148" s="26">
        <f t="shared" si="7"/>
        <v>1</v>
      </c>
      <c r="T148" s="26">
        <f t="shared" si="8"/>
        <v>150</v>
      </c>
      <c r="U148" s="27"/>
      <c r="V148" s="27"/>
      <c r="W148" s="46">
        <v>0</v>
      </c>
      <c r="X148" s="73"/>
      <c r="Y148" s="27"/>
      <c r="Z148" s="27"/>
      <c r="AA148" s="27"/>
    </row>
    <row r="149" spans="1:27" s="25" customFormat="1" ht="15.75">
      <c r="A149" s="131" t="s">
        <v>685</v>
      </c>
      <c r="B149" s="21" t="s">
        <v>59</v>
      </c>
      <c r="C149" s="21" t="s">
        <v>235</v>
      </c>
      <c r="D149" s="28">
        <v>1</v>
      </c>
      <c r="E149" s="28">
        <f t="shared" si="6"/>
        <v>4221</v>
      </c>
      <c r="F149" s="28">
        <v>4221</v>
      </c>
      <c r="G149" s="23">
        <v>0</v>
      </c>
      <c r="H149" s="23">
        <v>0</v>
      </c>
      <c r="I149" s="24">
        <v>45889</v>
      </c>
      <c r="J149" s="22"/>
      <c r="K149" s="22"/>
      <c r="L149" s="24"/>
      <c r="S149" s="26">
        <f t="shared" si="7"/>
        <v>1</v>
      </c>
      <c r="T149" s="26">
        <f t="shared" si="8"/>
        <v>4221</v>
      </c>
      <c r="U149" s="27"/>
      <c r="V149" s="27"/>
      <c r="W149" s="46">
        <v>0</v>
      </c>
      <c r="X149" s="73"/>
      <c r="Y149" s="27"/>
      <c r="Z149" s="27"/>
      <c r="AA149" s="27"/>
    </row>
    <row r="150" spans="1:27" s="25" customFormat="1" ht="15.75">
      <c r="A150" s="131" t="s">
        <v>685</v>
      </c>
      <c r="B150" s="27" t="s">
        <v>58</v>
      </c>
      <c r="C150" s="27" t="s">
        <v>236</v>
      </c>
      <c r="D150" s="28">
        <v>6</v>
      </c>
      <c r="E150" s="28">
        <f t="shared" si="6"/>
        <v>387</v>
      </c>
      <c r="F150" s="28">
        <v>2322</v>
      </c>
      <c r="G150" s="23">
        <v>0</v>
      </c>
      <c r="H150" s="23">
        <v>7</v>
      </c>
      <c r="I150" s="24">
        <v>45877</v>
      </c>
      <c r="J150" s="22"/>
      <c r="K150" s="22"/>
      <c r="L150" s="24"/>
      <c r="S150" s="26">
        <f t="shared" si="7"/>
        <v>6</v>
      </c>
      <c r="T150" s="26">
        <f t="shared" si="8"/>
        <v>2322</v>
      </c>
      <c r="U150" s="27"/>
      <c r="V150" s="27"/>
      <c r="W150" s="46">
        <v>0</v>
      </c>
      <c r="X150" s="73"/>
      <c r="Y150" s="27"/>
      <c r="Z150" s="27"/>
      <c r="AA150" s="27"/>
    </row>
    <row r="151" spans="1:27" s="25" customFormat="1" ht="15.75">
      <c r="A151" s="131" t="s">
        <v>685</v>
      </c>
      <c r="B151" s="21" t="s">
        <v>443</v>
      </c>
      <c r="C151" s="21" t="s">
        <v>237</v>
      </c>
      <c r="D151" s="28">
        <v>7</v>
      </c>
      <c r="E151" s="28">
        <f t="shared" si="6"/>
        <v>650</v>
      </c>
      <c r="F151" s="28">
        <v>4550</v>
      </c>
      <c r="G151" s="23">
        <v>0</v>
      </c>
      <c r="H151" s="23">
        <v>0</v>
      </c>
      <c r="I151" s="24">
        <v>45877</v>
      </c>
      <c r="J151" s="22"/>
      <c r="K151" s="22"/>
      <c r="L151" s="24"/>
      <c r="S151" s="26">
        <f t="shared" si="7"/>
        <v>7</v>
      </c>
      <c r="T151" s="26">
        <f t="shared" si="8"/>
        <v>4550</v>
      </c>
      <c r="U151" s="27"/>
      <c r="V151" s="27"/>
      <c r="W151" s="46">
        <v>0</v>
      </c>
      <c r="X151" s="73"/>
      <c r="Y151" s="27"/>
      <c r="Z151" s="27"/>
      <c r="AA151" s="27"/>
    </row>
    <row r="152" spans="1:27" s="25" customFormat="1" ht="15.75">
      <c r="A152" s="131" t="s">
        <v>685</v>
      </c>
      <c r="B152" s="21" t="s">
        <v>57</v>
      </c>
      <c r="C152" s="21" t="s">
        <v>238</v>
      </c>
      <c r="D152" s="28">
        <v>2</v>
      </c>
      <c r="E152" s="28">
        <f t="shared" si="6"/>
        <v>4050</v>
      </c>
      <c r="F152" s="28">
        <v>8100</v>
      </c>
      <c r="G152" s="23">
        <v>0</v>
      </c>
      <c r="H152" s="23">
        <v>0</v>
      </c>
      <c r="I152" s="24">
        <v>45877</v>
      </c>
      <c r="J152" s="22"/>
      <c r="K152" s="22"/>
      <c r="L152" s="24"/>
      <c r="S152" s="26">
        <f t="shared" si="7"/>
        <v>2</v>
      </c>
      <c r="T152" s="26">
        <f t="shared" si="8"/>
        <v>8100</v>
      </c>
      <c r="U152" s="27"/>
      <c r="V152" s="27"/>
      <c r="W152" s="46">
        <v>0</v>
      </c>
      <c r="X152" s="73"/>
      <c r="Y152" s="27"/>
      <c r="Z152" s="27"/>
      <c r="AA152" s="27"/>
    </row>
    <row r="153" spans="1:27" s="25" customFormat="1" ht="15.75">
      <c r="A153" s="131" t="s">
        <v>685</v>
      </c>
      <c r="B153" s="21" t="s">
        <v>56</v>
      </c>
      <c r="C153" s="21" t="s">
        <v>239</v>
      </c>
      <c r="D153" s="28">
        <v>1</v>
      </c>
      <c r="E153" s="28">
        <f t="shared" si="6"/>
        <v>12245</v>
      </c>
      <c r="F153" s="28">
        <v>12245</v>
      </c>
      <c r="G153" s="23">
        <v>0</v>
      </c>
      <c r="H153" s="23">
        <v>0</v>
      </c>
      <c r="I153" s="24">
        <v>45964</v>
      </c>
      <c r="J153" s="22"/>
      <c r="K153" s="22"/>
      <c r="L153" s="24">
        <v>45994</v>
      </c>
      <c r="S153" s="26">
        <f t="shared" si="7"/>
        <v>1</v>
      </c>
      <c r="T153" s="26">
        <f t="shared" si="8"/>
        <v>12245</v>
      </c>
      <c r="U153" s="27"/>
      <c r="V153" s="27"/>
      <c r="W153" s="46">
        <v>0</v>
      </c>
      <c r="X153" s="73"/>
      <c r="Y153" s="27"/>
      <c r="Z153" s="27"/>
      <c r="AA153" s="27"/>
    </row>
    <row r="154" spans="1:27" s="25" customFormat="1" ht="15.75">
      <c r="A154" s="131" t="s">
        <v>685</v>
      </c>
      <c r="B154" s="21" t="s">
        <v>55</v>
      </c>
      <c r="C154" s="21" t="s">
        <v>240</v>
      </c>
      <c r="D154" s="28">
        <v>1</v>
      </c>
      <c r="E154" s="28">
        <f t="shared" si="6"/>
        <v>19600</v>
      </c>
      <c r="F154" s="28">
        <v>19600</v>
      </c>
      <c r="G154" s="23">
        <v>0</v>
      </c>
      <c r="H154" s="23">
        <v>0</v>
      </c>
      <c r="I154" s="24">
        <v>45964</v>
      </c>
      <c r="J154" s="22"/>
      <c r="K154" s="22"/>
      <c r="L154" s="24">
        <v>45994</v>
      </c>
      <c r="S154" s="26">
        <f t="shared" si="7"/>
        <v>1</v>
      </c>
      <c r="T154" s="26">
        <f t="shared" si="8"/>
        <v>19600</v>
      </c>
      <c r="U154" s="27"/>
      <c r="V154" s="27"/>
      <c r="W154" s="46">
        <v>0</v>
      </c>
      <c r="X154" s="73"/>
      <c r="Y154" s="27"/>
      <c r="Z154" s="27"/>
      <c r="AA154" s="27"/>
    </row>
    <row r="155" spans="1:27" s="25" customFormat="1" ht="15.75">
      <c r="A155" s="131" t="s">
        <v>685</v>
      </c>
      <c r="B155" s="27" t="s">
        <v>54</v>
      </c>
      <c r="C155" s="27" t="s">
        <v>242</v>
      </c>
      <c r="D155" s="28">
        <v>13</v>
      </c>
      <c r="E155" s="28">
        <f t="shared" si="6"/>
        <v>275</v>
      </c>
      <c r="F155" s="28">
        <v>3575</v>
      </c>
      <c r="G155" s="23">
        <v>0</v>
      </c>
      <c r="H155" s="23">
        <v>0</v>
      </c>
      <c r="I155" s="24">
        <v>45902</v>
      </c>
      <c r="J155" s="22"/>
      <c r="K155" s="22"/>
      <c r="L155" s="24"/>
      <c r="S155" s="26">
        <f t="shared" si="7"/>
        <v>13</v>
      </c>
      <c r="T155" s="26">
        <f t="shared" si="8"/>
        <v>3575</v>
      </c>
      <c r="U155" s="27"/>
      <c r="V155" s="27"/>
      <c r="W155" s="46">
        <v>0</v>
      </c>
      <c r="X155" s="73"/>
      <c r="Y155" s="27"/>
      <c r="Z155" s="27"/>
      <c r="AA155" s="27"/>
    </row>
    <row r="156" spans="1:27" s="25" customFormat="1" ht="15.75">
      <c r="A156" s="131" t="s">
        <v>685</v>
      </c>
      <c r="B156" s="27" t="s">
        <v>444</v>
      </c>
      <c r="C156" s="27" t="s">
        <v>53</v>
      </c>
      <c r="D156" s="28">
        <v>2</v>
      </c>
      <c r="E156" s="28">
        <f t="shared" si="6"/>
        <v>450</v>
      </c>
      <c r="F156" s="28">
        <v>900</v>
      </c>
      <c r="G156" s="23">
        <v>2</v>
      </c>
      <c r="H156" s="23">
        <v>0</v>
      </c>
      <c r="I156" s="24">
        <v>45931</v>
      </c>
      <c r="J156" s="22"/>
      <c r="K156" s="22"/>
      <c r="L156" s="24">
        <v>45900</v>
      </c>
      <c r="S156" s="26">
        <f t="shared" si="7"/>
        <v>2</v>
      </c>
      <c r="T156" s="26">
        <f t="shared" si="8"/>
        <v>900</v>
      </c>
      <c r="U156" s="21"/>
      <c r="V156" s="21"/>
      <c r="W156" s="46">
        <v>0</v>
      </c>
      <c r="X156" s="32"/>
      <c r="Y156" s="21"/>
      <c r="Z156" s="21"/>
      <c r="AA156" s="21"/>
    </row>
    <row r="157" spans="1:27" s="25" customFormat="1" ht="15.75">
      <c r="A157" s="131" t="s">
        <v>685</v>
      </c>
      <c r="B157" s="27" t="s">
        <v>52</v>
      </c>
      <c r="C157" s="27" t="s">
        <v>243</v>
      </c>
      <c r="D157" s="28">
        <v>29</v>
      </c>
      <c r="E157" s="28">
        <f t="shared" si="6"/>
        <v>18</v>
      </c>
      <c r="F157" s="28">
        <v>522</v>
      </c>
      <c r="G157" s="23">
        <v>0</v>
      </c>
      <c r="H157" s="23">
        <v>0</v>
      </c>
      <c r="I157" s="24">
        <v>45950</v>
      </c>
      <c r="J157" s="22"/>
      <c r="K157" s="22"/>
      <c r="L157" s="24"/>
      <c r="S157" s="26">
        <f t="shared" si="7"/>
        <v>29</v>
      </c>
      <c r="T157" s="26">
        <f t="shared" si="8"/>
        <v>522</v>
      </c>
      <c r="U157" s="27"/>
      <c r="V157" s="27"/>
      <c r="W157" s="46">
        <v>0</v>
      </c>
      <c r="X157" s="73"/>
      <c r="Y157" s="27"/>
      <c r="Z157" s="27"/>
      <c r="AA157" s="27"/>
    </row>
    <row r="158" spans="1:27" s="25" customFormat="1" ht="15.75">
      <c r="A158" s="131" t="s">
        <v>685</v>
      </c>
      <c r="B158" s="21" t="s">
        <v>445</v>
      </c>
      <c r="C158" s="21" t="s">
        <v>241</v>
      </c>
      <c r="D158" s="28">
        <v>1</v>
      </c>
      <c r="E158" s="28">
        <f t="shared" si="6"/>
        <v>1950</v>
      </c>
      <c r="F158" s="28">
        <v>1950</v>
      </c>
      <c r="G158" s="23">
        <v>0</v>
      </c>
      <c r="H158" s="23">
        <v>0</v>
      </c>
      <c r="I158" s="24">
        <v>45950</v>
      </c>
      <c r="J158" s="22"/>
      <c r="K158" s="22"/>
      <c r="L158" s="24"/>
      <c r="S158" s="26">
        <f t="shared" si="7"/>
        <v>1</v>
      </c>
      <c r="T158" s="26">
        <f t="shared" si="8"/>
        <v>1950</v>
      </c>
      <c r="U158" s="27"/>
      <c r="V158" s="27"/>
      <c r="W158" s="46">
        <v>0</v>
      </c>
      <c r="X158" s="73"/>
      <c r="Y158" s="27"/>
      <c r="Z158" s="27"/>
      <c r="AA158" s="27"/>
    </row>
    <row r="159" spans="1:27" s="25" customFormat="1" ht="15.75">
      <c r="A159" s="131" t="s">
        <v>685</v>
      </c>
      <c r="B159" s="21" t="s">
        <v>51</v>
      </c>
      <c r="C159" s="21" t="s">
        <v>244</v>
      </c>
      <c r="D159" s="28">
        <v>56</v>
      </c>
      <c r="E159" s="28">
        <f t="shared" si="6"/>
        <v>33</v>
      </c>
      <c r="F159" s="28">
        <v>1848</v>
      </c>
      <c r="G159" s="23">
        <v>0</v>
      </c>
      <c r="H159" s="23">
        <v>36</v>
      </c>
      <c r="I159" s="24">
        <v>45947</v>
      </c>
      <c r="J159" s="22"/>
      <c r="K159" s="22"/>
      <c r="L159" s="24"/>
      <c r="S159" s="26">
        <f t="shared" si="7"/>
        <v>56</v>
      </c>
      <c r="T159" s="26">
        <f t="shared" si="8"/>
        <v>1848</v>
      </c>
      <c r="U159" s="27"/>
      <c r="V159" s="27"/>
      <c r="W159" s="46">
        <v>0</v>
      </c>
      <c r="X159" s="73"/>
      <c r="Y159" s="27"/>
      <c r="Z159" s="27"/>
      <c r="AA159" s="27"/>
    </row>
    <row r="160" spans="1:27" s="25" customFormat="1" ht="15.75">
      <c r="A160" s="131" t="s">
        <v>685</v>
      </c>
      <c r="B160" s="21" t="s">
        <v>446</v>
      </c>
      <c r="C160" s="21" t="s">
        <v>245</v>
      </c>
      <c r="D160" s="28">
        <v>49</v>
      </c>
      <c r="E160" s="28">
        <f t="shared" si="6"/>
        <v>33</v>
      </c>
      <c r="F160" s="28">
        <v>1617</v>
      </c>
      <c r="G160" s="23">
        <v>0</v>
      </c>
      <c r="H160" s="23">
        <v>36</v>
      </c>
      <c r="I160" s="24">
        <v>45877</v>
      </c>
      <c r="J160" s="22"/>
      <c r="K160" s="22"/>
      <c r="L160" s="24"/>
      <c r="S160" s="26">
        <f t="shared" si="7"/>
        <v>49</v>
      </c>
      <c r="T160" s="26">
        <f t="shared" si="8"/>
        <v>1617</v>
      </c>
      <c r="U160" s="27"/>
      <c r="V160" s="27"/>
      <c r="W160" s="46">
        <v>0</v>
      </c>
      <c r="X160" s="73"/>
      <c r="Y160" s="27"/>
      <c r="Z160" s="27"/>
      <c r="AA160" s="27"/>
    </row>
    <row r="161" spans="1:30" s="25" customFormat="1" ht="15.75">
      <c r="A161" s="131" t="s">
        <v>685</v>
      </c>
      <c r="B161" s="21" t="s">
        <v>50</v>
      </c>
      <c r="C161" s="21" t="s">
        <v>246</v>
      </c>
      <c r="D161" s="28">
        <v>1</v>
      </c>
      <c r="E161" s="28">
        <f t="shared" si="6"/>
        <v>123810</v>
      </c>
      <c r="F161" s="28">
        <v>123810</v>
      </c>
      <c r="G161" s="23">
        <v>0</v>
      </c>
      <c r="H161" s="23">
        <v>0</v>
      </c>
      <c r="I161" s="24">
        <v>45877</v>
      </c>
      <c r="J161" s="22"/>
      <c r="K161" s="22"/>
      <c r="L161" s="24"/>
      <c r="S161" s="26">
        <f t="shared" si="7"/>
        <v>1</v>
      </c>
      <c r="T161" s="26">
        <f t="shared" si="8"/>
        <v>123810</v>
      </c>
      <c r="U161" s="27"/>
      <c r="V161" s="27"/>
      <c r="W161" s="46">
        <v>0</v>
      </c>
      <c r="X161" s="73"/>
      <c r="Y161" s="27"/>
      <c r="Z161" s="27"/>
      <c r="AA161" s="27"/>
    </row>
    <row r="162" spans="1:30" s="25" customFormat="1" ht="15.75">
      <c r="A162" s="131" t="s">
        <v>685</v>
      </c>
      <c r="B162" s="21" t="s">
        <v>49</v>
      </c>
      <c r="C162" s="21" t="s">
        <v>247</v>
      </c>
      <c r="D162" s="28">
        <v>1</v>
      </c>
      <c r="E162" s="28">
        <f t="shared" si="6"/>
        <v>219048</v>
      </c>
      <c r="F162" s="28">
        <v>219048</v>
      </c>
      <c r="G162" s="23">
        <v>0</v>
      </c>
      <c r="H162" s="23">
        <v>0</v>
      </c>
      <c r="I162" s="24">
        <v>45947</v>
      </c>
      <c r="J162" s="22"/>
      <c r="K162" s="22"/>
      <c r="L162" s="24"/>
      <c r="S162" s="26">
        <f t="shared" si="7"/>
        <v>1</v>
      </c>
      <c r="T162" s="26">
        <f t="shared" si="8"/>
        <v>219048</v>
      </c>
      <c r="U162" s="27"/>
      <c r="V162" s="27"/>
      <c r="W162" s="46">
        <v>0</v>
      </c>
      <c r="X162" s="73"/>
      <c r="Y162" s="27"/>
      <c r="Z162" s="27"/>
      <c r="AA162" s="27"/>
    </row>
    <row r="163" spans="1:30" s="25" customFormat="1" ht="15.75">
      <c r="A163" s="131" t="s">
        <v>685</v>
      </c>
      <c r="B163" s="21" t="s">
        <v>48</v>
      </c>
      <c r="C163" s="21" t="s">
        <v>248</v>
      </c>
      <c r="D163" s="28">
        <v>1</v>
      </c>
      <c r="E163" s="28">
        <f t="shared" si="6"/>
        <v>133333</v>
      </c>
      <c r="F163" s="28">
        <v>133333</v>
      </c>
      <c r="G163" s="23">
        <v>0</v>
      </c>
      <c r="H163" s="23">
        <v>0</v>
      </c>
      <c r="I163" s="24">
        <v>45996</v>
      </c>
      <c r="J163" s="22"/>
      <c r="K163" s="22"/>
      <c r="L163" s="24"/>
      <c r="S163" s="26">
        <f t="shared" si="7"/>
        <v>1</v>
      </c>
      <c r="T163" s="26">
        <f t="shared" si="8"/>
        <v>133333</v>
      </c>
      <c r="U163" s="27"/>
      <c r="V163" s="27"/>
      <c r="W163" s="46">
        <v>0</v>
      </c>
      <c r="X163" s="73"/>
      <c r="Y163" s="27"/>
      <c r="Z163" s="27"/>
      <c r="AA163" s="27"/>
    </row>
    <row r="164" spans="1:30" s="25" customFormat="1" ht="15.75">
      <c r="A164" s="131" t="s">
        <v>685</v>
      </c>
      <c r="B164" s="21" t="s">
        <v>47</v>
      </c>
      <c r="C164" s="21" t="s">
        <v>249</v>
      </c>
      <c r="D164" s="28">
        <v>10</v>
      </c>
      <c r="E164" s="28">
        <f t="shared" si="6"/>
        <v>75</v>
      </c>
      <c r="F164" s="28">
        <v>750</v>
      </c>
      <c r="G164" s="23">
        <v>0</v>
      </c>
      <c r="H164" s="23">
        <v>0</v>
      </c>
      <c r="I164" s="24">
        <v>46026</v>
      </c>
      <c r="J164" s="28"/>
      <c r="K164" s="28"/>
      <c r="L164" s="24"/>
      <c r="S164" s="26">
        <f t="shared" si="7"/>
        <v>10</v>
      </c>
      <c r="T164" s="26">
        <f t="shared" si="8"/>
        <v>750</v>
      </c>
      <c r="U164" s="27"/>
      <c r="V164" s="27"/>
      <c r="W164" s="46">
        <v>0</v>
      </c>
      <c r="X164" s="73"/>
      <c r="Y164" s="27"/>
      <c r="Z164" s="27"/>
      <c r="AA164" s="27"/>
    </row>
    <row r="165" spans="1:30" s="25" customFormat="1" ht="31.5">
      <c r="A165" s="131" t="s">
        <v>685</v>
      </c>
      <c r="B165" s="21" t="s">
        <v>46</v>
      </c>
      <c r="C165" s="21" t="s">
        <v>250</v>
      </c>
      <c r="D165" s="28">
        <v>1</v>
      </c>
      <c r="E165" s="28">
        <f t="shared" si="6"/>
        <v>362</v>
      </c>
      <c r="F165" s="28">
        <v>362</v>
      </c>
      <c r="G165" s="23">
        <v>1</v>
      </c>
      <c r="H165" s="23">
        <v>0</v>
      </c>
      <c r="I165" s="24">
        <v>46027</v>
      </c>
      <c r="J165" s="28"/>
      <c r="K165" s="28"/>
      <c r="L165" s="24"/>
      <c r="S165" s="26">
        <f t="shared" si="7"/>
        <v>1</v>
      </c>
      <c r="T165" s="26">
        <f t="shared" si="8"/>
        <v>362</v>
      </c>
      <c r="U165" s="27"/>
      <c r="V165" s="27"/>
      <c r="W165" s="46">
        <v>0</v>
      </c>
      <c r="X165" s="73"/>
      <c r="Y165" s="27"/>
      <c r="Z165" s="27"/>
      <c r="AA165" s="27"/>
    </row>
    <row r="166" spans="1:30" s="25" customFormat="1" ht="15.75">
      <c r="A166" s="131" t="s">
        <v>685</v>
      </c>
      <c r="B166" s="27" t="s">
        <v>637</v>
      </c>
      <c r="C166" s="27" t="s">
        <v>638</v>
      </c>
      <c r="D166" s="28">
        <v>1</v>
      </c>
      <c r="E166" s="28">
        <f t="shared" si="6"/>
        <v>43000</v>
      </c>
      <c r="F166" s="28">
        <v>43000</v>
      </c>
      <c r="G166" s="9">
        <v>0</v>
      </c>
      <c r="H166" s="9">
        <v>0</v>
      </c>
      <c r="I166" s="24">
        <v>46077</v>
      </c>
      <c r="J166" s="28"/>
      <c r="K166" s="28"/>
      <c r="L166" s="24"/>
      <c r="S166" s="26">
        <f t="shared" si="7"/>
        <v>1</v>
      </c>
      <c r="T166" s="26">
        <f t="shared" si="8"/>
        <v>43000</v>
      </c>
      <c r="U166" s="27"/>
      <c r="V166" s="27"/>
      <c r="W166" s="46">
        <v>0</v>
      </c>
      <c r="X166" s="73"/>
      <c r="Y166" s="27"/>
      <c r="Z166" s="27"/>
      <c r="AA166" s="27"/>
    </row>
    <row r="167" spans="1:30" s="25" customFormat="1" ht="15.75">
      <c r="A167" s="131" t="s">
        <v>685</v>
      </c>
      <c r="B167" s="27" t="s">
        <v>639</v>
      </c>
      <c r="C167" s="27" t="s">
        <v>640</v>
      </c>
      <c r="D167" s="28">
        <v>23</v>
      </c>
      <c r="E167" s="28">
        <f t="shared" si="6"/>
        <v>4747.826086956522</v>
      </c>
      <c r="F167" s="28">
        <v>109200</v>
      </c>
      <c r="G167" s="9">
        <v>0</v>
      </c>
      <c r="H167" s="9">
        <v>0</v>
      </c>
      <c r="I167" s="31">
        <v>43334</v>
      </c>
      <c r="J167" s="22"/>
      <c r="K167" s="22"/>
      <c r="L167" s="31"/>
      <c r="S167" s="26">
        <f t="shared" si="7"/>
        <v>23</v>
      </c>
      <c r="T167" s="26">
        <f t="shared" si="8"/>
        <v>109200</v>
      </c>
      <c r="U167" s="32" t="s">
        <v>358</v>
      </c>
      <c r="V167" s="32"/>
      <c r="W167" s="46">
        <v>0</v>
      </c>
      <c r="X167" s="32"/>
      <c r="Y167" s="32"/>
      <c r="Z167" s="21"/>
      <c r="AA167" s="21"/>
    </row>
    <row r="168" spans="1:30" s="25" customFormat="1" ht="15.75">
      <c r="A168" s="131" t="s">
        <v>685</v>
      </c>
      <c r="B168" s="27" t="s">
        <v>641</v>
      </c>
      <c r="C168" s="27" t="s">
        <v>642</v>
      </c>
      <c r="D168" s="28">
        <v>3</v>
      </c>
      <c r="E168" s="28">
        <f t="shared" si="6"/>
        <v>980</v>
      </c>
      <c r="F168" s="28">
        <v>2940</v>
      </c>
      <c r="G168" s="9">
        <v>0</v>
      </c>
      <c r="H168" s="9">
        <v>0</v>
      </c>
      <c r="I168" s="31">
        <v>44123</v>
      </c>
      <c r="J168" s="22"/>
      <c r="K168" s="22"/>
      <c r="L168" s="31"/>
      <c r="S168" s="26">
        <f t="shared" si="7"/>
        <v>3</v>
      </c>
      <c r="T168" s="26">
        <f t="shared" si="8"/>
        <v>2940</v>
      </c>
      <c r="U168" s="32"/>
      <c r="V168" s="32"/>
      <c r="W168" s="46">
        <v>0</v>
      </c>
      <c r="X168" s="32"/>
      <c r="Y168" s="32"/>
      <c r="Z168" s="21"/>
      <c r="AA168" s="21"/>
    </row>
    <row r="169" spans="1:30" s="25" customFormat="1" ht="15.75">
      <c r="A169" s="131" t="s">
        <v>685</v>
      </c>
      <c r="B169" s="27" t="s">
        <v>643</v>
      </c>
      <c r="C169" s="27" t="s">
        <v>644</v>
      </c>
      <c r="D169" s="28">
        <v>1</v>
      </c>
      <c r="E169" s="28">
        <f t="shared" si="6"/>
        <v>5850</v>
      </c>
      <c r="F169" s="28">
        <v>5850</v>
      </c>
      <c r="G169" s="9">
        <v>0</v>
      </c>
      <c r="H169" s="9">
        <v>0</v>
      </c>
      <c r="I169" s="24">
        <v>45993</v>
      </c>
      <c r="J169" s="22"/>
      <c r="K169" s="22"/>
      <c r="L169" s="24"/>
      <c r="S169" s="26">
        <f t="shared" si="7"/>
        <v>1</v>
      </c>
      <c r="T169" s="26">
        <f t="shared" si="8"/>
        <v>5850</v>
      </c>
      <c r="U169" s="27"/>
      <c r="V169" s="27"/>
      <c r="W169" s="46">
        <v>0</v>
      </c>
      <c r="X169" s="73"/>
      <c r="Y169" s="27"/>
      <c r="Z169" s="27"/>
      <c r="AA169" s="27"/>
    </row>
    <row r="170" spans="1:30" s="25" customFormat="1" ht="15.75">
      <c r="A170" s="131" t="s">
        <v>685</v>
      </c>
      <c r="B170" s="27" t="s">
        <v>447</v>
      </c>
      <c r="C170" s="27" t="s">
        <v>448</v>
      </c>
      <c r="D170" s="28">
        <v>12</v>
      </c>
      <c r="E170" s="28">
        <f t="shared" si="6"/>
        <v>3600</v>
      </c>
      <c r="F170" s="28">
        <v>43200</v>
      </c>
      <c r="G170" s="23">
        <v>0</v>
      </c>
      <c r="H170" s="23">
        <v>0</v>
      </c>
      <c r="I170" s="24">
        <v>45947</v>
      </c>
      <c r="J170" s="22"/>
      <c r="K170" s="22"/>
      <c r="L170" s="24"/>
      <c r="S170" s="26">
        <f t="shared" si="7"/>
        <v>12</v>
      </c>
      <c r="T170" s="26">
        <f t="shared" si="8"/>
        <v>43200</v>
      </c>
      <c r="U170" s="27"/>
      <c r="V170" s="27"/>
      <c r="W170" s="46">
        <v>0</v>
      </c>
      <c r="X170" s="73"/>
      <c r="Y170" s="27"/>
      <c r="Z170" s="27"/>
      <c r="AA170" s="27"/>
    </row>
    <row r="171" spans="1:30" s="25" customFormat="1" ht="15.75">
      <c r="A171" s="131" t="s">
        <v>685</v>
      </c>
      <c r="B171" s="27" t="s">
        <v>449</v>
      </c>
      <c r="C171" s="27" t="s">
        <v>450</v>
      </c>
      <c r="D171" s="28">
        <v>11</v>
      </c>
      <c r="E171" s="28">
        <f t="shared" si="6"/>
        <v>2800</v>
      </c>
      <c r="F171" s="28">
        <v>30800</v>
      </c>
      <c r="G171" s="23">
        <v>0</v>
      </c>
      <c r="H171" s="23">
        <v>0</v>
      </c>
      <c r="I171" s="31">
        <v>45589</v>
      </c>
      <c r="J171" s="22"/>
      <c r="K171" s="22"/>
      <c r="L171" s="31">
        <v>44252</v>
      </c>
      <c r="S171" s="26">
        <f t="shared" si="7"/>
        <v>11</v>
      </c>
      <c r="T171" s="26">
        <f t="shared" si="8"/>
        <v>30800</v>
      </c>
      <c r="U171" s="32"/>
      <c r="V171" s="32"/>
      <c r="W171" s="46">
        <v>0</v>
      </c>
      <c r="X171" s="32"/>
      <c r="Y171" s="32"/>
      <c r="Z171" s="21"/>
      <c r="AA171" s="21"/>
    </row>
    <row r="172" spans="1:30" s="25" customFormat="1" ht="15.75">
      <c r="A172" s="131" t="s">
        <v>685</v>
      </c>
      <c r="B172" s="21" t="s">
        <v>45</v>
      </c>
      <c r="C172" s="21" t="s">
        <v>251</v>
      </c>
      <c r="D172" s="28">
        <v>2</v>
      </c>
      <c r="E172" s="28">
        <f t="shared" si="6"/>
        <v>402.5</v>
      </c>
      <c r="F172" s="28">
        <v>805</v>
      </c>
      <c r="G172" s="23">
        <v>2</v>
      </c>
      <c r="H172" s="23">
        <v>0</v>
      </c>
      <c r="I172" s="31">
        <v>44576</v>
      </c>
      <c r="J172" s="22"/>
      <c r="K172" s="22"/>
      <c r="L172" s="31"/>
      <c r="S172" s="26">
        <f t="shared" si="7"/>
        <v>2</v>
      </c>
      <c r="T172" s="26">
        <f t="shared" si="8"/>
        <v>805</v>
      </c>
      <c r="U172" s="32"/>
      <c r="V172" s="32"/>
      <c r="W172" s="46">
        <v>0</v>
      </c>
      <c r="X172" s="32"/>
      <c r="Y172" s="32"/>
      <c r="Z172" s="21"/>
      <c r="AA172" s="21"/>
    </row>
    <row r="173" spans="1:30" s="30" customFormat="1" ht="47.25">
      <c r="A173" s="131" t="s">
        <v>685</v>
      </c>
      <c r="B173" s="86" t="s">
        <v>645</v>
      </c>
      <c r="C173" s="86" t="s">
        <v>646</v>
      </c>
      <c r="D173" s="87">
        <v>9</v>
      </c>
      <c r="E173" s="87">
        <f t="shared" si="6"/>
        <v>2193.5555555555557</v>
      </c>
      <c r="F173" s="87">
        <v>19742</v>
      </c>
      <c r="G173" s="88">
        <v>5</v>
      </c>
      <c r="H173" s="88">
        <v>0</v>
      </c>
      <c r="I173" s="89">
        <v>45877</v>
      </c>
      <c r="J173" s="90"/>
      <c r="K173" s="90"/>
      <c r="L173" s="89">
        <v>45440</v>
      </c>
      <c r="M173" s="91"/>
      <c r="N173" s="91"/>
      <c r="O173" s="91"/>
      <c r="P173" s="91"/>
      <c r="Q173" s="91"/>
      <c r="R173" s="91"/>
      <c r="S173" s="92">
        <f t="shared" si="7"/>
        <v>9</v>
      </c>
      <c r="T173" s="92">
        <f t="shared" si="8"/>
        <v>19742</v>
      </c>
      <c r="U173" s="93"/>
      <c r="V173" s="93"/>
      <c r="W173" s="125">
        <v>1</v>
      </c>
      <c r="X173" s="93" t="s">
        <v>386</v>
      </c>
      <c r="Y173" s="126" t="s">
        <v>647</v>
      </c>
      <c r="Z173" s="96"/>
      <c r="AA173" s="96" t="s">
        <v>648</v>
      </c>
      <c r="AB173" s="90"/>
      <c r="AC173" s="91">
        <f>(F173/D173)*2</f>
        <v>4387.1111111111113</v>
      </c>
      <c r="AD173" s="90">
        <f>(F173/D173)*3</f>
        <v>6580.666666666667</v>
      </c>
    </row>
    <row r="174" spans="1:30" s="25" customFormat="1" ht="15.75">
      <c r="A174" s="131" t="s">
        <v>685</v>
      </c>
      <c r="B174" s="21" t="s">
        <v>44</v>
      </c>
      <c r="C174" s="21" t="s">
        <v>252</v>
      </c>
      <c r="D174" s="28">
        <v>1</v>
      </c>
      <c r="E174" s="28">
        <f t="shared" si="6"/>
        <v>900</v>
      </c>
      <c r="F174" s="28">
        <v>900</v>
      </c>
      <c r="G174" s="23">
        <v>0</v>
      </c>
      <c r="H174" s="23">
        <v>4</v>
      </c>
      <c r="I174" s="24">
        <v>45877</v>
      </c>
      <c r="J174" s="22"/>
      <c r="K174" s="22"/>
      <c r="L174" s="24">
        <v>45429</v>
      </c>
      <c r="S174" s="26">
        <f t="shared" si="7"/>
        <v>1</v>
      </c>
      <c r="T174" s="26">
        <f t="shared" si="8"/>
        <v>900</v>
      </c>
      <c r="U174" s="27"/>
      <c r="V174" s="27"/>
      <c r="W174" s="46">
        <v>0</v>
      </c>
      <c r="X174" s="73"/>
      <c r="Y174" s="27"/>
      <c r="Z174" s="27"/>
      <c r="AA174" s="27"/>
    </row>
    <row r="175" spans="1:30" s="25" customFormat="1" ht="15.75">
      <c r="A175" s="131" t="s">
        <v>685</v>
      </c>
      <c r="B175" s="21" t="s">
        <v>43</v>
      </c>
      <c r="C175" s="21" t="s">
        <v>253</v>
      </c>
      <c r="D175" s="28">
        <v>200</v>
      </c>
      <c r="E175" s="28">
        <f t="shared" si="6"/>
        <v>8</v>
      </c>
      <c r="F175" s="28">
        <v>1600</v>
      </c>
      <c r="G175" s="23">
        <v>0</v>
      </c>
      <c r="H175" s="23">
        <v>0</v>
      </c>
      <c r="I175" s="31">
        <v>45383</v>
      </c>
      <c r="J175" s="22"/>
      <c r="K175" s="22"/>
      <c r="L175" s="31"/>
      <c r="S175" s="26">
        <f t="shared" si="7"/>
        <v>200</v>
      </c>
      <c r="T175" s="26">
        <f t="shared" si="8"/>
        <v>1600</v>
      </c>
      <c r="U175" s="32" t="s">
        <v>359</v>
      </c>
      <c r="V175" s="32"/>
      <c r="W175" s="70">
        <v>0</v>
      </c>
      <c r="X175" s="32"/>
      <c r="Y175" s="32"/>
      <c r="Z175" s="21"/>
      <c r="AA175" s="21"/>
    </row>
    <row r="176" spans="1:30" s="25" customFormat="1" ht="15.75">
      <c r="A176" s="131" t="s">
        <v>685</v>
      </c>
      <c r="B176" s="69" t="s">
        <v>42</v>
      </c>
      <c r="C176" s="69" t="s">
        <v>254</v>
      </c>
      <c r="D176" s="60">
        <v>1</v>
      </c>
      <c r="E176" s="60">
        <f t="shared" si="6"/>
        <v>28200</v>
      </c>
      <c r="F176" s="60">
        <v>28200</v>
      </c>
      <c r="G176" s="61">
        <v>0</v>
      </c>
      <c r="H176" s="61">
        <v>0</v>
      </c>
      <c r="I176" s="71">
        <v>41632</v>
      </c>
      <c r="J176" s="63"/>
      <c r="K176" s="63"/>
      <c r="L176" s="71"/>
      <c r="M176" s="64"/>
      <c r="N176" s="64"/>
      <c r="O176" s="64"/>
      <c r="P176" s="64"/>
      <c r="Q176" s="64"/>
      <c r="R176" s="64"/>
      <c r="S176" s="65">
        <f t="shared" si="7"/>
        <v>1</v>
      </c>
      <c r="T176" s="65">
        <f t="shared" si="8"/>
        <v>28200</v>
      </c>
      <c r="U176" s="66"/>
      <c r="V176" s="66"/>
      <c r="W176" s="72">
        <v>1</v>
      </c>
      <c r="X176" s="66" t="s">
        <v>649</v>
      </c>
      <c r="Y176" s="66"/>
      <c r="Z176" s="69"/>
      <c r="AA176" s="69"/>
      <c r="AB176" s="64"/>
      <c r="AC176" s="64"/>
      <c r="AD176" s="64"/>
    </row>
    <row r="177" spans="1:30" s="25" customFormat="1" ht="15.75">
      <c r="A177" s="131" t="s">
        <v>685</v>
      </c>
      <c r="B177" s="21" t="s">
        <v>41</v>
      </c>
      <c r="C177" s="21" t="s">
        <v>255</v>
      </c>
      <c r="D177" s="28">
        <v>1</v>
      </c>
      <c r="E177" s="28">
        <f t="shared" si="6"/>
        <v>25000</v>
      </c>
      <c r="F177" s="28">
        <v>25000</v>
      </c>
      <c r="G177" s="23">
        <v>0</v>
      </c>
      <c r="H177" s="23">
        <v>0</v>
      </c>
      <c r="I177" s="31">
        <v>44075</v>
      </c>
      <c r="J177" s="22"/>
      <c r="K177" s="22"/>
      <c r="L177" s="31">
        <v>44253</v>
      </c>
      <c r="S177" s="26">
        <f t="shared" si="7"/>
        <v>1</v>
      </c>
      <c r="T177" s="26">
        <f t="shared" si="8"/>
        <v>25000</v>
      </c>
      <c r="U177" s="32" t="s">
        <v>650</v>
      </c>
      <c r="V177" s="32"/>
      <c r="W177" s="70">
        <v>0</v>
      </c>
      <c r="X177" s="32"/>
      <c r="Y177" s="32"/>
      <c r="Z177" s="21"/>
      <c r="AA177" s="21"/>
    </row>
    <row r="178" spans="1:30" s="25" customFormat="1" ht="31.5">
      <c r="A178" s="131" t="s">
        <v>685</v>
      </c>
      <c r="B178" s="21" t="s">
        <v>40</v>
      </c>
      <c r="C178" s="21" t="s">
        <v>256</v>
      </c>
      <c r="D178" s="28">
        <v>1</v>
      </c>
      <c r="E178" s="28">
        <f t="shared" si="6"/>
        <v>1950</v>
      </c>
      <c r="F178" s="28">
        <v>1950</v>
      </c>
      <c r="G178" s="23">
        <v>1</v>
      </c>
      <c r="H178" s="23">
        <v>0</v>
      </c>
      <c r="I178" s="31">
        <v>41914</v>
      </c>
      <c r="J178" s="22"/>
      <c r="K178" s="22"/>
      <c r="L178" s="31"/>
      <c r="S178" s="26">
        <f t="shared" si="7"/>
        <v>1</v>
      </c>
      <c r="T178" s="26">
        <f t="shared" si="8"/>
        <v>1950</v>
      </c>
      <c r="U178" s="32" t="s">
        <v>360</v>
      </c>
      <c r="V178" s="32"/>
      <c r="W178" s="70">
        <v>0</v>
      </c>
      <c r="X178" s="32"/>
      <c r="Y178" s="32"/>
      <c r="Z178" s="21"/>
      <c r="AA178" s="21"/>
    </row>
    <row r="179" spans="1:30" s="25" customFormat="1" ht="15.75">
      <c r="A179" s="131" t="s">
        <v>685</v>
      </c>
      <c r="B179" s="69" t="s">
        <v>651</v>
      </c>
      <c r="C179" s="69" t="s">
        <v>257</v>
      </c>
      <c r="D179" s="60">
        <v>3</v>
      </c>
      <c r="E179" s="60">
        <f t="shared" si="6"/>
        <v>1500</v>
      </c>
      <c r="F179" s="60">
        <v>4500</v>
      </c>
      <c r="G179" s="61">
        <v>1</v>
      </c>
      <c r="H179" s="61">
        <v>0</v>
      </c>
      <c r="I179" s="71">
        <v>41963</v>
      </c>
      <c r="J179" s="63"/>
      <c r="K179" s="63"/>
      <c r="L179" s="71"/>
      <c r="M179" s="64"/>
      <c r="N179" s="64"/>
      <c r="O179" s="64"/>
      <c r="P179" s="64"/>
      <c r="Q179" s="64"/>
      <c r="R179" s="64"/>
      <c r="S179" s="65">
        <f t="shared" si="7"/>
        <v>3</v>
      </c>
      <c r="T179" s="65">
        <f t="shared" si="8"/>
        <v>4500</v>
      </c>
      <c r="U179" s="66" t="s">
        <v>360</v>
      </c>
      <c r="V179" s="66"/>
      <c r="W179" s="72">
        <v>1</v>
      </c>
      <c r="X179" s="66" t="s">
        <v>492</v>
      </c>
      <c r="Y179" s="66"/>
      <c r="Z179" s="69"/>
      <c r="AA179" s="69"/>
      <c r="AB179" s="64"/>
      <c r="AC179" s="64"/>
      <c r="AD179" s="63">
        <f>(F179/D179)*2</f>
        <v>3000</v>
      </c>
    </row>
    <row r="180" spans="1:30" s="25" customFormat="1" ht="15.75">
      <c r="A180" s="131" t="s">
        <v>685</v>
      </c>
      <c r="B180" s="27" t="s">
        <v>39</v>
      </c>
      <c r="C180" s="27" t="s">
        <v>258</v>
      </c>
      <c r="D180" s="28">
        <v>1</v>
      </c>
      <c r="E180" s="28">
        <f t="shared" si="6"/>
        <v>1540</v>
      </c>
      <c r="F180" s="28">
        <v>1540</v>
      </c>
      <c r="G180" s="23">
        <v>0</v>
      </c>
      <c r="H180" s="23">
        <v>0</v>
      </c>
      <c r="I180" s="31">
        <v>42906</v>
      </c>
      <c r="J180" s="22"/>
      <c r="K180" s="22"/>
      <c r="L180" s="31"/>
      <c r="S180" s="26">
        <f t="shared" si="7"/>
        <v>1</v>
      </c>
      <c r="T180" s="26">
        <f t="shared" si="8"/>
        <v>1540</v>
      </c>
      <c r="U180" s="32" t="s">
        <v>599</v>
      </c>
      <c r="V180" s="32"/>
      <c r="W180" s="70">
        <v>0</v>
      </c>
      <c r="X180" s="32"/>
      <c r="Y180" s="32"/>
      <c r="Z180" s="21"/>
      <c r="AA180" s="21"/>
    </row>
    <row r="181" spans="1:30" s="25" customFormat="1" ht="15.75">
      <c r="A181" s="131" t="s">
        <v>685</v>
      </c>
      <c r="B181" s="21" t="s">
        <v>38</v>
      </c>
      <c r="C181" s="21" t="s">
        <v>259</v>
      </c>
      <c r="D181" s="28">
        <v>4</v>
      </c>
      <c r="E181" s="28">
        <f t="shared" si="6"/>
        <v>6343</v>
      </c>
      <c r="F181" s="28">
        <v>25372</v>
      </c>
      <c r="G181" s="23">
        <v>1</v>
      </c>
      <c r="H181" s="23">
        <v>0</v>
      </c>
      <c r="I181" s="31">
        <v>42936</v>
      </c>
      <c r="J181" s="22"/>
      <c r="K181" s="22"/>
      <c r="L181" s="31"/>
      <c r="S181" s="26">
        <f t="shared" si="7"/>
        <v>4</v>
      </c>
      <c r="T181" s="26">
        <f t="shared" si="8"/>
        <v>25372</v>
      </c>
      <c r="U181" s="32" t="s">
        <v>351</v>
      </c>
      <c r="V181" s="32"/>
      <c r="W181" s="70">
        <v>0</v>
      </c>
      <c r="X181" s="32"/>
      <c r="Y181" s="32"/>
      <c r="Z181" s="21"/>
      <c r="AA181" s="21"/>
    </row>
    <row r="182" spans="1:30" s="25" customFormat="1" ht="15.75">
      <c r="A182" s="131" t="s">
        <v>685</v>
      </c>
      <c r="B182" s="69" t="s">
        <v>652</v>
      </c>
      <c r="C182" s="69" t="s">
        <v>260</v>
      </c>
      <c r="D182" s="60">
        <v>1</v>
      </c>
      <c r="E182" s="60">
        <f t="shared" ref="E182:E244" si="9">IFERROR(F182/D182,0)</f>
        <v>630</v>
      </c>
      <c r="F182" s="60">
        <v>630</v>
      </c>
      <c r="G182" s="61">
        <v>0</v>
      </c>
      <c r="H182" s="61">
        <v>28</v>
      </c>
      <c r="I182" s="71">
        <v>43832</v>
      </c>
      <c r="J182" s="63"/>
      <c r="K182" s="63"/>
      <c r="L182" s="71"/>
      <c r="M182" s="64"/>
      <c r="N182" s="64"/>
      <c r="O182" s="64"/>
      <c r="P182" s="64"/>
      <c r="Q182" s="64"/>
      <c r="R182" s="64"/>
      <c r="S182" s="65">
        <f t="shared" ref="S182" si="10">D182+J182-M182+O182+Q182</f>
        <v>1</v>
      </c>
      <c r="T182" s="65">
        <f t="shared" ref="T182" si="11">F182+K182-N182+P182+R182</f>
        <v>630</v>
      </c>
      <c r="U182" s="66" t="s">
        <v>361</v>
      </c>
      <c r="V182" s="66"/>
      <c r="W182" s="72">
        <v>32</v>
      </c>
      <c r="X182" s="66" t="s">
        <v>477</v>
      </c>
      <c r="Y182" s="66"/>
      <c r="Z182" s="69"/>
      <c r="AA182" s="69"/>
      <c r="AB182" s="64"/>
      <c r="AC182" s="64"/>
      <c r="AD182" s="64"/>
    </row>
    <row r="183" spans="1:30" s="25" customFormat="1" ht="15.75">
      <c r="A183" s="131" t="s">
        <v>685</v>
      </c>
      <c r="B183" s="21" t="s">
        <v>37</v>
      </c>
      <c r="C183" s="21" t="s">
        <v>261</v>
      </c>
      <c r="D183" s="28">
        <v>5</v>
      </c>
      <c r="E183" s="28">
        <f t="shared" si="9"/>
        <v>49.4</v>
      </c>
      <c r="F183" s="28">
        <v>247</v>
      </c>
      <c r="G183" s="23">
        <v>0</v>
      </c>
      <c r="H183" s="23">
        <v>0</v>
      </c>
      <c r="I183" s="24"/>
      <c r="J183" s="28"/>
      <c r="K183" s="28"/>
      <c r="L183" s="24"/>
      <c r="U183" s="27"/>
      <c r="V183" s="27"/>
      <c r="W183" s="46">
        <v>0</v>
      </c>
      <c r="X183" s="73"/>
      <c r="Y183" s="27"/>
      <c r="Z183" s="27"/>
      <c r="AA183" s="27"/>
    </row>
    <row r="184" spans="1:30" s="25" customFormat="1" ht="15.75">
      <c r="A184" s="131" t="s">
        <v>685</v>
      </c>
      <c r="B184" s="21" t="s">
        <v>451</v>
      </c>
      <c r="C184" s="21" t="s">
        <v>262</v>
      </c>
      <c r="D184" s="28">
        <v>4</v>
      </c>
      <c r="E184" s="28">
        <f t="shared" si="9"/>
        <v>652.5</v>
      </c>
      <c r="F184" s="28">
        <v>2610</v>
      </c>
      <c r="G184" s="23">
        <v>4</v>
      </c>
      <c r="H184" s="23">
        <v>0</v>
      </c>
      <c r="I184" s="24"/>
      <c r="J184" s="28"/>
      <c r="K184" s="28"/>
      <c r="L184" s="24"/>
      <c r="U184" s="27"/>
      <c r="V184" s="27"/>
      <c r="W184" s="46">
        <v>0</v>
      </c>
      <c r="X184" s="73"/>
      <c r="Y184" s="27"/>
      <c r="Z184" s="27"/>
      <c r="AA184" s="27"/>
    </row>
    <row r="185" spans="1:30" s="25" customFormat="1" ht="15.75">
      <c r="A185" s="131" t="s">
        <v>685</v>
      </c>
      <c r="B185" s="21" t="s">
        <v>452</v>
      </c>
      <c r="C185" s="21" t="s">
        <v>263</v>
      </c>
      <c r="D185" s="28">
        <v>1</v>
      </c>
      <c r="E185" s="28">
        <f t="shared" si="9"/>
        <v>15</v>
      </c>
      <c r="F185" s="28">
        <v>15</v>
      </c>
      <c r="G185" s="23">
        <v>1</v>
      </c>
      <c r="H185" s="23">
        <v>0</v>
      </c>
      <c r="I185" s="24"/>
      <c r="J185" s="28"/>
      <c r="K185" s="28"/>
      <c r="L185" s="24"/>
      <c r="U185" s="27"/>
      <c r="V185" s="27"/>
      <c r="W185" s="46">
        <v>0</v>
      </c>
      <c r="X185" s="73"/>
      <c r="Y185" s="27"/>
      <c r="Z185" s="27"/>
      <c r="AA185" s="27"/>
    </row>
    <row r="186" spans="1:30" s="25" customFormat="1" ht="15.75">
      <c r="A186" s="131" t="s">
        <v>685</v>
      </c>
      <c r="B186" s="21" t="s">
        <v>36</v>
      </c>
      <c r="C186" s="21" t="s">
        <v>264</v>
      </c>
      <c r="D186" s="28">
        <v>1</v>
      </c>
      <c r="E186" s="28">
        <f t="shared" si="9"/>
        <v>140</v>
      </c>
      <c r="F186" s="28">
        <v>140</v>
      </c>
      <c r="G186" s="23">
        <v>1</v>
      </c>
      <c r="H186" s="23">
        <v>0</v>
      </c>
      <c r="I186" s="24"/>
      <c r="J186" s="28"/>
      <c r="K186" s="28"/>
      <c r="L186" s="24"/>
      <c r="U186" s="27"/>
      <c r="V186" s="27"/>
      <c r="W186" s="46">
        <v>0</v>
      </c>
      <c r="X186" s="73"/>
      <c r="Y186" s="27"/>
      <c r="Z186" s="27"/>
      <c r="AA186" s="27"/>
    </row>
    <row r="187" spans="1:30" s="25" customFormat="1" ht="15.75">
      <c r="A187" s="131" t="s">
        <v>685</v>
      </c>
      <c r="B187" s="21" t="s">
        <v>35</v>
      </c>
      <c r="C187" s="21" t="s">
        <v>265</v>
      </c>
      <c r="D187" s="28">
        <v>1</v>
      </c>
      <c r="E187" s="28">
        <f t="shared" si="9"/>
        <v>12830</v>
      </c>
      <c r="F187" s="28">
        <v>12830</v>
      </c>
      <c r="G187" s="23">
        <v>0</v>
      </c>
      <c r="H187" s="23">
        <v>0</v>
      </c>
      <c r="I187" s="24"/>
      <c r="J187" s="28"/>
      <c r="K187" s="28"/>
      <c r="L187" s="24"/>
      <c r="U187" s="27"/>
      <c r="V187" s="27"/>
      <c r="W187" s="46">
        <v>0</v>
      </c>
      <c r="X187" s="73"/>
      <c r="Y187" s="27"/>
      <c r="Z187" s="27"/>
      <c r="AA187" s="27"/>
    </row>
    <row r="188" spans="1:30" s="25" customFormat="1" ht="15.75">
      <c r="A188" s="131" t="s">
        <v>685</v>
      </c>
      <c r="B188" s="69" t="s">
        <v>34</v>
      </c>
      <c r="C188" s="69" t="s">
        <v>266</v>
      </c>
      <c r="D188" s="60">
        <v>30</v>
      </c>
      <c r="E188" s="60">
        <f t="shared" si="9"/>
        <v>25</v>
      </c>
      <c r="F188" s="60">
        <v>750</v>
      </c>
      <c r="G188" s="61">
        <v>31</v>
      </c>
      <c r="H188" s="61">
        <v>1</v>
      </c>
      <c r="I188" s="62"/>
      <c r="J188" s="60"/>
      <c r="K188" s="60"/>
      <c r="L188" s="62"/>
      <c r="M188" s="64"/>
      <c r="N188" s="64"/>
      <c r="O188" s="64"/>
      <c r="P188" s="64"/>
      <c r="Q188" s="64"/>
      <c r="R188" s="64"/>
      <c r="S188" s="64"/>
      <c r="T188" s="64"/>
      <c r="U188" s="77"/>
      <c r="V188" s="77"/>
      <c r="W188" s="67">
        <v>20</v>
      </c>
      <c r="X188" s="66" t="s">
        <v>492</v>
      </c>
      <c r="Y188" s="77"/>
      <c r="Z188" s="77"/>
      <c r="AA188" s="77"/>
      <c r="AB188" s="64"/>
      <c r="AC188" s="64"/>
      <c r="AD188" s="63">
        <f>(F188/D188)*10</f>
        <v>250</v>
      </c>
    </row>
    <row r="189" spans="1:30" s="25" customFormat="1" ht="15.75">
      <c r="A189" s="131" t="s">
        <v>685</v>
      </c>
      <c r="B189" s="21" t="s">
        <v>33</v>
      </c>
      <c r="C189" s="21" t="s">
        <v>267</v>
      </c>
      <c r="D189" s="28">
        <v>8</v>
      </c>
      <c r="E189" s="28">
        <f t="shared" si="9"/>
        <v>46</v>
      </c>
      <c r="F189" s="28">
        <v>368</v>
      </c>
      <c r="G189" s="23">
        <v>13</v>
      </c>
      <c r="H189" s="23">
        <v>5</v>
      </c>
      <c r="I189" s="24"/>
      <c r="J189" s="28"/>
      <c r="K189" s="28"/>
      <c r="L189" s="24"/>
      <c r="U189" s="27"/>
      <c r="V189" s="27"/>
      <c r="W189" s="46">
        <v>0</v>
      </c>
      <c r="X189" s="73"/>
      <c r="Y189" s="27"/>
      <c r="Z189" s="27"/>
      <c r="AA189" s="27"/>
    </row>
    <row r="190" spans="1:30" s="25" customFormat="1" ht="15.75">
      <c r="A190" s="131" t="s">
        <v>685</v>
      </c>
      <c r="B190" s="21" t="s">
        <v>32</v>
      </c>
      <c r="C190" s="21" t="s">
        <v>268</v>
      </c>
      <c r="D190" s="28">
        <v>200</v>
      </c>
      <c r="E190" s="28">
        <f t="shared" si="9"/>
        <v>0.91</v>
      </c>
      <c r="F190" s="28">
        <v>182</v>
      </c>
      <c r="G190" s="23">
        <v>200</v>
      </c>
      <c r="H190" s="23">
        <v>0</v>
      </c>
      <c r="I190" s="24"/>
      <c r="J190" s="28"/>
      <c r="K190" s="28"/>
      <c r="L190" s="24"/>
      <c r="U190" s="27"/>
      <c r="V190" s="27"/>
      <c r="W190" s="46">
        <v>0</v>
      </c>
      <c r="X190" s="73"/>
      <c r="Y190" s="27"/>
      <c r="Z190" s="27"/>
      <c r="AA190" s="27"/>
    </row>
    <row r="191" spans="1:30" s="25" customFormat="1" ht="15.75">
      <c r="A191" s="131" t="s">
        <v>685</v>
      </c>
      <c r="B191" s="21" t="s">
        <v>453</v>
      </c>
      <c r="C191" s="21" t="s">
        <v>269</v>
      </c>
      <c r="D191" s="28">
        <v>1</v>
      </c>
      <c r="E191" s="28">
        <f t="shared" si="9"/>
        <v>210</v>
      </c>
      <c r="F191" s="28">
        <v>210</v>
      </c>
      <c r="G191" s="23">
        <v>1</v>
      </c>
      <c r="H191" s="23">
        <v>0</v>
      </c>
      <c r="I191" s="24"/>
      <c r="J191" s="28"/>
      <c r="K191" s="28"/>
      <c r="L191" s="24"/>
      <c r="U191" s="27"/>
      <c r="V191" s="27"/>
      <c r="W191" s="46">
        <v>0</v>
      </c>
      <c r="X191" s="73"/>
      <c r="Y191" s="27"/>
      <c r="Z191" s="27"/>
      <c r="AA191" s="27"/>
    </row>
    <row r="192" spans="1:30" s="25" customFormat="1" ht="15.75">
      <c r="A192" s="131" t="s">
        <v>685</v>
      </c>
      <c r="B192" s="21" t="s">
        <v>31</v>
      </c>
      <c r="C192" s="21" t="s">
        <v>270</v>
      </c>
      <c r="D192" s="28">
        <v>2</v>
      </c>
      <c r="E192" s="28">
        <f t="shared" si="9"/>
        <v>2800</v>
      </c>
      <c r="F192" s="28">
        <v>5600</v>
      </c>
      <c r="G192" s="23">
        <v>0</v>
      </c>
      <c r="H192" s="23">
        <v>0</v>
      </c>
      <c r="I192" s="24"/>
      <c r="J192" s="28"/>
      <c r="K192" s="28"/>
      <c r="L192" s="24"/>
      <c r="U192" s="27"/>
      <c r="V192" s="27"/>
      <c r="W192" s="46">
        <v>0</v>
      </c>
      <c r="X192" s="73"/>
      <c r="Y192" s="27"/>
      <c r="Z192" s="27"/>
      <c r="AA192" s="27"/>
    </row>
    <row r="193" spans="1:30" s="25" customFormat="1" ht="15.75">
      <c r="A193" s="131" t="s">
        <v>685</v>
      </c>
      <c r="B193" s="80" t="s">
        <v>167</v>
      </c>
      <c r="C193" s="80" t="s">
        <v>271</v>
      </c>
      <c r="D193" s="49">
        <v>40</v>
      </c>
      <c r="E193" s="49">
        <f t="shared" si="9"/>
        <v>2</v>
      </c>
      <c r="F193" s="49">
        <v>80</v>
      </c>
      <c r="G193" s="50">
        <v>0</v>
      </c>
      <c r="H193" s="50">
        <v>0</v>
      </c>
      <c r="I193" s="83"/>
      <c r="J193" s="52"/>
      <c r="K193" s="52"/>
      <c r="L193" s="83"/>
      <c r="M193" s="53"/>
      <c r="N193" s="53"/>
      <c r="O193" s="53"/>
      <c r="P193" s="53"/>
      <c r="Q193" s="53"/>
      <c r="R193" s="53"/>
      <c r="S193" s="54"/>
      <c r="T193" s="54"/>
      <c r="U193" s="55"/>
      <c r="V193" s="55"/>
      <c r="W193" s="102">
        <v>0</v>
      </c>
      <c r="X193" s="55"/>
      <c r="Y193" s="80"/>
      <c r="Z193" s="58"/>
      <c r="AA193" s="80" t="s">
        <v>653</v>
      </c>
      <c r="AB193" s="52">
        <f>(F193/D193)*40</f>
        <v>80</v>
      </c>
      <c r="AC193" s="53"/>
      <c r="AD193" s="53"/>
    </row>
    <row r="194" spans="1:30" s="25" customFormat="1" ht="15.75">
      <c r="A194" s="131" t="s">
        <v>685</v>
      </c>
      <c r="B194" s="80" t="s">
        <v>168</v>
      </c>
      <c r="C194" s="80" t="s">
        <v>272</v>
      </c>
      <c r="D194" s="49">
        <v>150</v>
      </c>
      <c r="E194" s="49">
        <f t="shared" si="9"/>
        <v>2</v>
      </c>
      <c r="F194" s="49">
        <v>300</v>
      </c>
      <c r="G194" s="50">
        <v>0</v>
      </c>
      <c r="H194" s="50">
        <v>0</v>
      </c>
      <c r="I194" s="83"/>
      <c r="J194" s="52"/>
      <c r="K194" s="52"/>
      <c r="L194" s="83"/>
      <c r="M194" s="53"/>
      <c r="N194" s="53"/>
      <c r="O194" s="53"/>
      <c r="P194" s="53"/>
      <c r="Q194" s="53"/>
      <c r="R194" s="53"/>
      <c r="S194" s="54"/>
      <c r="T194" s="54"/>
      <c r="U194" s="55"/>
      <c r="V194" s="55"/>
      <c r="W194" s="102">
        <v>0</v>
      </c>
      <c r="X194" s="55"/>
      <c r="Y194" s="80"/>
      <c r="Z194" s="58"/>
      <c r="AA194" s="80" t="s">
        <v>654</v>
      </c>
      <c r="AB194" s="52">
        <f>(F194/D194)*150</f>
        <v>300</v>
      </c>
      <c r="AC194" s="53"/>
      <c r="AD194" s="53"/>
    </row>
    <row r="195" spans="1:30" s="25" customFormat="1" ht="15.75">
      <c r="A195" s="131" t="s">
        <v>685</v>
      </c>
      <c r="B195" s="80" t="s">
        <v>169</v>
      </c>
      <c r="C195" s="80" t="s">
        <v>273</v>
      </c>
      <c r="D195" s="49">
        <v>20</v>
      </c>
      <c r="E195" s="49">
        <f t="shared" si="9"/>
        <v>2</v>
      </c>
      <c r="F195" s="49">
        <v>40</v>
      </c>
      <c r="G195" s="50">
        <v>0</v>
      </c>
      <c r="H195" s="50">
        <v>0</v>
      </c>
      <c r="I195" s="83"/>
      <c r="J195" s="52"/>
      <c r="K195" s="52"/>
      <c r="L195" s="83"/>
      <c r="M195" s="53"/>
      <c r="N195" s="53"/>
      <c r="O195" s="53"/>
      <c r="P195" s="53"/>
      <c r="Q195" s="53"/>
      <c r="R195" s="53"/>
      <c r="S195" s="54"/>
      <c r="T195" s="54"/>
      <c r="U195" s="55"/>
      <c r="V195" s="55"/>
      <c r="W195" s="102">
        <v>0</v>
      </c>
      <c r="X195" s="55"/>
      <c r="Y195" s="80"/>
      <c r="Z195" s="58"/>
      <c r="AA195" s="80" t="s">
        <v>494</v>
      </c>
      <c r="AB195" s="52">
        <f>(F195/D195)*20</f>
        <v>40</v>
      </c>
      <c r="AC195" s="53"/>
      <c r="AD195" s="53"/>
    </row>
    <row r="196" spans="1:30" s="25" customFormat="1" ht="15.75">
      <c r="A196" s="131" t="s">
        <v>685</v>
      </c>
      <c r="B196" s="21" t="s">
        <v>30</v>
      </c>
      <c r="C196" s="21" t="s">
        <v>274</v>
      </c>
      <c r="D196" s="28">
        <v>1</v>
      </c>
      <c r="E196" s="28">
        <f t="shared" si="9"/>
        <v>2274</v>
      </c>
      <c r="F196" s="28">
        <v>2274</v>
      </c>
      <c r="G196" s="23">
        <v>0</v>
      </c>
      <c r="H196" s="23">
        <v>0</v>
      </c>
      <c r="I196" s="24"/>
      <c r="J196" s="28"/>
      <c r="K196" s="28"/>
      <c r="L196" s="24"/>
      <c r="U196" s="27"/>
      <c r="V196" s="27"/>
      <c r="W196" s="46">
        <v>0</v>
      </c>
      <c r="X196" s="73"/>
      <c r="Y196" s="27"/>
      <c r="Z196" s="27"/>
      <c r="AA196" s="27"/>
    </row>
    <row r="197" spans="1:30" s="25" customFormat="1" ht="15.75">
      <c r="A197" s="131" t="s">
        <v>685</v>
      </c>
      <c r="B197" s="80" t="s">
        <v>147</v>
      </c>
      <c r="C197" s="80" t="s">
        <v>275</v>
      </c>
      <c r="D197" s="49">
        <v>1</v>
      </c>
      <c r="E197" s="49">
        <f t="shared" si="9"/>
        <v>72489</v>
      </c>
      <c r="F197" s="49">
        <v>72489</v>
      </c>
      <c r="G197" s="50">
        <v>0</v>
      </c>
      <c r="H197" s="50">
        <v>0</v>
      </c>
      <c r="I197" s="83"/>
      <c r="J197" s="52"/>
      <c r="K197" s="52"/>
      <c r="L197" s="83"/>
      <c r="M197" s="53"/>
      <c r="N197" s="53"/>
      <c r="O197" s="53"/>
      <c r="P197" s="53"/>
      <c r="Q197" s="53"/>
      <c r="R197" s="53"/>
      <c r="S197" s="54"/>
      <c r="T197" s="54"/>
      <c r="U197" s="55"/>
      <c r="V197" s="55"/>
      <c r="W197" s="102">
        <v>0</v>
      </c>
      <c r="X197" s="55"/>
      <c r="Y197" s="80"/>
      <c r="Z197" s="58"/>
      <c r="AA197" s="127" t="s">
        <v>501</v>
      </c>
      <c r="AB197" s="52">
        <f>(F197/D197)*1</f>
        <v>72489</v>
      </c>
      <c r="AC197" s="53"/>
      <c r="AD197" s="53"/>
    </row>
    <row r="198" spans="1:30" s="25" customFormat="1" ht="15.75">
      <c r="A198" s="131" t="s">
        <v>685</v>
      </c>
      <c r="B198" s="21" t="s">
        <v>454</v>
      </c>
      <c r="C198" s="21" t="s">
        <v>276</v>
      </c>
      <c r="D198" s="28">
        <v>1</v>
      </c>
      <c r="E198" s="28">
        <f t="shared" si="9"/>
        <v>4500</v>
      </c>
      <c r="F198" s="28">
        <v>4500</v>
      </c>
      <c r="G198" s="23">
        <v>0</v>
      </c>
      <c r="H198" s="23">
        <v>0</v>
      </c>
      <c r="I198" s="24"/>
      <c r="J198" s="28"/>
      <c r="K198" s="28"/>
      <c r="L198" s="24"/>
      <c r="U198" s="27"/>
      <c r="V198" s="27"/>
      <c r="W198" s="46">
        <v>0</v>
      </c>
      <c r="X198" s="73"/>
      <c r="Y198" s="27"/>
      <c r="Z198" s="27"/>
      <c r="AA198" s="27"/>
    </row>
    <row r="199" spans="1:30" s="25" customFormat="1" ht="15.75">
      <c r="A199" s="131" t="s">
        <v>685</v>
      </c>
      <c r="B199" s="21" t="s">
        <v>170</v>
      </c>
      <c r="C199" s="21" t="s">
        <v>277</v>
      </c>
      <c r="D199" s="28">
        <v>1</v>
      </c>
      <c r="E199" s="28">
        <f t="shared" si="9"/>
        <v>5000</v>
      </c>
      <c r="F199" s="28">
        <v>5000</v>
      </c>
      <c r="G199" s="23">
        <v>0</v>
      </c>
      <c r="H199" s="23">
        <v>0</v>
      </c>
      <c r="I199" s="24"/>
      <c r="J199" s="28"/>
      <c r="K199" s="28"/>
      <c r="L199" s="24"/>
      <c r="U199" s="27"/>
      <c r="V199" s="27"/>
      <c r="W199" s="46">
        <v>0</v>
      </c>
      <c r="X199" s="73"/>
      <c r="Y199" s="27"/>
      <c r="Z199" s="27"/>
      <c r="AA199" s="27"/>
    </row>
    <row r="200" spans="1:30" s="25" customFormat="1" ht="15.75">
      <c r="A200" s="131" t="s">
        <v>685</v>
      </c>
      <c r="B200" s="21" t="s">
        <v>455</v>
      </c>
      <c r="C200" s="21" t="s">
        <v>278</v>
      </c>
      <c r="D200" s="28">
        <v>1</v>
      </c>
      <c r="E200" s="28">
        <f t="shared" si="9"/>
        <v>9500</v>
      </c>
      <c r="F200" s="28">
        <v>9500</v>
      </c>
      <c r="G200" s="23">
        <v>0</v>
      </c>
      <c r="H200" s="23">
        <v>0</v>
      </c>
      <c r="I200" s="24"/>
      <c r="J200" s="28"/>
      <c r="K200" s="28"/>
      <c r="L200" s="24"/>
      <c r="U200" s="27"/>
      <c r="V200" s="27"/>
      <c r="W200" s="46">
        <v>0</v>
      </c>
      <c r="X200" s="73"/>
      <c r="Y200" s="27"/>
      <c r="Z200" s="27"/>
      <c r="AA200" s="27"/>
    </row>
    <row r="201" spans="1:30" s="25" customFormat="1" ht="15.75">
      <c r="A201" s="131" t="s">
        <v>685</v>
      </c>
      <c r="B201" s="21" t="s">
        <v>456</v>
      </c>
      <c r="C201" s="21" t="s">
        <v>279</v>
      </c>
      <c r="D201" s="28">
        <v>1</v>
      </c>
      <c r="E201" s="28">
        <f t="shared" si="9"/>
        <v>9500</v>
      </c>
      <c r="F201" s="28">
        <v>9500</v>
      </c>
      <c r="G201" s="23">
        <v>0</v>
      </c>
      <c r="H201" s="23">
        <v>0</v>
      </c>
      <c r="I201" s="24"/>
      <c r="J201" s="28"/>
      <c r="K201" s="28"/>
      <c r="L201" s="24"/>
      <c r="U201" s="27"/>
      <c r="V201" s="27"/>
      <c r="W201" s="46">
        <v>0</v>
      </c>
      <c r="X201" s="73"/>
      <c r="Y201" s="27"/>
      <c r="Z201" s="27"/>
      <c r="AA201" s="27"/>
    </row>
    <row r="202" spans="1:30" s="25" customFormat="1" ht="15.75">
      <c r="A202" s="131" t="s">
        <v>685</v>
      </c>
      <c r="B202" s="21" t="s">
        <v>457</v>
      </c>
      <c r="C202" s="21" t="s">
        <v>280</v>
      </c>
      <c r="D202" s="28">
        <v>1</v>
      </c>
      <c r="E202" s="28">
        <f t="shared" si="9"/>
        <v>9500</v>
      </c>
      <c r="F202" s="28">
        <v>9500</v>
      </c>
      <c r="G202" s="23">
        <v>0</v>
      </c>
      <c r="H202" s="23">
        <v>0</v>
      </c>
      <c r="I202" s="24"/>
      <c r="J202" s="28"/>
      <c r="K202" s="28"/>
      <c r="L202" s="24"/>
      <c r="U202" s="27"/>
      <c r="V202" s="27"/>
      <c r="W202" s="46">
        <v>0</v>
      </c>
      <c r="X202" s="73"/>
      <c r="Y202" s="27"/>
      <c r="Z202" s="27"/>
      <c r="AA202" s="27"/>
    </row>
    <row r="203" spans="1:30" s="25" customFormat="1" ht="16.5">
      <c r="A203" s="131" t="s">
        <v>685</v>
      </c>
      <c r="B203" s="80" t="s">
        <v>133</v>
      </c>
      <c r="C203" s="80" t="s">
        <v>281</v>
      </c>
      <c r="D203" s="49">
        <v>2</v>
      </c>
      <c r="E203" s="49">
        <f t="shared" si="9"/>
        <v>550</v>
      </c>
      <c r="F203" s="49">
        <v>1100</v>
      </c>
      <c r="G203" s="50">
        <v>1</v>
      </c>
      <c r="H203" s="50">
        <v>0</v>
      </c>
      <c r="I203" s="83"/>
      <c r="J203" s="52"/>
      <c r="K203" s="52"/>
      <c r="L203" s="83"/>
      <c r="M203" s="53"/>
      <c r="N203" s="53"/>
      <c r="O203" s="53"/>
      <c r="P203" s="53"/>
      <c r="Q203" s="53"/>
      <c r="R203" s="53"/>
      <c r="S203" s="54"/>
      <c r="T203" s="54"/>
      <c r="U203" s="55"/>
      <c r="V203" s="55"/>
      <c r="W203" s="102">
        <v>0</v>
      </c>
      <c r="X203" s="55"/>
      <c r="Y203" s="80" t="s">
        <v>655</v>
      </c>
      <c r="Z203" s="58"/>
      <c r="AA203" s="127" t="s">
        <v>656</v>
      </c>
      <c r="AB203" s="52">
        <f>(F203/D203)*2</f>
        <v>1100</v>
      </c>
      <c r="AC203" s="53"/>
      <c r="AD203" s="53"/>
    </row>
    <row r="204" spans="1:30" s="25" customFormat="1" ht="15.75">
      <c r="A204" s="131" t="s">
        <v>685</v>
      </c>
      <c r="B204" s="21" t="s">
        <v>29</v>
      </c>
      <c r="C204" s="21" t="s">
        <v>282</v>
      </c>
      <c r="D204" s="28">
        <v>1</v>
      </c>
      <c r="E204" s="28">
        <f t="shared" si="9"/>
        <v>46200</v>
      </c>
      <c r="F204" s="28">
        <v>46200</v>
      </c>
      <c r="G204" s="23">
        <v>0</v>
      </c>
      <c r="H204" s="23">
        <v>0</v>
      </c>
      <c r="I204" s="24"/>
      <c r="J204" s="28"/>
      <c r="K204" s="28"/>
      <c r="L204" s="24"/>
      <c r="U204" s="27"/>
      <c r="V204" s="27"/>
      <c r="W204" s="46">
        <v>0</v>
      </c>
      <c r="X204" s="73"/>
      <c r="Y204" s="27"/>
      <c r="Z204" s="27"/>
      <c r="AA204" s="27"/>
    </row>
    <row r="205" spans="1:30" s="25" customFormat="1" ht="15.75">
      <c r="A205" s="131" t="s">
        <v>685</v>
      </c>
      <c r="B205" s="27" t="s">
        <v>28</v>
      </c>
      <c r="C205" s="27" t="s">
        <v>283</v>
      </c>
      <c r="D205" s="28">
        <v>1</v>
      </c>
      <c r="E205" s="28">
        <f t="shared" si="9"/>
        <v>10000</v>
      </c>
      <c r="F205" s="28">
        <v>10000</v>
      </c>
      <c r="G205" s="23">
        <v>0</v>
      </c>
      <c r="H205" s="23">
        <v>0</v>
      </c>
      <c r="I205" s="24"/>
      <c r="J205" s="28"/>
      <c r="K205" s="28"/>
      <c r="L205" s="24"/>
      <c r="U205" s="27"/>
      <c r="V205" s="27"/>
      <c r="W205" s="46">
        <v>0</v>
      </c>
      <c r="X205" s="73"/>
      <c r="Y205" s="27"/>
      <c r="Z205" s="27"/>
      <c r="AA205" s="27"/>
    </row>
    <row r="206" spans="1:30" s="25" customFormat="1" ht="31.5">
      <c r="A206" s="131" t="s">
        <v>685</v>
      </c>
      <c r="B206" s="21" t="s">
        <v>171</v>
      </c>
      <c r="C206" s="21" t="s">
        <v>284</v>
      </c>
      <c r="D206" s="28">
        <v>1</v>
      </c>
      <c r="E206" s="28">
        <f t="shared" si="9"/>
        <v>1855700</v>
      </c>
      <c r="F206" s="28">
        <v>1855700</v>
      </c>
      <c r="G206" s="23">
        <v>0</v>
      </c>
      <c r="H206" s="23">
        <v>0</v>
      </c>
      <c r="I206" s="24"/>
      <c r="J206" s="28"/>
      <c r="K206" s="28"/>
      <c r="L206" s="24"/>
      <c r="U206" s="27"/>
      <c r="V206" s="27"/>
      <c r="W206" s="46">
        <v>0</v>
      </c>
      <c r="X206" s="73"/>
      <c r="Y206" s="27"/>
      <c r="Z206" s="27"/>
      <c r="AA206" s="27"/>
    </row>
    <row r="207" spans="1:30" s="25" customFormat="1" ht="15.75">
      <c r="A207" s="131" t="s">
        <v>685</v>
      </c>
      <c r="B207" s="80" t="s">
        <v>362</v>
      </c>
      <c r="C207" s="80" t="s">
        <v>370</v>
      </c>
      <c r="D207" s="49">
        <v>1</v>
      </c>
      <c r="E207" s="49">
        <f t="shared" si="9"/>
        <v>161905</v>
      </c>
      <c r="F207" s="49">
        <v>161905</v>
      </c>
      <c r="G207" s="50">
        <v>0</v>
      </c>
      <c r="H207" s="50">
        <v>0</v>
      </c>
      <c r="I207" s="83"/>
      <c r="J207" s="52"/>
      <c r="K207" s="52"/>
      <c r="L207" s="83"/>
      <c r="M207" s="53"/>
      <c r="N207" s="53"/>
      <c r="O207" s="53"/>
      <c r="P207" s="53"/>
      <c r="Q207" s="53"/>
      <c r="R207" s="53"/>
      <c r="S207" s="54"/>
      <c r="T207" s="54"/>
      <c r="U207" s="55"/>
      <c r="V207" s="55"/>
      <c r="W207" s="102">
        <v>0</v>
      </c>
      <c r="X207" s="55"/>
      <c r="Y207" s="80"/>
      <c r="Z207" s="58"/>
      <c r="AA207" s="127" t="s">
        <v>501</v>
      </c>
      <c r="AB207" s="52">
        <f>(F207/D207)*1</f>
        <v>161905</v>
      </c>
      <c r="AC207" s="53"/>
      <c r="AD207" s="53"/>
    </row>
    <row r="208" spans="1:30" s="25" customFormat="1" ht="15.75">
      <c r="A208" s="131" t="s">
        <v>685</v>
      </c>
      <c r="B208" s="27" t="s">
        <v>458</v>
      </c>
      <c r="C208" s="27" t="s">
        <v>285</v>
      </c>
      <c r="D208" s="28">
        <v>1</v>
      </c>
      <c r="E208" s="28">
        <f t="shared" si="9"/>
        <v>200</v>
      </c>
      <c r="F208" s="28">
        <v>200</v>
      </c>
      <c r="G208" s="23">
        <v>1</v>
      </c>
      <c r="H208" s="23">
        <v>0</v>
      </c>
      <c r="I208" s="24"/>
      <c r="J208" s="28"/>
      <c r="K208" s="28"/>
      <c r="L208" s="24"/>
      <c r="U208" s="27"/>
      <c r="V208" s="27"/>
      <c r="W208" s="46">
        <v>0</v>
      </c>
      <c r="X208" s="73"/>
      <c r="Y208" s="27"/>
      <c r="Z208" s="27"/>
      <c r="AA208" s="27"/>
    </row>
    <row r="209" spans="1:30" s="25" customFormat="1" ht="15.75">
      <c r="A209" s="131" t="s">
        <v>685</v>
      </c>
      <c r="B209" s="27" t="s">
        <v>27</v>
      </c>
      <c r="C209" s="27" t="s">
        <v>27</v>
      </c>
      <c r="D209" s="28">
        <v>1</v>
      </c>
      <c r="E209" s="28">
        <f t="shared" si="9"/>
        <v>13200</v>
      </c>
      <c r="F209" s="28">
        <v>13200</v>
      </c>
      <c r="G209" s="23">
        <v>0</v>
      </c>
      <c r="H209" s="23">
        <v>0</v>
      </c>
      <c r="I209" s="24"/>
      <c r="J209" s="28"/>
      <c r="K209" s="28"/>
      <c r="L209" s="24"/>
      <c r="U209" s="27"/>
      <c r="V209" s="27"/>
      <c r="W209" s="46">
        <v>0</v>
      </c>
      <c r="X209" s="73"/>
      <c r="Y209" s="27"/>
      <c r="Z209" s="27"/>
      <c r="AA209" s="27"/>
    </row>
    <row r="210" spans="1:30" s="25" customFormat="1" ht="15.75">
      <c r="A210" s="131" t="s">
        <v>685</v>
      </c>
      <c r="B210" s="27" t="s">
        <v>26</v>
      </c>
      <c r="C210" s="27" t="s">
        <v>286</v>
      </c>
      <c r="D210" s="28">
        <v>2</v>
      </c>
      <c r="E210" s="28">
        <f t="shared" si="9"/>
        <v>50000</v>
      </c>
      <c r="F210" s="28">
        <v>100000</v>
      </c>
      <c r="G210" s="23">
        <v>0</v>
      </c>
      <c r="H210" s="23">
        <v>0</v>
      </c>
      <c r="I210" s="24"/>
      <c r="J210" s="28"/>
      <c r="K210" s="28"/>
      <c r="L210" s="24"/>
      <c r="U210" s="27"/>
      <c r="V210" s="27"/>
      <c r="W210" s="46">
        <v>0</v>
      </c>
      <c r="X210" s="73"/>
      <c r="Y210" s="27"/>
      <c r="Z210" s="27"/>
      <c r="AA210" s="27"/>
    </row>
    <row r="211" spans="1:30" s="25" customFormat="1" ht="15.75">
      <c r="A211" s="131" t="s">
        <v>685</v>
      </c>
      <c r="B211" s="27" t="s">
        <v>116</v>
      </c>
      <c r="C211" s="27" t="s">
        <v>287</v>
      </c>
      <c r="D211" s="28">
        <v>1</v>
      </c>
      <c r="E211" s="28">
        <f t="shared" si="9"/>
        <v>55021</v>
      </c>
      <c r="F211" s="28">
        <v>55021</v>
      </c>
      <c r="G211" s="23">
        <v>0</v>
      </c>
      <c r="H211" s="23">
        <v>0</v>
      </c>
      <c r="I211" s="24"/>
      <c r="J211" s="28"/>
      <c r="K211" s="28"/>
      <c r="L211" s="24"/>
      <c r="U211" s="27"/>
      <c r="V211" s="27"/>
      <c r="W211" s="46">
        <v>0</v>
      </c>
      <c r="X211" s="73"/>
      <c r="Y211" s="27"/>
      <c r="Z211" s="27"/>
      <c r="AA211" s="27"/>
    </row>
    <row r="212" spans="1:30" s="25" customFormat="1" ht="15.75">
      <c r="A212" s="131" t="s">
        <v>685</v>
      </c>
      <c r="B212" s="27" t="s">
        <v>459</v>
      </c>
      <c r="C212" s="27" t="s">
        <v>288</v>
      </c>
      <c r="D212" s="28">
        <v>4</v>
      </c>
      <c r="E212" s="28">
        <f t="shared" si="9"/>
        <v>5250</v>
      </c>
      <c r="F212" s="28">
        <v>21000</v>
      </c>
      <c r="G212" s="23">
        <v>0</v>
      </c>
      <c r="H212" s="23">
        <v>0</v>
      </c>
      <c r="I212" s="24"/>
      <c r="J212" s="28"/>
      <c r="K212" s="28"/>
      <c r="L212" s="24"/>
      <c r="U212" s="27"/>
      <c r="V212" s="27"/>
      <c r="W212" s="46">
        <v>0</v>
      </c>
      <c r="X212" s="73"/>
      <c r="Y212" s="27"/>
      <c r="Z212" s="27"/>
      <c r="AA212" s="27"/>
    </row>
    <row r="213" spans="1:30" s="25" customFormat="1" ht="15.75">
      <c r="A213" s="131" t="s">
        <v>685</v>
      </c>
      <c r="B213" s="27" t="s">
        <v>117</v>
      </c>
      <c r="C213" s="27" t="s">
        <v>289</v>
      </c>
      <c r="D213" s="28">
        <v>2</v>
      </c>
      <c r="E213" s="28">
        <f t="shared" si="9"/>
        <v>700</v>
      </c>
      <c r="F213" s="28">
        <v>1400</v>
      </c>
      <c r="G213" s="128">
        <v>2</v>
      </c>
      <c r="H213" s="128">
        <v>0</v>
      </c>
      <c r="I213" s="24"/>
      <c r="J213" s="28"/>
      <c r="K213" s="28"/>
      <c r="L213" s="24"/>
      <c r="U213" s="27"/>
      <c r="V213" s="27"/>
      <c r="W213" s="46">
        <v>0</v>
      </c>
      <c r="X213" s="73"/>
      <c r="Y213" s="27"/>
      <c r="Z213" s="27"/>
      <c r="AA213" s="27"/>
    </row>
    <row r="214" spans="1:30" s="25" customFormat="1" ht="15.75">
      <c r="A214" s="131" t="s">
        <v>685</v>
      </c>
      <c r="B214" s="27" t="s">
        <v>118</v>
      </c>
      <c r="C214" s="27" t="s">
        <v>290</v>
      </c>
      <c r="D214" s="28">
        <v>1</v>
      </c>
      <c r="E214" s="28">
        <f t="shared" si="9"/>
        <v>3650</v>
      </c>
      <c r="F214" s="28">
        <v>3650</v>
      </c>
      <c r="G214" s="23">
        <v>1</v>
      </c>
      <c r="H214" s="23">
        <v>0</v>
      </c>
      <c r="I214" s="24"/>
      <c r="J214" s="28"/>
      <c r="K214" s="28"/>
      <c r="L214" s="24"/>
      <c r="U214" s="27"/>
      <c r="V214" s="27"/>
      <c r="W214" s="46">
        <v>0</v>
      </c>
      <c r="X214" s="73"/>
      <c r="Y214" s="27"/>
      <c r="Z214" s="27"/>
      <c r="AA214" s="27"/>
    </row>
    <row r="215" spans="1:30" s="25" customFormat="1" ht="15.75">
      <c r="A215" s="131" t="s">
        <v>685</v>
      </c>
      <c r="B215" s="27" t="s">
        <v>119</v>
      </c>
      <c r="C215" s="27" t="s">
        <v>291</v>
      </c>
      <c r="D215" s="28">
        <v>1</v>
      </c>
      <c r="E215" s="28">
        <f t="shared" si="9"/>
        <v>190000</v>
      </c>
      <c r="F215" s="28">
        <v>190000</v>
      </c>
      <c r="G215" s="23">
        <v>0</v>
      </c>
      <c r="H215" s="23">
        <v>0</v>
      </c>
      <c r="I215" s="24"/>
      <c r="J215" s="28"/>
      <c r="K215" s="28"/>
      <c r="L215" s="24"/>
      <c r="U215" s="27"/>
      <c r="V215" s="27"/>
      <c r="W215" s="46">
        <v>0</v>
      </c>
      <c r="X215" s="73"/>
      <c r="Y215" s="27"/>
      <c r="Z215" s="27"/>
      <c r="AA215" s="27"/>
    </row>
    <row r="216" spans="1:30" s="25" customFormat="1" ht="15.75">
      <c r="A216" s="131" t="s">
        <v>685</v>
      </c>
      <c r="B216" s="27" t="s">
        <v>120</v>
      </c>
      <c r="C216" s="27" t="s">
        <v>292</v>
      </c>
      <c r="D216" s="28">
        <v>2</v>
      </c>
      <c r="E216" s="28">
        <f t="shared" si="9"/>
        <v>22000</v>
      </c>
      <c r="F216" s="28">
        <v>44000</v>
      </c>
      <c r="G216" s="23">
        <v>0</v>
      </c>
      <c r="H216" s="23">
        <v>0</v>
      </c>
      <c r="I216" s="24"/>
      <c r="J216" s="28"/>
      <c r="K216" s="28"/>
      <c r="L216" s="24"/>
      <c r="U216" s="27"/>
      <c r="V216" s="27"/>
      <c r="W216" s="46">
        <v>0</v>
      </c>
      <c r="X216" s="73"/>
      <c r="Y216" s="27"/>
      <c r="Z216" s="27"/>
      <c r="AA216" s="27"/>
    </row>
    <row r="217" spans="1:30" s="25" customFormat="1" ht="15.75">
      <c r="A217" s="131" t="s">
        <v>685</v>
      </c>
      <c r="B217" s="77" t="s">
        <v>657</v>
      </c>
      <c r="C217" s="77" t="s">
        <v>658</v>
      </c>
      <c r="D217" s="60">
        <v>2</v>
      </c>
      <c r="E217" s="60">
        <f t="shared" si="9"/>
        <v>2950</v>
      </c>
      <c r="F217" s="60">
        <v>5900</v>
      </c>
      <c r="G217" s="61">
        <v>0</v>
      </c>
      <c r="H217" s="61">
        <v>0</v>
      </c>
      <c r="I217" s="62"/>
      <c r="J217" s="60"/>
      <c r="K217" s="60"/>
      <c r="L217" s="62"/>
      <c r="M217" s="64"/>
      <c r="N217" s="64"/>
      <c r="O217" s="64"/>
      <c r="P217" s="64"/>
      <c r="Q217" s="64"/>
      <c r="R217" s="64"/>
      <c r="S217" s="64"/>
      <c r="T217" s="64"/>
      <c r="U217" s="77"/>
      <c r="V217" s="77"/>
      <c r="W217" s="67">
        <v>2</v>
      </c>
      <c r="X217" s="103" t="s">
        <v>492</v>
      </c>
      <c r="Y217" s="77"/>
      <c r="Z217" s="77"/>
      <c r="AA217" s="77"/>
      <c r="AB217" s="64"/>
      <c r="AC217" s="64"/>
      <c r="AD217" s="64"/>
    </row>
    <row r="218" spans="1:30" s="25" customFormat="1" ht="15.75">
      <c r="A218" s="131" t="s">
        <v>685</v>
      </c>
      <c r="B218" s="27" t="s">
        <v>121</v>
      </c>
      <c r="C218" s="27" t="s">
        <v>659</v>
      </c>
      <c r="D218" s="28">
        <v>1</v>
      </c>
      <c r="E218" s="28">
        <f t="shared" si="9"/>
        <v>2000</v>
      </c>
      <c r="F218" s="28">
        <v>2000</v>
      </c>
      <c r="G218" s="23">
        <v>0</v>
      </c>
      <c r="H218" s="23">
        <v>0</v>
      </c>
      <c r="I218" s="24"/>
      <c r="J218" s="28"/>
      <c r="K218" s="28"/>
      <c r="L218" s="24"/>
      <c r="U218" s="27"/>
      <c r="V218" s="27"/>
      <c r="W218" s="46">
        <v>0</v>
      </c>
      <c r="X218" s="73"/>
      <c r="Y218" s="27"/>
      <c r="Z218" s="27"/>
      <c r="AA218" s="27"/>
    </row>
    <row r="219" spans="1:30" s="25" customFormat="1" ht="15.75">
      <c r="A219" s="131" t="s">
        <v>685</v>
      </c>
      <c r="B219" s="80" t="s">
        <v>460</v>
      </c>
      <c r="C219" s="80" t="s">
        <v>293</v>
      </c>
      <c r="D219" s="49">
        <v>28</v>
      </c>
      <c r="E219" s="49">
        <f t="shared" si="9"/>
        <v>160</v>
      </c>
      <c r="F219" s="49">
        <v>4480</v>
      </c>
      <c r="G219" s="50">
        <v>0</v>
      </c>
      <c r="H219" s="50">
        <v>0</v>
      </c>
      <c r="I219" s="83"/>
      <c r="J219" s="52"/>
      <c r="K219" s="52"/>
      <c r="L219" s="83"/>
      <c r="M219" s="53"/>
      <c r="N219" s="53"/>
      <c r="O219" s="53"/>
      <c r="P219" s="53"/>
      <c r="Q219" s="53"/>
      <c r="R219" s="53"/>
      <c r="S219" s="54"/>
      <c r="T219" s="54"/>
      <c r="U219" s="55"/>
      <c r="V219" s="55"/>
      <c r="W219" s="102">
        <v>0</v>
      </c>
      <c r="X219" s="55"/>
      <c r="Y219" s="80"/>
      <c r="Z219" s="58"/>
      <c r="AA219" s="58" t="s">
        <v>516</v>
      </c>
      <c r="AB219" s="52">
        <f>(F219/D219)*28</f>
        <v>4480</v>
      </c>
      <c r="AC219" s="53"/>
      <c r="AD219" s="53"/>
    </row>
    <row r="220" spans="1:30" s="25" customFormat="1" ht="15.75">
      <c r="A220" s="131" t="s">
        <v>685</v>
      </c>
      <c r="B220" s="80" t="s">
        <v>162</v>
      </c>
      <c r="C220" s="80" t="s">
        <v>294</v>
      </c>
      <c r="D220" s="49">
        <v>53</v>
      </c>
      <c r="E220" s="49">
        <f t="shared" si="9"/>
        <v>160</v>
      </c>
      <c r="F220" s="49">
        <v>8480</v>
      </c>
      <c r="G220" s="50">
        <v>0</v>
      </c>
      <c r="H220" s="50">
        <v>0</v>
      </c>
      <c r="I220" s="83"/>
      <c r="J220" s="52"/>
      <c r="K220" s="52"/>
      <c r="L220" s="83"/>
      <c r="M220" s="53"/>
      <c r="N220" s="53"/>
      <c r="O220" s="53"/>
      <c r="P220" s="53"/>
      <c r="Q220" s="53"/>
      <c r="R220" s="53"/>
      <c r="S220" s="54"/>
      <c r="T220" s="54"/>
      <c r="U220" s="55"/>
      <c r="V220" s="55"/>
      <c r="W220" s="102">
        <v>0</v>
      </c>
      <c r="X220" s="55"/>
      <c r="Y220" s="80"/>
      <c r="Z220" s="58"/>
      <c r="AA220" s="58" t="s">
        <v>660</v>
      </c>
      <c r="AB220" s="52">
        <f>(F220/D220)*53</f>
        <v>8480</v>
      </c>
      <c r="AC220" s="53"/>
      <c r="AD220" s="53"/>
    </row>
    <row r="221" spans="1:30" s="25" customFormat="1" ht="15.75">
      <c r="A221" s="131" t="s">
        <v>685</v>
      </c>
      <c r="B221" s="80" t="s">
        <v>461</v>
      </c>
      <c r="C221" s="80" t="s">
        <v>371</v>
      </c>
      <c r="D221" s="49">
        <v>4</v>
      </c>
      <c r="E221" s="49">
        <f t="shared" si="9"/>
        <v>190</v>
      </c>
      <c r="F221" s="49">
        <v>760</v>
      </c>
      <c r="G221" s="50">
        <v>0</v>
      </c>
      <c r="H221" s="50">
        <v>0</v>
      </c>
      <c r="I221" s="83"/>
      <c r="J221" s="52"/>
      <c r="K221" s="52"/>
      <c r="L221" s="83"/>
      <c r="M221" s="53"/>
      <c r="N221" s="53"/>
      <c r="O221" s="53"/>
      <c r="P221" s="53"/>
      <c r="Q221" s="53"/>
      <c r="R221" s="53"/>
      <c r="S221" s="54"/>
      <c r="T221" s="54"/>
      <c r="U221" s="55"/>
      <c r="V221" s="55"/>
      <c r="W221" s="102">
        <v>0</v>
      </c>
      <c r="X221" s="55"/>
      <c r="Y221" s="80"/>
      <c r="Z221" s="58"/>
      <c r="AA221" s="58" t="s">
        <v>661</v>
      </c>
      <c r="AB221" s="52">
        <f>(F221/D221)*4</f>
        <v>760</v>
      </c>
      <c r="AC221" s="53"/>
      <c r="AD221" s="53"/>
    </row>
    <row r="222" spans="1:30" s="25" customFormat="1" ht="15.75">
      <c r="A222" s="131" t="s">
        <v>685</v>
      </c>
      <c r="B222" s="27" t="s">
        <v>462</v>
      </c>
      <c r="C222" s="27" t="s">
        <v>463</v>
      </c>
      <c r="D222" s="28">
        <v>2</v>
      </c>
      <c r="E222" s="28">
        <f t="shared" si="9"/>
        <v>2000</v>
      </c>
      <c r="F222" s="28">
        <v>4000</v>
      </c>
      <c r="G222" s="23">
        <v>0</v>
      </c>
      <c r="H222" s="23">
        <v>0</v>
      </c>
      <c r="I222" s="24"/>
      <c r="J222" s="28"/>
      <c r="K222" s="28"/>
      <c r="L222" s="24"/>
      <c r="U222" s="27"/>
      <c r="V222" s="27"/>
      <c r="W222" s="46">
        <v>0</v>
      </c>
      <c r="X222" s="73"/>
      <c r="Y222" s="27"/>
      <c r="Z222" s="27"/>
      <c r="AA222" s="27"/>
    </row>
    <row r="223" spans="1:30" s="25" customFormat="1" ht="15.75">
      <c r="A223" s="131" t="s">
        <v>685</v>
      </c>
      <c r="B223" s="27" t="s">
        <v>131</v>
      </c>
      <c r="C223" s="27" t="s">
        <v>295</v>
      </c>
      <c r="D223" s="28">
        <v>1</v>
      </c>
      <c r="E223" s="28">
        <f t="shared" si="9"/>
        <v>19800</v>
      </c>
      <c r="F223" s="28">
        <v>19800</v>
      </c>
      <c r="G223" s="23">
        <v>0</v>
      </c>
      <c r="H223" s="23">
        <v>0</v>
      </c>
      <c r="I223" s="24"/>
      <c r="J223" s="28"/>
      <c r="K223" s="28"/>
      <c r="L223" s="24"/>
      <c r="U223" s="27"/>
      <c r="V223" s="27"/>
      <c r="W223" s="46">
        <v>0</v>
      </c>
      <c r="X223" s="73"/>
      <c r="Y223" s="27"/>
      <c r="Z223" s="27"/>
      <c r="AA223" s="27"/>
    </row>
    <row r="224" spans="1:30" s="30" customFormat="1" ht="110.25">
      <c r="A224" s="131" t="s">
        <v>685</v>
      </c>
      <c r="B224" s="86" t="s">
        <v>481</v>
      </c>
      <c r="C224" s="86" t="s">
        <v>662</v>
      </c>
      <c r="D224" s="87">
        <v>26</v>
      </c>
      <c r="E224" s="87">
        <f t="shared" si="9"/>
        <v>85</v>
      </c>
      <c r="F224" s="87">
        <v>2210</v>
      </c>
      <c r="G224" s="88">
        <v>9</v>
      </c>
      <c r="H224" s="88">
        <v>0</v>
      </c>
      <c r="I224" s="89"/>
      <c r="J224" s="90"/>
      <c r="K224" s="90"/>
      <c r="L224" s="89"/>
      <c r="M224" s="91"/>
      <c r="N224" s="91"/>
      <c r="O224" s="91"/>
      <c r="P224" s="91"/>
      <c r="Q224" s="91"/>
      <c r="R224" s="91"/>
      <c r="S224" s="92"/>
      <c r="T224" s="92"/>
      <c r="U224" s="93"/>
      <c r="V224" s="93"/>
      <c r="W224" s="94">
        <v>20</v>
      </c>
      <c r="X224" s="93" t="s">
        <v>472</v>
      </c>
      <c r="Y224" s="92" t="s">
        <v>663</v>
      </c>
      <c r="Z224" s="96"/>
      <c r="AA224" s="96" t="s">
        <v>664</v>
      </c>
      <c r="AB224" s="90"/>
      <c r="AC224" s="91">
        <f>(F224/D224)*17</f>
        <v>1445</v>
      </c>
      <c r="AD224" s="90"/>
    </row>
    <row r="225" spans="1:30" s="30" customFormat="1" ht="110.25">
      <c r="A225" s="131" t="s">
        <v>685</v>
      </c>
      <c r="B225" s="86" t="s">
        <v>665</v>
      </c>
      <c r="C225" s="86" t="s">
        <v>666</v>
      </c>
      <c r="D225" s="87">
        <v>26</v>
      </c>
      <c r="E225" s="87">
        <f t="shared" si="9"/>
        <v>70</v>
      </c>
      <c r="F225" s="87">
        <v>1820</v>
      </c>
      <c r="G225" s="88">
        <v>9</v>
      </c>
      <c r="H225" s="88">
        <v>0</v>
      </c>
      <c r="I225" s="89"/>
      <c r="J225" s="90"/>
      <c r="K225" s="90"/>
      <c r="L225" s="89"/>
      <c r="M225" s="91"/>
      <c r="N225" s="91"/>
      <c r="O225" s="91"/>
      <c r="P225" s="91"/>
      <c r="Q225" s="91"/>
      <c r="R225" s="91"/>
      <c r="S225" s="92"/>
      <c r="T225" s="92"/>
      <c r="U225" s="93"/>
      <c r="V225" s="93"/>
      <c r="W225" s="94">
        <v>28</v>
      </c>
      <c r="X225" s="93" t="s">
        <v>472</v>
      </c>
      <c r="Y225" s="92" t="s">
        <v>663</v>
      </c>
      <c r="Z225" s="96"/>
      <c r="AA225" s="96" t="s">
        <v>664</v>
      </c>
      <c r="AB225" s="90"/>
      <c r="AC225" s="91">
        <f>(F225/D225)*17</f>
        <v>1190</v>
      </c>
      <c r="AD225" s="90"/>
    </row>
    <row r="226" spans="1:30" s="30" customFormat="1" ht="110.25">
      <c r="A226" s="131" t="s">
        <v>685</v>
      </c>
      <c r="B226" s="86" t="s">
        <v>667</v>
      </c>
      <c r="C226" s="86" t="s">
        <v>668</v>
      </c>
      <c r="D226" s="87">
        <v>30</v>
      </c>
      <c r="E226" s="87">
        <f t="shared" si="9"/>
        <v>1610</v>
      </c>
      <c r="F226" s="87">
        <v>48300</v>
      </c>
      <c r="G226" s="88">
        <v>9</v>
      </c>
      <c r="H226" s="88">
        <v>0</v>
      </c>
      <c r="I226" s="89"/>
      <c r="J226" s="90"/>
      <c r="K226" s="90"/>
      <c r="L226" s="89"/>
      <c r="M226" s="91"/>
      <c r="N226" s="91"/>
      <c r="O226" s="91"/>
      <c r="P226" s="91"/>
      <c r="Q226" s="91"/>
      <c r="R226" s="91"/>
      <c r="S226" s="92"/>
      <c r="T226" s="92"/>
      <c r="U226" s="93"/>
      <c r="V226" s="93"/>
      <c r="W226" s="94">
        <v>53</v>
      </c>
      <c r="X226" s="93" t="s">
        <v>472</v>
      </c>
      <c r="Y226" s="92" t="s">
        <v>663</v>
      </c>
      <c r="Z226" s="96"/>
      <c r="AA226" s="96" t="s">
        <v>664</v>
      </c>
      <c r="AB226" s="90"/>
      <c r="AC226" s="91">
        <f>(F226/D226)*17</f>
        <v>27370</v>
      </c>
      <c r="AD226" s="90"/>
    </row>
    <row r="227" spans="1:30" s="25" customFormat="1" ht="15.75">
      <c r="A227" s="131" t="s">
        <v>685</v>
      </c>
      <c r="B227" s="27" t="s">
        <v>464</v>
      </c>
      <c r="C227" s="27" t="s">
        <v>148</v>
      </c>
      <c r="D227" s="28">
        <v>1</v>
      </c>
      <c r="E227" s="28">
        <f t="shared" si="9"/>
        <v>46500</v>
      </c>
      <c r="F227" s="28">
        <v>46500</v>
      </c>
      <c r="G227" s="23">
        <v>0</v>
      </c>
      <c r="H227" s="23">
        <v>0</v>
      </c>
      <c r="I227" s="24"/>
      <c r="J227" s="28"/>
      <c r="K227" s="28"/>
      <c r="L227" s="24"/>
      <c r="U227" s="27"/>
      <c r="V227" s="27"/>
      <c r="W227" s="46">
        <v>0</v>
      </c>
      <c r="X227" s="73"/>
      <c r="Y227" s="27"/>
      <c r="Z227" s="27"/>
      <c r="AA227" s="27"/>
    </row>
    <row r="228" spans="1:30" s="30" customFormat="1" ht="15.75">
      <c r="A228" s="131" t="s">
        <v>685</v>
      </c>
      <c r="B228" s="59" t="s">
        <v>669</v>
      </c>
      <c r="C228" s="59" t="s">
        <v>670</v>
      </c>
      <c r="D228" s="60">
        <v>71</v>
      </c>
      <c r="E228" s="60">
        <f t="shared" si="9"/>
        <v>990</v>
      </c>
      <c r="F228" s="60">
        <v>70290</v>
      </c>
      <c r="G228" s="61">
        <v>0</v>
      </c>
      <c r="H228" s="61">
        <v>0</v>
      </c>
      <c r="I228" s="62"/>
      <c r="J228" s="63"/>
      <c r="K228" s="63"/>
      <c r="L228" s="62"/>
      <c r="M228" s="64"/>
      <c r="N228" s="64"/>
      <c r="O228" s="64"/>
      <c r="P228" s="64"/>
      <c r="Q228" s="64"/>
      <c r="R228" s="64"/>
      <c r="S228" s="65"/>
      <c r="T228" s="65"/>
      <c r="U228" s="66"/>
      <c r="V228" s="66"/>
      <c r="W228" s="72">
        <v>71</v>
      </c>
      <c r="X228" s="103" t="s">
        <v>388</v>
      </c>
      <c r="Y228" s="65"/>
      <c r="Z228" s="69"/>
      <c r="AA228" s="69"/>
      <c r="AB228" s="63"/>
      <c r="AC228" s="64"/>
      <c r="AD228" s="63"/>
    </row>
    <row r="229" spans="1:30" s="25" customFormat="1" ht="15.75">
      <c r="A229" s="131" t="s">
        <v>685</v>
      </c>
      <c r="B229" s="80" t="s">
        <v>172</v>
      </c>
      <c r="C229" s="80" t="s">
        <v>296</v>
      </c>
      <c r="D229" s="49">
        <v>300</v>
      </c>
      <c r="E229" s="49">
        <f t="shared" si="9"/>
        <v>12.333333333333334</v>
      </c>
      <c r="F229" s="49">
        <v>3700</v>
      </c>
      <c r="G229" s="50">
        <v>300</v>
      </c>
      <c r="H229" s="50">
        <v>0</v>
      </c>
      <c r="I229" s="83"/>
      <c r="J229" s="52"/>
      <c r="K229" s="52"/>
      <c r="L229" s="83"/>
      <c r="M229" s="53"/>
      <c r="N229" s="53"/>
      <c r="O229" s="53"/>
      <c r="P229" s="53"/>
      <c r="Q229" s="53"/>
      <c r="R229" s="53"/>
      <c r="S229" s="54"/>
      <c r="T229" s="54"/>
      <c r="U229" s="55"/>
      <c r="V229" s="55"/>
      <c r="W229" s="102">
        <v>0</v>
      </c>
      <c r="X229" s="55"/>
      <c r="Y229" s="58" t="s">
        <v>671</v>
      </c>
      <c r="Z229" s="58"/>
      <c r="AA229" s="80" t="s">
        <v>672</v>
      </c>
      <c r="AB229" s="52">
        <f>(F229/D229)*300</f>
        <v>3700</v>
      </c>
      <c r="AC229" s="53"/>
      <c r="AD229" s="53"/>
    </row>
    <row r="230" spans="1:30" s="25" customFormat="1" ht="15.75">
      <c r="A230" s="131" t="s">
        <v>685</v>
      </c>
      <c r="B230" s="77" t="s">
        <v>122</v>
      </c>
      <c r="C230" s="77" t="s">
        <v>297</v>
      </c>
      <c r="D230" s="60">
        <v>20</v>
      </c>
      <c r="E230" s="60">
        <f t="shared" si="9"/>
        <v>180</v>
      </c>
      <c r="F230" s="60">
        <v>3600</v>
      </c>
      <c r="G230" s="61">
        <v>0</v>
      </c>
      <c r="H230" s="61">
        <v>0</v>
      </c>
      <c r="I230" s="62"/>
      <c r="J230" s="60"/>
      <c r="K230" s="60"/>
      <c r="L230" s="62"/>
      <c r="M230" s="64"/>
      <c r="N230" s="64"/>
      <c r="O230" s="64"/>
      <c r="P230" s="64"/>
      <c r="Q230" s="64"/>
      <c r="R230" s="64"/>
      <c r="S230" s="64"/>
      <c r="T230" s="64"/>
      <c r="U230" s="77"/>
      <c r="V230" s="77"/>
      <c r="W230" s="72">
        <v>14</v>
      </c>
      <c r="X230" s="103" t="s">
        <v>492</v>
      </c>
      <c r="Y230" s="77"/>
      <c r="Z230" s="77"/>
      <c r="AA230" s="77"/>
      <c r="AB230" s="64"/>
      <c r="AC230" s="64"/>
      <c r="AD230" s="63">
        <f>(F230/D230)*6</f>
        <v>1080</v>
      </c>
    </row>
    <row r="231" spans="1:30" s="25" customFormat="1" ht="15.75">
      <c r="A231" s="131" t="s">
        <v>685</v>
      </c>
      <c r="B231" s="80" t="s">
        <v>465</v>
      </c>
      <c r="C231" s="80" t="s">
        <v>372</v>
      </c>
      <c r="D231" s="49">
        <v>52</v>
      </c>
      <c r="E231" s="49">
        <f t="shared" si="9"/>
        <v>350</v>
      </c>
      <c r="F231" s="49">
        <v>18200</v>
      </c>
      <c r="G231" s="50">
        <v>0</v>
      </c>
      <c r="H231" s="50">
        <v>0</v>
      </c>
      <c r="I231" s="83"/>
      <c r="J231" s="52"/>
      <c r="K231" s="52"/>
      <c r="L231" s="83"/>
      <c r="M231" s="53"/>
      <c r="N231" s="53"/>
      <c r="O231" s="53"/>
      <c r="P231" s="53"/>
      <c r="Q231" s="53"/>
      <c r="R231" s="53"/>
      <c r="S231" s="54"/>
      <c r="T231" s="54"/>
      <c r="U231" s="55"/>
      <c r="V231" s="55"/>
      <c r="W231" s="102">
        <v>0</v>
      </c>
      <c r="X231" s="55"/>
      <c r="Y231" s="58"/>
      <c r="Z231" s="58"/>
      <c r="AA231" s="80" t="s">
        <v>673</v>
      </c>
      <c r="AB231" s="52">
        <f>(F231/D231)*52</f>
        <v>18200</v>
      </c>
      <c r="AC231" s="53"/>
      <c r="AD231" s="53"/>
    </row>
    <row r="232" spans="1:30" s="25" customFormat="1" ht="15.75">
      <c r="A232" s="131" t="s">
        <v>685</v>
      </c>
      <c r="B232" s="80" t="s">
        <v>363</v>
      </c>
      <c r="C232" s="80" t="s">
        <v>373</v>
      </c>
      <c r="D232" s="49">
        <v>52</v>
      </c>
      <c r="E232" s="49">
        <f t="shared" si="9"/>
        <v>350</v>
      </c>
      <c r="F232" s="49">
        <v>18200</v>
      </c>
      <c r="G232" s="50">
        <v>0</v>
      </c>
      <c r="H232" s="50">
        <v>0</v>
      </c>
      <c r="I232" s="83"/>
      <c r="J232" s="52"/>
      <c r="K232" s="52"/>
      <c r="L232" s="83"/>
      <c r="M232" s="53"/>
      <c r="N232" s="53"/>
      <c r="O232" s="53"/>
      <c r="P232" s="53"/>
      <c r="Q232" s="53"/>
      <c r="R232" s="53"/>
      <c r="S232" s="54"/>
      <c r="T232" s="54"/>
      <c r="U232" s="55"/>
      <c r="V232" s="55"/>
      <c r="W232" s="102">
        <v>0</v>
      </c>
      <c r="X232" s="55"/>
      <c r="Y232" s="58"/>
      <c r="Z232" s="58"/>
      <c r="AA232" s="80" t="s">
        <v>673</v>
      </c>
      <c r="AB232" s="52">
        <f>(F232/D232)*52</f>
        <v>18200</v>
      </c>
      <c r="AC232" s="53"/>
      <c r="AD232" s="53"/>
    </row>
    <row r="233" spans="1:30" s="25" customFormat="1" ht="15.75">
      <c r="A233" s="131" t="s">
        <v>685</v>
      </c>
      <c r="B233" s="80" t="s">
        <v>364</v>
      </c>
      <c r="C233" s="80" t="s">
        <v>374</v>
      </c>
      <c r="D233" s="49">
        <v>1</v>
      </c>
      <c r="E233" s="49">
        <f t="shared" si="9"/>
        <v>31000</v>
      </c>
      <c r="F233" s="49">
        <v>31000</v>
      </c>
      <c r="G233" s="50">
        <v>0</v>
      </c>
      <c r="H233" s="50">
        <v>0</v>
      </c>
      <c r="I233" s="83"/>
      <c r="J233" s="52"/>
      <c r="K233" s="52"/>
      <c r="L233" s="83"/>
      <c r="M233" s="53"/>
      <c r="N233" s="53"/>
      <c r="O233" s="53"/>
      <c r="P233" s="53"/>
      <c r="Q233" s="53"/>
      <c r="R233" s="53"/>
      <c r="S233" s="54"/>
      <c r="T233" s="54"/>
      <c r="U233" s="55"/>
      <c r="V233" s="55"/>
      <c r="W233" s="102">
        <v>0</v>
      </c>
      <c r="X233" s="55"/>
      <c r="Y233" s="58"/>
      <c r="Z233" s="58"/>
      <c r="AA233" s="80" t="s">
        <v>501</v>
      </c>
      <c r="AB233" s="52">
        <f>(F233/D233)*1</f>
        <v>31000</v>
      </c>
      <c r="AC233" s="53"/>
      <c r="AD233" s="53"/>
    </row>
    <row r="234" spans="1:30" s="25" customFormat="1" ht="15.75">
      <c r="A234" s="131" t="s">
        <v>685</v>
      </c>
      <c r="B234" s="80" t="s">
        <v>365</v>
      </c>
      <c r="C234" s="80" t="s">
        <v>375</v>
      </c>
      <c r="D234" s="49">
        <v>1</v>
      </c>
      <c r="E234" s="49">
        <f t="shared" si="9"/>
        <v>7500</v>
      </c>
      <c r="F234" s="49">
        <v>7500</v>
      </c>
      <c r="G234" s="50">
        <v>0</v>
      </c>
      <c r="H234" s="50">
        <v>0</v>
      </c>
      <c r="I234" s="83"/>
      <c r="J234" s="52"/>
      <c r="K234" s="52"/>
      <c r="L234" s="83"/>
      <c r="M234" s="53"/>
      <c r="N234" s="53"/>
      <c r="O234" s="53"/>
      <c r="P234" s="53"/>
      <c r="Q234" s="53"/>
      <c r="R234" s="53"/>
      <c r="S234" s="54"/>
      <c r="T234" s="54"/>
      <c r="U234" s="55"/>
      <c r="V234" s="55"/>
      <c r="W234" s="102">
        <v>0</v>
      </c>
      <c r="X234" s="55"/>
      <c r="Y234" s="58"/>
      <c r="Z234" s="58"/>
      <c r="AA234" s="80" t="s">
        <v>501</v>
      </c>
      <c r="AB234" s="52">
        <f>(F234/D234)*1</f>
        <v>7500</v>
      </c>
      <c r="AC234" s="53"/>
      <c r="AD234" s="53"/>
    </row>
    <row r="235" spans="1:30" s="25" customFormat="1" ht="15.75">
      <c r="A235" s="131" t="s">
        <v>685</v>
      </c>
      <c r="B235" s="80" t="s">
        <v>25</v>
      </c>
      <c r="C235" s="80" t="s">
        <v>281</v>
      </c>
      <c r="D235" s="49">
        <v>2</v>
      </c>
      <c r="E235" s="49">
        <f t="shared" si="9"/>
        <v>125</v>
      </c>
      <c r="F235" s="49">
        <v>250</v>
      </c>
      <c r="G235" s="50">
        <v>0</v>
      </c>
      <c r="H235" s="50">
        <v>0</v>
      </c>
      <c r="I235" s="83"/>
      <c r="J235" s="52"/>
      <c r="K235" s="52"/>
      <c r="L235" s="83"/>
      <c r="M235" s="53"/>
      <c r="N235" s="53"/>
      <c r="O235" s="53"/>
      <c r="P235" s="53"/>
      <c r="Q235" s="53"/>
      <c r="R235" s="53"/>
      <c r="S235" s="54"/>
      <c r="T235" s="54"/>
      <c r="U235" s="55"/>
      <c r="V235" s="55"/>
      <c r="W235" s="102">
        <v>0</v>
      </c>
      <c r="X235" s="55"/>
      <c r="Y235" s="80"/>
      <c r="Z235" s="58"/>
      <c r="AA235" s="80" t="s">
        <v>656</v>
      </c>
      <c r="AB235" s="52">
        <f>(F235/D235)*2</f>
        <v>250</v>
      </c>
      <c r="AC235" s="53"/>
      <c r="AD235" s="53"/>
    </row>
    <row r="236" spans="1:30" s="25" customFormat="1" ht="15.75">
      <c r="A236" s="131" t="s">
        <v>685</v>
      </c>
      <c r="B236" s="80" t="s">
        <v>134</v>
      </c>
      <c r="C236" s="80" t="s">
        <v>298</v>
      </c>
      <c r="D236" s="49">
        <v>14</v>
      </c>
      <c r="E236" s="49">
        <f t="shared" si="9"/>
        <v>175</v>
      </c>
      <c r="F236" s="49">
        <v>2450</v>
      </c>
      <c r="G236" s="50">
        <v>0</v>
      </c>
      <c r="H236" s="50">
        <v>0</v>
      </c>
      <c r="I236" s="83"/>
      <c r="J236" s="52"/>
      <c r="K236" s="52"/>
      <c r="L236" s="83"/>
      <c r="M236" s="53"/>
      <c r="N236" s="53"/>
      <c r="O236" s="53"/>
      <c r="P236" s="53"/>
      <c r="Q236" s="53"/>
      <c r="R236" s="53"/>
      <c r="S236" s="54"/>
      <c r="T236" s="54"/>
      <c r="U236" s="55"/>
      <c r="V236" s="55"/>
      <c r="W236" s="102">
        <v>0</v>
      </c>
      <c r="X236" s="55"/>
      <c r="Y236" s="80"/>
      <c r="Z236" s="58"/>
      <c r="AA236" s="80" t="s">
        <v>674</v>
      </c>
      <c r="AB236" s="52">
        <f>(F236/D236)*14</f>
        <v>2450</v>
      </c>
      <c r="AC236" s="53"/>
      <c r="AD236" s="53"/>
    </row>
    <row r="237" spans="1:30" s="25" customFormat="1" ht="15.75">
      <c r="A237" s="131" t="s">
        <v>685</v>
      </c>
      <c r="B237" s="80" t="s">
        <v>135</v>
      </c>
      <c r="C237" s="80" t="s">
        <v>299</v>
      </c>
      <c r="D237" s="49">
        <v>15</v>
      </c>
      <c r="E237" s="49">
        <f t="shared" si="9"/>
        <v>175</v>
      </c>
      <c r="F237" s="49">
        <v>2625</v>
      </c>
      <c r="G237" s="50">
        <v>0</v>
      </c>
      <c r="H237" s="50">
        <v>0</v>
      </c>
      <c r="I237" s="83"/>
      <c r="J237" s="52"/>
      <c r="K237" s="52"/>
      <c r="L237" s="83"/>
      <c r="M237" s="53"/>
      <c r="N237" s="53"/>
      <c r="O237" s="53"/>
      <c r="P237" s="53"/>
      <c r="Q237" s="53"/>
      <c r="R237" s="53"/>
      <c r="S237" s="54"/>
      <c r="T237" s="54"/>
      <c r="U237" s="55"/>
      <c r="V237" s="55"/>
      <c r="W237" s="102">
        <v>0</v>
      </c>
      <c r="X237" s="55"/>
      <c r="Y237" s="80"/>
      <c r="Z237" s="58"/>
      <c r="AA237" s="80" t="s">
        <v>675</v>
      </c>
      <c r="AB237" s="52">
        <f>(F237/D237)*15</f>
        <v>2625</v>
      </c>
      <c r="AC237" s="53"/>
      <c r="AD237" s="53"/>
    </row>
    <row r="238" spans="1:30" s="25" customFormat="1" ht="15.75">
      <c r="A238" s="131" t="s">
        <v>685</v>
      </c>
      <c r="B238" s="80" t="s">
        <v>136</v>
      </c>
      <c r="C238" s="80" t="s">
        <v>300</v>
      </c>
      <c r="D238" s="49">
        <v>52</v>
      </c>
      <c r="E238" s="49">
        <f t="shared" si="9"/>
        <v>120</v>
      </c>
      <c r="F238" s="49">
        <v>6240</v>
      </c>
      <c r="G238" s="50">
        <v>0</v>
      </c>
      <c r="H238" s="50">
        <v>0</v>
      </c>
      <c r="I238" s="83"/>
      <c r="J238" s="52"/>
      <c r="K238" s="52"/>
      <c r="L238" s="83"/>
      <c r="M238" s="53"/>
      <c r="N238" s="53"/>
      <c r="O238" s="53"/>
      <c r="P238" s="53"/>
      <c r="Q238" s="53"/>
      <c r="R238" s="53"/>
      <c r="S238" s="54"/>
      <c r="T238" s="54"/>
      <c r="U238" s="55"/>
      <c r="V238" s="55"/>
      <c r="W238" s="102">
        <v>0</v>
      </c>
      <c r="X238" s="55"/>
      <c r="Y238" s="80"/>
      <c r="Z238" s="58"/>
      <c r="AA238" s="80" t="s">
        <v>673</v>
      </c>
      <c r="AB238" s="52">
        <f>(F238/D238)*52</f>
        <v>6240</v>
      </c>
      <c r="AC238" s="53"/>
      <c r="AD238" s="53"/>
    </row>
    <row r="239" spans="1:30" s="25" customFormat="1" ht="15.75">
      <c r="A239" s="131" t="s">
        <v>685</v>
      </c>
      <c r="B239" s="80" t="s">
        <v>137</v>
      </c>
      <c r="C239" s="80" t="s">
        <v>301</v>
      </c>
      <c r="D239" s="49">
        <v>12</v>
      </c>
      <c r="E239" s="49">
        <f t="shared" si="9"/>
        <v>330</v>
      </c>
      <c r="F239" s="49">
        <v>3960</v>
      </c>
      <c r="G239" s="50">
        <v>0</v>
      </c>
      <c r="H239" s="50">
        <v>0</v>
      </c>
      <c r="I239" s="83"/>
      <c r="J239" s="52"/>
      <c r="K239" s="52"/>
      <c r="L239" s="83"/>
      <c r="M239" s="53"/>
      <c r="N239" s="53"/>
      <c r="O239" s="53"/>
      <c r="P239" s="53"/>
      <c r="Q239" s="53"/>
      <c r="R239" s="53"/>
      <c r="S239" s="54"/>
      <c r="T239" s="54"/>
      <c r="U239" s="55"/>
      <c r="V239" s="55"/>
      <c r="W239" s="102">
        <v>0</v>
      </c>
      <c r="X239" s="55"/>
      <c r="Y239" s="80"/>
      <c r="Z239" s="58"/>
      <c r="AA239" s="80" t="s">
        <v>676</v>
      </c>
      <c r="AB239" s="52">
        <f>(F239/D239)*12</f>
        <v>3960</v>
      </c>
      <c r="AC239" s="53"/>
      <c r="AD239" s="53"/>
    </row>
    <row r="240" spans="1:30" s="25" customFormat="1" ht="15.75">
      <c r="A240" s="131" t="s">
        <v>685</v>
      </c>
      <c r="B240" s="80" t="s">
        <v>138</v>
      </c>
      <c r="C240" s="80" t="s">
        <v>302</v>
      </c>
      <c r="D240" s="49">
        <v>12</v>
      </c>
      <c r="E240" s="49">
        <f t="shared" si="9"/>
        <v>330</v>
      </c>
      <c r="F240" s="49">
        <v>3960</v>
      </c>
      <c r="G240" s="50">
        <v>0</v>
      </c>
      <c r="H240" s="50">
        <v>0</v>
      </c>
      <c r="I240" s="83"/>
      <c r="J240" s="52"/>
      <c r="K240" s="52"/>
      <c r="L240" s="83"/>
      <c r="M240" s="53"/>
      <c r="N240" s="53"/>
      <c r="O240" s="53"/>
      <c r="P240" s="53"/>
      <c r="Q240" s="53"/>
      <c r="R240" s="53"/>
      <c r="S240" s="54"/>
      <c r="T240" s="54"/>
      <c r="U240" s="55"/>
      <c r="V240" s="55"/>
      <c r="W240" s="102">
        <v>0</v>
      </c>
      <c r="X240" s="55"/>
      <c r="Y240" s="80"/>
      <c r="Z240" s="58"/>
      <c r="AA240" s="80" t="s">
        <v>676</v>
      </c>
      <c r="AB240" s="52">
        <f>(F240/D240)*12</f>
        <v>3960</v>
      </c>
      <c r="AC240" s="53"/>
      <c r="AD240" s="53"/>
    </row>
    <row r="241" spans="1:30" s="25" customFormat="1" ht="15.75">
      <c r="A241" s="131" t="s">
        <v>685</v>
      </c>
      <c r="B241" s="21" t="s">
        <v>163</v>
      </c>
      <c r="C241" s="21" t="s">
        <v>303</v>
      </c>
      <c r="D241" s="28">
        <v>1</v>
      </c>
      <c r="E241" s="28">
        <f t="shared" si="9"/>
        <v>750</v>
      </c>
      <c r="F241" s="28">
        <v>750</v>
      </c>
      <c r="G241" s="23">
        <v>0</v>
      </c>
      <c r="H241" s="23">
        <v>0</v>
      </c>
      <c r="I241" s="24"/>
      <c r="J241" s="28"/>
      <c r="K241" s="28"/>
      <c r="L241" s="24"/>
      <c r="U241" s="27"/>
      <c r="V241" s="27"/>
      <c r="W241" s="46">
        <v>0</v>
      </c>
      <c r="X241" s="73"/>
      <c r="Y241" s="27"/>
      <c r="Z241" s="27"/>
      <c r="AA241" s="27"/>
    </row>
    <row r="242" spans="1:30" s="25" customFormat="1" ht="15.75">
      <c r="A242" s="131" t="s">
        <v>685</v>
      </c>
      <c r="B242" s="80" t="s">
        <v>149</v>
      </c>
      <c r="C242" s="80" t="s">
        <v>304</v>
      </c>
      <c r="D242" s="49">
        <v>500</v>
      </c>
      <c r="E242" s="49">
        <f t="shared" si="9"/>
        <v>17</v>
      </c>
      <c r="F242" s="49">
        <v>8500</v>
      </c>
      <c r="G242" s="50">
        <v>0</v>
      </c>
      <c r="H242" s="50">
        <v>0</v>
      </c>
      <c r="I242" s="83"/>
      <c r="J242" s="52"/>
      <c r="K242" s="52"/>
      <c r="L242" s="83"/>
      <c r="M242" s="53"/>
      <c r="N242" s="53"/>
      <c r="O242" s="53"/>
      <c r="P242" s="53"/>
      <c r="Q242" s="53"/>
      <c r="R242" s="53"/>
      <c r="S242" s="54"/>
      <c r="T242" s="54"/>
      <c r="U242" s="55"/>
      <c r="V242" s="55"/>
      <c r="W242" s="102">
        <v>0</v>
      </c>
      <c r="X242" s="55"/>
      <c r="Y242" s="80"/>
      <c r="Z242" s="58"/>
      <c r="AA242" s="127" t="s">
        <v>677</v>
      </c>
      <c r="AB242" s="52">
        <f>(F242/D242)*500</f>
        <v>8500</v>
      </c>
      <c r="AC242" s="53"/>
      <c r="AD242" s="53"/>
    </row>
    <row r="243" spans="1:30" s="25" customFormat="1" ht="15.75">
      <c r="A243" s="131" t="s">
        <v>685</v>
      </c>
      <c r="B243" s="21" t="s">
        <v>164</v>
      </c>
      <c r="C243" s="21" t="s">
        <v>305</v>
      </c>
      <c r="D243" s="28">
        <v>1</v>
      </c>
      <c r="E243" s="28">
        <f t="shared" si="9"/>
        <v>250</v>
      </c>
      <c r="F243" s="28">
        <v>250</v>
      </c>
      <c r="G243" s="23">
        <v>0</v>
      </c>
      <c r="H243" s="23">
        <v>0</v>
      </c>
      <c r="I243" s="24"/>
      <c r="J243" s="28"/>
      <c r="K243" s="28"/>
      <c r="L243" s="24"/>
      <c r="U243" s="27"/>
      <c r="V243" s="27"/>
      <c r="W243" s="46">
        <v>0</v>
      </c>
      <c r="X243" s="73"/>
      <c r="Y243" s="27"/>
      <c r="Z243" s="27"/>
      <c r="AA243" s="27"/>
    </row>
    <row r="244" spans="1:30" s="25" customFormat="1" ht="15.75">
      <c r="A244" s="131" t="s">
        <v>685</v>
      </c>
      <c r="B244" s="80" t="s">
        <v>173</v>
      </c>
      <c r="C244" s="80" t="s">
        <v>306</v>
      </c>
      <c r="D244" s="49">
        <v>224</v>
      </c>
      <c r="E244" s="49">
        <f t="shared" si="9"/>
        <v>6</v>
      </c>
      <c r="F244" s="49">
        <v>1344</v>
      </c>
      <c r="G244" s="50">
        <v>0</v>
      </c>
      <c r="H244" s="50">
        <v>0</v>
      </c>
      <c r="I244" s="83"/>
      <c r="J244" s="52"/>
      <c r="K244" s="52"/>
      <c r="L244" s="83"/>
      <c r="M244" s="53"/>
      <c r="N244" s="53"/>
      <c r="O244" s="53"/>
      <c r="P244" s="53"/>
      <c r="Q244" s="53"/>
      <c r="R244" s="53"/>
      <c r="S244" s="54"/>
      <c r="T244" s="54"/>
      <c r="U244" s="55"/>
      <c r="V244" s="55"/>
      <c r="W244" s="102">
        <v>0</v>
      </c>
      <c r="X244" s="55"/>
      <c r="Y244" s="80"/>
      <c r="Z244" s="58"/>
      <c r="AA244" s="80" t="s">
        <v>678</v>
      </c>
      <c r="AB244" s="52">
        <f>(F244/D244)*224</f>
        <v>1344</v>
      </c>
      <c r="AC244" s="53"/>
      <c r="AD244" s="53"/>
    </row>
    <row r="245" spans="1:30" s="25" customFormat="1" ht="15.75">
      <c r="A245" s="131" t="s">
        <v>685</v>
      </c>
      <c r="B245" s="80" t="s">
        <v>143</v>
      </c>
      <c r="C245" s="80" t="s">
        <v>307</v>
      </c>
      <c r="D245" s="49">
        <v>1</v>
      </c>
      <c r="E245" s="49">
        <f t="shared" ref="E245:E273" si="12">IFERROR(F245/D245,0)</f>
        <v>200</v>
      </c>
      <c r="F245" s="49">
        <v>200</v>
      </c>
      <c r="G245" s="50">
        <v>0</v>
      </c>
      <c r="H245" s="50">
        <v>0</v>
      </c>
      <c r="I245" s="83"/>
      <c r="J245" s="52"/>
      <c r="K245" s="52"/>
      <c r="L245" s="83"/>
      <c r="M245" s="53"/>
      <c r="N245" s="53"/>
      <c r="O245" s="53"/>
      <c r="P245" s="53"/>
      <c r="Q245" s="53"/>
      <c r="R245" s="53"/>
      <c r="S245" s="54"/>
      <c r="T245" s="54"/>
      <c r="U245" s="55"/>
      <c r="V245" s="55"/>
      <c r="W245" s="102">
        <v>0</v>
      </c>
      <c r="X245" s="55"/>
      <c r="Y245" s="80"/>
      <c r="Z245" s="58"/>
      <c r="AA245" s="80" t="s">
        <v>501</v>
      </c>
      <c r="AB245" s="52">
        <f>(F245/D245)*1</f>
        <v>200</v>
      </c>
      <c r="AC245" s="53"/>
      <c r="AD245" s="53"/>
    </row>
    <row r="246" spans="1:30" s="25" customFormat="1" ht="15.75">
      <c r="A246" s="131" t="s">
        <v>685</v>
      </c>
      <c r="B246" s="80" t="s">
        <v>144</v>
      </c>
      <c r="C246" s="80" t="s">
        <v>308</v>
      </c>
      <c r="D246" s="49">
        <v>3100</v>
      </c>
      <c r="E246" s="49">
        <f t="shared" si="12"/>
        <v>4.419354838709677</v>
      </c>
      <c r="F246" s="49">
        <v>13700</v>
      </c>
      <c r="G246" s="50">
        <v>0</v>
      </c>
      <c r="H246" s="50">
        <v>0</v>
      </c>
      <c r="I246" s="83"/>
      <c r="J246" s="52"/>
      <c r="K246" s="52"/>
      <c r="L246" s="83"/>
      <c r="M246" s="53"/>
      <c r="N246" s="53"/>
      <c r="O246" s="53"/>
      <c r="P246" s="53"/>
      <c r="Q246" s="53"/>
      <c r="R246" s="53"/>
      <c r="S246" s="54"/>
      <c r="T246" s="54"/>
      <c r="U246" s="55"/>
      <c r="V246" s="55"/>
      <c r="W246" s="102">
        <v>0</v>
      </c>
      <c r="X246" s="55"/>
      <c r="Y246" s="80"/>
      <c r="Z246" s="58"/>
      <c r="AA246" s="80" t="s">
        <v>679</v>
      </c>
      <c r="AB246" s="52">
        <f>(F246/D246)*2600</f>
        <v>11490.322580645161</v>
      </c>
      <c r="AC246" s="53"/>
      <c r="AD246" s="53"/>
    </row>
    <row r="247" spans="1:30" s="25" customFormat="1" ht="15.75">
      <c r="A247" s="131" t="s">
        <v>685</v>
      </c>
      <c r="B247" s="80" t="s">
        <v>366</v>
      </c>
      <c r="C247" s="80" t="s">
        <v>376</v>
      </c>
      <c r="D247" s="49">
        <v>300</v>
      </c>
      <c r="E247" s="49">
        <f t="shared" si="12"/>
        <v>10</v>
      </c>
      <c r="F247" s="49">
        <v>3000</v>
      </c>
      <c r="G247" s="50">
        <v>0</v>
      </c>
      <c r="H247" s="50">
        <v>0</v>
      </c>
      <c r="I247" s="83"/>
      <c r="J247" s="52"/>
      <c r="K247" s="52"/>
      <c r="L247" s="83"/>
      <c r="M247" s="53"/>
      <c r="N247" s="53"/>
      <c r="O247" s="53"/>
      <c r="P247" s="53"/>
      <c r="Q247" s="53"/>
      <c r="R247" s="53"/>
      <c r="S247" s="54"/>
      <c r="T247" s="54"/>
      <c r="U247" s="55"/>
      <c r="V247" s="55"/>
      <c r="W247" s="102">
        <v>0</v>
      </c>
      <c r="X247" s="55"/>
      <c r="Y247" s="80"/>
      <c r="Z247" s="58"/>
      <c r="AA247" s="80" t="s">
        <v>672</v>
      </c>
      <c r="AB247" s="52">
        <f>(F247/D247)*300</f>
        <v>3000</v>
      </c>
      <c r="AC247" s="53"/>
      <c r="AD247" s="53"/>
    </row>
    <row r="248" spans="1:30" s="25" customFormat="1" ht="15.75">
      <c r="A248" s="131" t="s">
        <v>685</v>
      </c>
      <c r="B248" s="80" t="s">
        <v>150</v>
      </c>
      <c r="C248" s="80" t="s">
        <v>309</v>
      </c>
      <c r="D248" s="49">
        <v>170</v>
      </c>
      <c r="E248" s="49">
        <f t="shared" si="12"/>
        <v>4</v>
      </c>
      <c r="F248" s="49">
        <v>680</v>
      </c>
      <c r="G248" s="50">
        <v>100</v>
      </c>
      <c r="H248" s="50">
        <v>0</v>
      </c>
      <c r="I248" s="83"/>
      <c r="J248" s="52"/>
      <c r="K248" s="52"/>
      <c r="L248" s="83"/>
      <c r="M248" s="53"/>
      <c r="N248" s="53"/>
      <c r="O248" s="53"/>
      <c r="P248" s="53"/>
      <c r="Q248" s="53"/>
      <c r="R248" s="53"/>
      <c r="S248" s="54"/>
      <c r="T248" s="54"/>
      <c r="U248" s="55"/>
      <c r="V248" s="55"/>
      <c r="W248" s="102">
        <v>0</v>
      </c>
      <c r="X248" s="55"/>
      <c r="Y248" s="80" t="s">
        <v>680</v>
      </c>
      <c r="Z248" s="58"/>
      <c r="AA248" s="80" t="s">
        <v>681</v>
      </c>
      <c r="AB248" s="52">
        <f>(F248/D248)*170</f>
        <v>680</v>
      </c>
      <c r="AC248" s="53"/>
      <c r="AD248" s="53"/>
    </row>
    <row r="249" spans="1:30" s="25" customFormat="1" ht="15.75">
      <c r="A249" s="131" t="s">
        <v>685</v>
      </c>
      <c r="B249" s="80" t="s">
        <v>151</v>
      </c>
      <c r="C249" s="80" t="s">
        <v>310</v>
      </c>
      <c r="D249" s="49">
        <v>170</v>
      </c>
      <c r="E249" s="49">
        <f t="shared" si="12"/>
        <v>19</v>
      </c>
      <c r="F249" s="49">
        <v>3230</v>
      </c>
      <c r="G249" s="50">
        <v>100</v>
      </c>
      <c r="H249" s="50">
        <v>0</v>
      </c>
      <c r="I249" s="83"/>
      <c r="J249" s="52"/>
      <c r="K249" s="52"/>
      <c r="L249" s="83"/>
      <c r="M249" s="53"/>
      <c r="N249" s="53"/>
      <c r="O249" s="53"/>
      <c r="P249" s="53"/>
      <c r="Q249" s="53"/>
      <c r="R249" s="53"/>
      <c r="S249" s="54"/>
      <c r="T249" s="54"/>
      <c r="U249" s="55"/>
      <c r="V249" s="55"/>
      <c r="W249" s="102">
        <v>0</v>
      </c>
      <c r="X249" s="55"/>
      <c r="Y249" s="80" t="s">
        <v>680</v>
      </c>
      <c r="Z249" s="58"/>
      <c r="AA249" s="80" t="s">
        <v>681</v>
      </c>
      <c r="AB249" s="52">
        <f>(F249/D249)*170</f>
        <v>3230</v>
      </c>
      <c r="AC249" s="53"/>
      <c r="AD249" s="53"/>
    </row>
    <row r="250" spans="1:30" s="25" customFormat="1" ht="15.75">
      <c r="A250" s="131" t="s">
        <v>685</v>
      </c>
      <c r="B250" s="80" t="s">
        <v>152</v>
      </c>
      <c r="C250" s="80" t="s">
        <v>311</v>
      </c>
      <c r="D250" s="49">
        <v>5</v>
      </c>
      <c r="E250" s="49">
        <f t="shared" si="12"/>
        <v>5700</v>
      </c>
      <c r="F250" s="49">
        <v>28500</v>
      </c>
      <c r="G250" s="50">
        <v>0</v>
      </c>
      <c r="H250" s="50">
        <v>0</v>
      </c>
      <c r="I250" s="83"/>
      <c r="J250" s="52"/>
      <c r="K250" s="52"/>
      <c r="L250" s="83"/>
      <c r="M250" s="53"/>
      <c r="N250" s="53"/>
      <c r="O250" s="53"/>
      <c r="P250" s="53"/>
      <c r="Q250" s="53"/>
      <c r="R250" s="53"/>
      <c r="S250" s="54"/>
      <c r="T250" s="54"/>
      <c r="U250" s="55"/>
      <c r="V250" s="55"/>
      <c r="W250" s="102">
        <v>0</v>
      </c>
      <c r="X250" s="55"/>
      <c r="Y250" s="80"/>
      <c r="Z250" s="58"/>
      <c r="AA250" s="80" t="s">
        <v>682</v>
      </c>
      <c r="AB250" s="52">
        <f>(F250/D250)*5</f>
        <v>28500</v>
      </c>
      <c r="AC250" s="53"/>
      <c r="AD250" s="53"/>
    </row>
    <row r="251" spans="1:30" s="25" customFormat="1" ht="15.75">
      <c r="A251" s="131" t="s">
        <v>685</v>
      </c>
      <c r="B251" s="80" t="s">
        <v>153</v>
      </c>
      <c r="C251" s="80" t="s">
        <v>312</v>
      </c>
      <c r="D251" s="49">
        <v>1</v>
      </c>
      <c r="E251" s="49">
        <f t="shared" si="12"/>
        <v>150</v>
      </c>
      <c r="F251" s="49">
        <v>150</v>
      </c>
      <c r="G251" s="50">
        <v>0</v>
      </c>
      <c r="H251" s="50">
        <v>0</v>
      </c>
      <c r="I251" s="83"/>
      <c r="J251" s="52"/>
      <c r="K251" s="52"/>
      <c r="L251" s="83"/>
      <c r="M251" s="53"/>
      <c r="N251" s="53"/>
      <c r="O251" s="53"/>
      <c r="P251" s="53"/>
      <c r="Q251" s="53"/>
      <c r="R251" s="53"/>
      <c r="S251" s="54"/>
      <c r="T251" s="54"/>
      <c r="U251" s="55"/>
      <c r="V251" s="55"/>
      <c r="W251" s="102">
        <v>0</v>
      </c>
      <c r="X251" s="55"/>
      <c r="Y251" s="80"/>
      <c r="Z251" s="58"/>
      <c r="AA251" s="80" t="s">
        <v>501</v>
      </c>
      <c r="AB251" s="52">
        <f>(F251/D251)*1</f>
        <v>150</v>
      </c>
      <c r="AC251" s="53"/>
      <c r="AD251" s="53"/>
    </row>
    <row r="252" spans="1:30" s="25" customFormat="1" ht="15.75">
      <c r="A252" s="131" t="s">
        <v>685</v>
      </c>
      <c r="B252" s="80" t="s">
        <v>139</v>
      </c>
      <c r="C252" s="80" t="s">
        <v>313</v>
      </c>
      <c r="D252" s="49">
        <v>1</v>
      </c>
      <c r="E252" s="49">
        <f t="shared" si="12"/>
        <v>240</v>
      </c>
      <c r="F252" s="49">
        <v>240</v>
      </c>
      <c r="G252" s="50">
        <v>0</v>
      </c>
      <c r="H252" s="50">
        <v>0</v>
      </c>
      <c r="I252" s="83"/>
      <c r="J252" s="52"/>
      <c r="K252" s="52"/>
      <c r="L252" s="83"/>
      <c r="M252" s="53"/>
      <c r="N252" s="53"/>
      <c r="O252" s="53"/>
      <c r="P252" s="53"/>
      <c r="Q252" s="53"/>
      <c r="R252" s="53"/>
      <c r="S252" s="54"/>
      <c r="T252" s="54"/>
      <c r="U252" s="55"/>
      <c r="V252" s="55"/>
      <c r="W252" s="102">
        <v>0</v>
      </c>
      <c r="X252" s="55"/>
      <c r="Y252" s="80"/>
      <c r="Z252" s="58"/>
      <c r="AA252" s="80" t="s">
        <v>501</v>
      </c>
      <c r="AB252" s="52">
        <f>(F252/D252)*1</f>
        <v>240</v>
      </c>
      <c r="AC252" s="53"/>
      <c r="AD252" s="53"/>
    </row>
    <row r="253" spans="1:30" s="25" customFormat="1" ht="15.75">
      <c r="A253" s="131" t="s">
        <v>685</v>
      </c>
      <c r="B253" s="80" t="s">
        <v>140</v>
      </c>
      <c r="C253" s="80" t="s">
        <v>314</v>
      </c>
      <c r="D253" s="49">
        <v>100</v>
      </c>
      <c r="E253" s="49">
        <f t="shared" si="12"/>
        <v>165</v>
      </c>
      <c r="F253" s="49">
        <v>16500</v>
      </c>
      <c r="G253" s="50">
        <v>0</v>
      </c>
      <c r="H253" s="50">
        <v>0</v>
      </c>
      <c r="I253" s="83"/>
      <c r="J253" s="52"/>
      <c r="K253" s="52"/>
      <c r="L253" s="83"/>
      <c r="M253" s="53"/>
      <c r="N253" s="53"/>
      <c r="O253" s="53"/>
      <c r="P253" s="53"/>
      <c r="Q253" s="53"/>
      <c r="R253" s="53"/>
      <c r="S253" s="54"/>
      <c r="T253" s="54"/>
      <c r="U253" s="55"/>
      <c r="V253" s="55"/>
      <c r="W253" s="102">
        <v>0</v>
      </c>
      <c r="X253" s="55"/>
      <c r="Y253" s="80"/>
      <c r="Z253" s="58"/>
      <c r="AA253" s="80" t="s">
        <v>527</v>
      </c>
      <c r="AB253" s="52">
        <f>(F253/D253)*100</f>
        <v>16500</v>
      </c>
      <c r="AC253" s="53"/>
      <c r="AD253" s="53"/>
    </row>
    <row r="254" spans="1:30" s="25" customFormat="1" ht="15.75">
      <c r="A254" s="131" t="s">
        <v>685</v>
      </c>
      <c r="B254" s="80" t="s">
        <v>154</v>
      </c>
      <c r="C254" s="80" t="s">
        <v>315</v>
      </c>
      <c r="D254" s="49">
        <v>1</v>
      </c>
      <c r="E254" s="49">
        <f t="shared" si="12"/>
        <v>950</v>
      </c>
      <c r="F254" s="49">
        <v>950</v>
      </c>
      <c r="G254" s="50">
        <v>0</v>
      </c>
      <c r="H254" s="50">
        <v>0</v>
      </c>
      <c r="I254" s="83"/>
      <c r="J254" s="52"/>
      <c r="K254" s="52"/>
      <c r="L254" s="83"/>
      <c r="M254" s="53"/>
      <c r="N254" s="53"/>
      <c r="O254" s="53"/>
      <c r="P254" s="53"/>
      <c r="Q254" s="53"/>
      <c r="R254" s="53"/>
      <c r="S254" s="54"/>
      <c r="T254" s="54"/>
      <c r="U254" s="55"/>
      <c r="V254" s="55"/>
      <c r="W254" s="102">
        <v>0</v>
      </c>
      <c r="X254" s="55"/>
      <c r="Y254" s="80"/>
      <c r="Z254" s="58"/>
      <c r="AA254" s="80" t="s">
        <v>501</v>
      </c>
      <c r="AB254" s="52">
        <f>(F254/D254)*1</f>
        <v>950</v>
      </c>
      <c r="AC254" s="53"/>
      <c r="AD254" s="53"/>
    </row>
    <row r="255" spans="1:30" s="25" customFormat="1" ht="15.75">
      <c r="A255" s="131" t="s">
        <v>685</v>
      </c>
      <c r="B255" s="80" t="s">
        <v>174</v>
      </c>
      <c r="C255" s="80" t="s">
        <v>316</v>
      </c>
      <c r="D255" s="49">
        <v>1000</v>
      </c>
      <c r="E255" s="49">
        <f t="shared" si="12"/>
        <v>0.5</v>
      </c>
      <c r="F255" s="49">
        <v>500</v>
      </c>
      <c r="G255" s="50">
        <v>0</v>
      </c>
      <c r="H255" s="50">
        <v>0</v>
      </c>
      <c r="I255" s="83"/>
      <c r="J255" s="52"/>
      <c r="K255" s="52"/>
      <c r="L255" s="83"/>
      <c r="M255" s="53"/>
      <c r="N255" s="53"/>
      <c r="O255" s="53"/>
      <c r="P255" s="53"/>
      <c r="Q255" s="53"/>
      <c r="R255" s="53"/>
      <c r="S255" s="54"/>
      <c r="T255" s="54"/>
      <c r="U255" s="55"/>
      <c r="V255" s="55"/>
      <c r="W255" s="102">
        <v>0</v>
      </c>
      <c r="X255" s="55"/>
      <c r="Y255" s="80"/>
      <c r="Z255" s="58"/>
      <c r="AA255" s="80" t="s">
        <v>606</v>
      </c>
      <c r="AB255" s="52">
        <f>(F255/D255)*1000</f>
        <v>500</v>
      </c>
      <c r="AC255" s="53"/>
      <c r="AD255" s="53"/>
    </row>
    <row r="256" spans="1:30" s="25" customFormat="1" ht="15.75">
      <c r="A256" s="131" t="s">
        <v>685</v>
      </c>
      <c r="B256" s="80" t="s">
        <v>367</v>
      </c>
      <c r="C256" s="80" t="s">
        <v>307</v>
      </c>
      <c r="D256" s="49">
        <v>1</v>
      </c>
      <c r="E256" s="49">
        <f t="shared" si="12"/>
        <v>200</v>
      </c>
      <c r="F256" s="49">
        <v>200</v>
      </c>
      <c r="G256" s="50">
        <v>0</v>
      </c>
      <c r="H256" s="50">
        <v>0</v>
      </c>
      <c r="I256" s="83"/>
      <c r="J256" s="52"/>
      <c r="K256" s="52"/>
      <c r="L256" s="83"/>
      <c r="M256" s="53"/>
      <c r="N256" s="53"/>
      <c r="O256" s="53"/>
      <c r="P256" s="53"/>
      <c r="Q256" s="53"/>
      <c r="R256" s="53"/>
      <c r="S256" s="54"/>
      <c r="T256" s="54"/>
      <c r="U256" s="55"/>
      <c r="V256" s="55"/>
      <c r="W256" s="102">
        <v>0</v>
      </c>
      <c r="X256" s="55"/>
      <c r="Y256" s="80"/>
      <c r="Z256" s="58"/>
      <c r="AA256" s="80" t="s">
        <v>501</v>
      </c>
      <c r="AB256" s="52">
        <f>(F256/D256)*1</f>
        <v>200</v>
      </c>
      <c r="AC256" s="53"/>
      <c r="AD256" s="53"/>
    </row>
    <row r="257" spans="1:30" s="25" customFormat="1" ht="15.75">
      <c r="A257" s="131" t="s">
        <v>685</v>
      </c>
      <c r="B257" s="80" t="s">
        <v>466</v>
      </c>
      <c r="C257" s="80" t="s">
        <v>377</v>
      </c>
      <c r="D257" s="49">
        <v>1</v>
      </c>
      <c r="E257" s="49">
        <f t="shared" si="12"/>
        <v>150</v>
      </c>
      <c r="F257" s="49">
        <v>150</v>
      </c>
      <c r="G257" s="50">
        <v>0</v>
      </c>
      <c r="H257" s="50">
        <v>0</v>
      </c>
      <c r="I257" s="83"/>
      <c r="J257" s="52"/>
      <c r="K257" s="52"/>
      <c r="L257" s="83"/>
      <c r="M257" s="53"/>
      <c r="N257" s="53"/>
      <c r="O257" s="53"/>
      <c r="P257" s="53"/>
      <c r="Q257" s="53"/>
      <c r="R257" s="53"/>
      <c r="S257" s="54"/>
      <c r="T257" s="54"/>
      <c r="U257" s="55"/>
      <c r="V257" s="55"/>
      <c r="W257" s="102">
        <v>0</v>
      </c>
      <c r="X257" s="55"/>
      <c r="Y257" s="80"/>
      <c r="Z257" s="58"/>
      <c r="AA257" s="80" t="s">
        <v>501</v>
      </c>
      <c r="AB257" s="52">
        <f>(F257/D257)*1</f>
        <v>150</v>
      </c>
      <c r="AC257" s="53"/>
      <c r="AD257" s="53"/>
    </row>
    <row r="258" spans="1:30" s="25" customFormat="1" ht="15.75">
      <c r="A258" s="131" t="s">
        <v>685</v>
      </c>
      <c r="B258" s="27" t="s">
        <v>467</v>
      </c>
      <c r="C258" s="27" t="s">
        <v>317</v>
      </c>
      <c r="D258" s="28">
        <v>1</v>
      </c>
      <c r="E258" s="28">
        <f t="shared" si="12"/>
        <v>180</v>
      </c>
      <c r="F258" s="28">
        <v>180</v>
      </c>
      <c r="G258" s="23">
        <v>0</v>
      </c>
      <c r="H258" s="23">
        <v>0</v>
      </c>
      <c r="I258" s="24"/>
      <c r="J258" s="28"/>
      <c r="K258" s="28"/>
      <c r="L258" s="24"/>
      <c r="U258" s="27"/>
      <c r="V258" s="27"/>
      <c r="W258" s="46">
        <v>0</v>
      </c>
      <c r="X258" s="73"/>
      <c r="Y258" s="27"/>
      <c r="Z258" s="27"/>
      <c r="AA258" s="27"/>
    </row>
    <row r="259" spans="1:30" s="25" customFormat="1" ht="15.75">
      <c r="A259" s="131" t="s">
        <v>685</v>
      </c>
      <c r="B259" s="27" t="s">
        <v>468</v>
      </c>
      <c r="C259" s="27" t="s">
        <v>318</v>
      </c>
      <c r="D259" s="28">
        <v>1</v>
      </c>
      <c r="E259" s="28">
        <f t="shared" si="12"/>
        <v>21000</v>
      </c>
      <c r="F259" s="28">
        <v>21000</v>
      </c>
      <c r="G259" s="23">
        <v>0</v>
      </c>
      <c r="H259" s="23">
        <v>0</v>
      </c>
      <c r="I259" s="24"/>
      <c r="J259" s="28"/>
      <c r="K259" s="28"/>
      <c r="L259" s="24"/>
      <c r="U259" s="27"/>
      <c r="V259" s="27"/>
      <c r="W259" s="46">
        <v>0</v>
      </c>
      <c r="X259" s="73"/>
      <c r="Y259" s="27"/>
      <c r="Z259" s="27"/>
      <c r="AA259" s="27"/>
    </row>
    <row r="260" spans="1:30" s="25" customFormat="1" ht="15.75">
      <c r="A260" s="131" t="s">
        <v>685</v>
      </c>
      <c r="B260" s="80" t="s">
        <v>469</v>
      </c>
      <c r="C260" s="80" t="s">
        <v>319</v>
      </c>
      <c r="D260" s="49">
        <v>224</v>
      </c>
      <c r="E260" s="49">
        <f t="shared" si="12"/>
        <v>185</v>
      </c>
      <c r="F260" s="49">
        <v>41440</v>
      </c>
      <c r="G260" s="50">
        <v>0</v>
      </c>
      <c r="H260" s="50">
        <v>0</v>
      </c>
      <c r="I260" s="83"/>
      <c r="J260" s="52"/>
      <c r="K260" s="52"/>
      <c r="L260" s="83"/>
      <c r="M260" s="53"/>
      <c r="N260" s="53"/>
      <c r="O260" s="53"/>
      <c r="P260" s="53"/>
      <c r="Q260" s="53"/>
      <c r="R260" s="53"/>
      <c r="S260" s="54"/>
      <c r="T260" s="54"/>
      <c r="U260" s="55"/>
      <c r="V260" s="55"/>
      <c r="W260" s="102">
        <v>0</v>
      </c>
      <c r="X260" s="55"/>
      <c r="Y260" s="80"/>
      <c r="Z260" s="58"/>
      <c r="AA260" s="80" t="s">
        <v>678</v>
      </c>
      <c r="AB260" s="52">
        <f>(F260/D260)*224</f>
        <v>41440</v>
      </c>
      <c r="AC260" s="53"/>
      <c r="AD260" s="53"/>
    </row>
    <row r="261" spans="1:30" s="25" customFormat="1" ht="15.75">
      <c r="A261" s="131" t="s">
        <v>685</v>
      </c>
      <c r="B261" s="80" t="s">
        <v>155</v>
      </c>
      <c r="C261" s="80" t="s">
        <v>320</v>
      </c>
      <c r="D261" s="49">
        <v>14</v>
      </c>
      <c r="E261" s="49">
        <f t="shared" si="12"/>
        <v>1830</v>
      </c>
      <c r="F261" s="49">
        <v>25620</v>
      </c>
      <c r="G261" s="50">
        <v>0</v>
      </c>
      <c r="H261" s="50">
        <v>0</v>
      </c>
      <c r="I261" s="83"/>
      <c r="J261" s="52"/>
      <c r="K261" s="52"/>
      <c r="L261" s="83"/>
      <c r="M261" s="53"/>
      <c r="N261" s="53"/>
      <c r="O261" s="53"/>
      <c r="P261" s="53"/>
      <c r="Q261" s="53"/>
      <c r="R261" s="53"/>
      <c r="S261" s="54"/>
      <c r="T261" s="54"/>
      <c r="U261" s="55"/>
      <c r="V261" s="55"/>
      <c r="W261" s="102">
        <v>0</v>
      </c>
      <c r="X261" s="55"/>
      <c r="Y261" s="80"/>
      <c r="Z261" s="58"/>
      <c r="AA261" s="127" t="s">
        <v>674</v>
      </c>
      <c r="AB261" s="52">
        <f>(F261/D261)*14</f>
        <v>25620</v>
      </c>
      <c r="AC261" s="53"/>
      <c r="AD261" s="53"/>
    </row>
    <row r="262" spans="1:30" s="25" customFormat="1" ht="15.75">
      <c r="A262" s="131" t="s">
        <v>685</v>
      </c>
      <c r="B262" s="27" t="s">
        <v>470</v>
      </c>
      <c r="C262" s="27" t="s">
        <v>321</v>
      </c>
      <c r="D262" s="28">
        <v>100</v>
      </c>
      <c r="E262" s="28">
        <f t="shared" si="12"/>
        <v>350</v>
      </c>
      <c r="F262" s="28">
        <v>35000</v>
      </c>
      <c r="G262" s="23">
        <v>0</v>
      </c>
      <c r="H262" s="23">
        <v>0</v>
      </c>
      <c r="I262" s="24"/>
      <c r="J262" s="28"/>
      <c r="K262" s="28"/>
      <c r="L262" s="24"/>
      <c r="U262" s="27"/>
      <c r="V262" s="27"/>
      <c r="W262" s="46">
        <v>0</v>
      </c>
      <c r="X262" s="73"/>
      <c r="Y262" s="27"/>
      <c r="Z262" s="27"/>
      <c r="AA262" s="27"/>
    </row>
    <row r="263" spans="1:30" s="25" customFormat="1" ht="15.75">
      <c r="A263" s="131" t="s">
        <v>685</v>
      </c>
      <c r="B263" s="27" t="s">
        <v>123</v>
      </c>
      <c r="C263" s="27" t="s">
        <v>322</v>
      </c>
      <c r="D263" s="28">
        <v>1</v>
      </c>
      <c r="E263" s="28">
        <f t="shared" si="12"/>
        <v>2200</v>
      </c>
      <c r="F263" s="28">
        <v>2200</v>
      </c>
      <c r="G263" s="23">
        <v>0</v>
      </c>
      <c r="H263" s="23">
        <v>0</v>
      </c>
      <c r="I263" s="24"/>
      <c r="J263" s="28"/>
      <c r="K263" s="28"/>
      <c r="L263" s="24"/>
      <c r="U263" s="27"/>
      <c r="V263" s="27"/>
      <c r="W263" s="46">
        <v>0</v>
      </c>
      <c r="X263" s="73"/>
      <c r="Y263" s="27"/>
      <c r="Z263" s="27"/>
      <c r="AA263" s="27"/>
    </row>
    <row r="264" spans="1:30" s="25" customFormat="1" ht="15.75">
      <c r="A264" s="131" t="s">
        <v>685</v>
      </c>
      <c r="B264" s="80" t="s">
        <v>141</v>
      </c>
      <c r="C264" s="80" t="s">
        <v>323</v>
      </c>
      <c r="D264" s="49">
        <v>2900</v>
      </c>
      <c r="E264" s="49">
        <f t="shared" si="12"/>
        <v>17</v>
      </c>
      <c r="F264" s="49">
        <v>49300</v>
      </c>
      <c r="G264" s="50">
        <v>0</v>
      </c>
      <c r="H264" s="50">
        <v>0</v>
      </c>
      <c r="I264" s="83"/>
      <c r="J264" s="52"/>
      <c r="K264" s="52"/>
      <c r="L264" s="83"/>
      <c r="M264" s="53"/>
      <c r="N264" s="53"/>
      <c r="O264" s="53"/>
      <c r="P264" s="53"/>
      <c r="Q264" s="53"/>
      <c r="R264" s="53"/>
      <c r="S264" s="54"/>
      <c r="T264" s="54"/>
      <c r="U264" s="55"/>
      <c r="V264" s="55"/>
      <c r="W264" s="102">
        <v>0</v>
      </c>
      <c r="X264" s="55"/>
      <c r="Y264" s="80"/>
      <c r="Z264" s="58"/>
      <c r="AA264" s="127" t="s">
        <v>683</v>
      </c>
      <c r="AB264" s="52">
        <f>(F264/D264)*2900</f>
        <v>49300</v>
      </c>
      <c r="AC264" s="53"/>
      <c r="AD264" s="53"/>
    </row>
    <row r="265" spans="1:30" s="25" customFormat="1" ht="15.75">
      <c r="A265" s="131" t="s">
        <v>685</v>
      </c>
      <c r="B265" s="80" t="s">
        <v>142</v>
      </c>
      <c r="C265" s="80" t="s">
        <v>324</v>
      </c>
      <c r="D265" s="49">
        <v>500</v>
      </c>
      <c r="E265" s="49">
        <f t="shared" si="12"/>
        <v>5</v>
      </c>
      <c r="F265" s="49">
        <v>2500</v>
      </c>
      <c r="G265" s="50">
        <v>0</v>
      </c>
      <c r="H265" s="50">
        <v>0</v>
      </c>
      <c r="I265" s="83"/>
      <c r="J265" s="52"/>
      <c r="K265" s="52"/>
      <c r="L265" s="83"/>
      <c r="M265" s="53"/>
      <c r="N265" s="53"/>
      <c r="O265" s="53"/>
      <c r="P265" s="53"/>
      <c r="Q265" s="53"/>
      <c r="R265" s="53"/>
      <c r="S265" s="54"/>
      <c r="T265" s="54"/>
      <c r="U265" s="55"/>
      <c r="V265" s="55"/>
      <c r="W265" s="102">
        <v>0</v>
      </c>
      <c r="X265" s="55"/>
      <c r="Y265" s="80"/>
      <c r="Z265" s="58"/>
      <c r="AA265" s="127" t="s">
        <v>677</v>
      </c>
      <c r="AB265" s="52">
        <f>(F265/D265)*500</f>
        <v>2500</v>
      </c>
      <c r="AC265" s="53"/>
      <c r="AD265" s="53"/>
    </row>
    <row r="266" spans="1:30" s="25" customFormat="1" ht="15.75">
      <c r="A266" s="131" t="s">
        <v>685</v>
      </c>
      <c r="B266" s="27" t="s">
        <v>124</v>
      </c>
      <c r="C266" s="27" t="s">
        <v>325</v>
      </c>
      <c r="D266" s="28">
        <v>1</v>
      </c>
      <c r="E266" s="28">
        <f t="shared" si="12"/>
        <v>39500</v>
      </c>
      <c r="F266" s="28">
        <v>39500</v>
      </c>
      <c r="G266" s="23">
        <v>0</v>
      </c>
      <c r="H266" s="23">
        <v>0</v>
      </c>
      <c r="I266" s="24"/>
      <c r="J266" s="28"/>
      <c r="K266" s="28"/>
      <c r="L266" s="24"/>
      <c r="U266" s="27"/>
      <c r="V266" s="27"/>
      <c r="W266" s="46">
        <v>0</v>
      </c>
      <c r="X266" s="73"/>
      <c r="Y266" s="27"/>
      <c r="Z266" s="27"/>
      <c r="AA266" s="27"/>
    </row>
    <row r="267" spans="1:30" s="25" customFormat="1" ht="15.75">
      <c r="A267" s="131" t="s">
        <v>685</v>
      </c>
      <c r="B267" s="27" t="s">
        <v>125</v>
      </c>
      <c r="C267" s="27" t="s">
        <v>327</v>
      </c>
      <c r="D267" s="28">
        <v>1</v>
      </c>
      <c r="E267" s="28">
        <f t="shared" si="12"/>
        <v>10000</v>
      </c>
      <c r="F267" s="28">
        <v>10000</v>
      </c>
      <c r="G267" s="23">
        <v>0</v>
      </c>
      <c r="H267" s="23">
        <v>0</v>
      </c>
      <c r="I267" s="24"/>
      <c r="J267" s="28"/>
      <c r="K267" s="28"/>
      <c r="L267" s="24"/>
      <c r="U267" s="27"/>
      <c r="V267" s="27"/>
      <c r="W267" s="46">
        <v>0</v>
      </c>
      <c r="X267" s="73"/>
      <c r="Y267" s="27"/>
      <c r="Z267" s="27"/>
      <c r="AA267" s="27"/>
    </row>
    <row r="268" spans="1:30" s="25" customFormat="1" ht="15.75">
      <c r="A268" s="131" t="s">
        <v>685</v>
      </c>
      <c r="B268" s="27" t="s">
        <v>126</v>
      </c>
      <c r="C268" s="27" t="s">
        <v>328</v>
      </c>
      <c r="D268" s="28">
        <v>1</v>
      </c>
      <c r="E268" s="28">
        <f t="shared" si="12"/>
        <v>19211</v>
      </c>
      <c r="F268" s="28">
        <v>19211</v>
      </c>
      <c r="G268" s="23">
        <v>0</v>
      </c>
      <c r="H268" s="23">
        <v>0</v>
      </c>
      <c r="I268" s="24"/>
      <c r="J268" s="28"/>
      <c r="K268" s="28"/>
      <c r="L268" s="24"/>
      <c r="U268" s="27"/>
      <c r="V268" s="27"/>
      <c r="W268" s="46">
        <v>0</v>
      </c>
      <c r="X268" s="73"/>
      <c r="Y268" s="27"/>
      <c r="Z268" s="27"/>
      <c r="AA268" s="27"/>
    </row>
    <row r="269" spans="1:30" s="25" customFormat="1" ht="15.75">
      <c r="A269" s="131" t="s">
        <v>685</v>
      </c>
      <c r="B269" s="27" t="s">
        <v>127</v>
      </c>
      <c r="C269" s="27" t="s">
        <v>329</v>
      </c>
      <c r="D269" s="28">
        <v>1</v>
      </c>
      <c r="E269" s="28">
        <f t="shared" si="12"/>
        <v>320</v>
      </c>
      <c r="F269" s="28">
        <v>320</v>
      </c>
      <c r="G269" s="23">
        <v>0</v>
      </c>
      <c r="H269" s="23">
        <v>0</v>
      </c>
      <c r="I269" s="24"/>
      <c r="J269" s="28"/>
      <c r="K269" s="28"/>
      <c r="L269" s="24"/>
      <c r="U269" s="27"/>
      <c r="V269" s="27"/>
      <c r="W269" s="46">
        <v>0</v>
      </c>
      <c r="X269" s="73"/>
      <c r="Y269" s="27"/>
      <c r="Z269" s="27"/>
      <c r="AA269" s="27"/>
    </row>
    <row r="270" spans="1:30" s="25" customFormat="1" ht="15.75">
      <c r="A270" s="131" t="s">
        <v>685</v>
      </c>
      <c r="B270" s="27" t="s">
        <v>128</v>
      </c>
      <c r="C270" s="27" t="s">
        <v>330</v>
      </c>
      <c r="D270" s="28">
        <v>1</v>
      </c>
      <c r="E270" s="28">
        <f t="shared" si="12"/>
        <v>450</v>
      </c>
      <c r="F270" s="28">
        <v>450</v>
      </c>
      <c r="G270" s="23">
        <v>0</v>
      </c>
      <c r="H270" s="23">
        <v>0</v>
      </c>
      <c r="I270" s="24"/>
      <c r="J270" s="28"/>
      <c r="K270" s="28"/>
      <c r="L270" s="24"/>
      <c r="U270" s="27"/>
      <c r="V270" s="27"/>
      <c r="W270" s="46">
        <v>0</v>
      </c>
      <c r="X270" s="73"/>
      <c r="Y270" s="27"/>
      <c r="Z270" s="27"/>
      <c r="AA270" s="27"/>
    </row>
    <row r="271" spans="1:30" s="25" customFormat="1" ht="15.75">
      <c r="A271" s="131" t="s">
        <v>685</v>
      </c>
      <c r="B271" s="27" t="s">
        <v>129</v>
      </c>
      <c r="C271" s="27" t="s">
        <v>331</v>
      </c>
      <c r="D271" s="28">
        <v>1</v>
      </c>
      <c r="E271" s="28">
        <f t="shared" si="12"/>
        <v>1200</v>
      </c>
      <c r="F271" s="28">
        <v>1200</v>
      </c>
      <c r="G271" s="23">
        <v>0</v>
      </c>
      <c r="H271" s="23">
        <v>0</v>
      </c>
      <c r="I271" s="24"/>
      <c r="J271" s="28"/>
      <c r="K271" s="28"/>
      <c r="L271" s="24"/>
      <c r="U271" s="27"/>
      <c r="V271" s="27"/>
      <c r="W271" s="46">
        <v>0</v>
      </c>
      <c r="X271" s="73"/>
      <c r="Y271" s="27"/>
      <c r="Z271" s="27"/>
      <c r="AA271" s="27"/>
    </row>
    <row r="272" spans="1:30" s="25" customFormat="1" ht="15.75">
      <c r="A272" s="131" t="s">
        <v>685</v>
      </c>
      <c r="B272" s="27" t="s">
        <v>471</v>
      </c>
      <c r="C272" s="27" t="s">
        <v>326</v>
      </c>
      <c r="D272" s="28">
        <v>1</v>
      </c>
      <c r="E272" s="28">
        <f t="shared" si="12"/>
        <v>9548</v>
      </c>
      <c r="F272" s="28">
        <v>9548</v>
      </c>
      <c r="G272" s="23">
        <v>0</v>
      </c>
      <c r="H272" s="23">
        <v>0</v>
      </c>
      <c r="I272" s="24"/>
      <c r="J272" s="28"/>
      <c r="K272" s="28"/>
      <c r="L272" s="24"/>
      <c r="U272" s="27"/>
      <c r="V272" s="27"/>
      <c r="W272" s="46">
        <v>0</v>
      </c>
      <c r="X272" s="73"/>
      <c r="Y272" s="27"/>
      <c r="Z272" s="27"/>
      <c r="AA272" s="27"/>
    </row>
    <row r="273" spans="1:27" s="25" customFormat="1" ht="15.75">
      <c r="A273" s="131" t="s">
        <v>685</v>
      </c>
      <c r="B273" s="27" t="s">
        <v>130</v>
      </c>
      <c r="C273" s="27" t="s">
        <v>332</v>
      </c>
      <c r="D273" s="28">
        <v>3</v>
      </c>
      <c r="E273" s="28">
        <f t="shared" si="12"/>
        <v>141558.33333333334</v>
      </c>
      <c r="F273" s="28">
        <v>424675</v>
      </c>
      <c r="G273" s="23">
        <v>0</v>
      </c>
      <c r="H273" s="23">
        <v>0</v>
      </c>
      <c r="I273" s="24"/>
      <c r="J273" s="28"/>
      <c r="K273" s="28"/>
      <c r="L273" s="24"/>
      <c r="U273" s="27"/>
      <c r="V273" s="27"/>
      <c r="W273" s="46">
        <v>0</v>
      </c>
      <c r="X273" s="73"/>
      <c r="Y273" s="27"/>
      <c r="Z273" s="27"/>
      <c r="AA273" s="27"/>
    </row>
    <row r="274" spans="1:27" s="25" customFormat="1" ht="15.75">
      <c r="A274" s="132" t="s">
        <v>730</v>
      </c>
      <c r="B274" s="21" t="s">
        <v>686</v>
      </c>
      <c r="C274" s="29" t="s">
        <v>731</v>
      </c>
      <c r="D274" s="28"/>
      <c r="E274" s="28"/>
      <c r="F274" s="28"/>
      <c r="G274" s="28"/>
      <c r="H274" s="23"/>
      <c r="I274" s="24"/>
      <c r="J274" s="28"/>
      <c r="K274" s="28"/>
      <c r="L274" s="24"/>
      <c r="U274" s="27"/>
      <c r="V274" s="27"/>
      <c r="W274" s="73">
        <v>17</v>
      </c>
      <c r="X274" s="133" t="s">
        <v>775</v>
      </c>
      <c r="Y274" s="27"/>
      <c r="Z274" s="27"/>
      <c r="AA274" s="27"/>
    </row>
    <row r="275" spans="1:27" s="25" customFormat="1" ht="15.75">
      <c r="A275" s="132" t="s">
        <v>730</v>
      </c>
      <c r="B275" s="21" t="s">
        <v>687</v>
      </c>
      <c r="C275" s="29" t="s">
        <v>732</v>
      </c>
      <c r="D275" s="28"/>
      <c r="E275" s="28"/>
      <c r="F275" s="28"/>
      <c r="G275" s="28"/>
      <c r="H275" s="23"/>
      <c r="I275" s="24"/>
      <c r="J275" s="28"/>
      <c r="K275" s="28"/>
      <c r="L275" s="24"/>
      <c r="U275" s="27"/>
      <c r="V275" s="27"/>
      <c r="W275" s="73">
        <v>35</v>
      </c>
      <c r="X275" s="133" t="s">
        <v>776</v>
      </c>
      <c r="Y275" s="27"/>
      <c r="Z275" s="27"/>
      <c r="AA275" s="27"/>
    </row>
    <row r="276" spans="1:27" s="25" customFormat="1" ht="15.75">
      <c r="A276" s="132" t="s">
        <v>730</v>
      </c>
      <c r="B276" s="21" t="s">
        <v>688</v>
      </c>
      <c r="C276" s="29" t="s">
        <v>733</v>
      </c>
      <c r="D276" s="28"/>
      <c r="E276" s="28"/>
      <c r="F276" s="28"/>
      <c r="G276" s="28"/>
      <c r="H276" s="23"/>
      <c r="I276" s="24"/>
      <c r="J276" s="28"/>
      <c r="K276" s="28"/>
      <c r="L276" s="24"/>
      <c r="U276" s="27"/>
      <c r="V276" s="27"/>
      <c r="W276" s="73">
        <v>2</v>
      </c>
      <c r="X276" s="133" t="s">
        <v>568</v>
      </c>
      <c r="Y276" s="27"/>
      <c r="Z276" s="27"/>
      <c r="AA276" s="27"/>
    </row>
    <row r="277" spans="1:27" s="25" customFormat="1" ht="15.75">
      <c r="A277" s="132" t="s">
        <v>730</v>
      </c>
      <c r="B277" s="21" t="s">
        <v>689</v>
      </c>
      <c r="C277" s="29" t="s">
        <v>734</v>
      </c>
      <c r="D277" s="28"/>
      <c r="E277" s="28"/>
      <c r="F277" s="28"/>
      <c r="G277" s="28"/>
      <c r="H277" s="23"/>
      <c r="I277" s="24"/>
      <c r="J277" s="28"/>
      <c r="K277" s="28"/>
      <c r="L277" s="24"/>
      <c r="U277" s="27"/>
      <c r="V277" s="27"/>
      <c r="W277" s="73">
        <v>1</v>
      </c>
      <c r="X277" s="133" t="s">
        <v>777</v>
      </c>
      <c r="Y277" s="27"/>
      <c r="Z277" s="27"/>
      <c r="AA277" s="27"/>
    </row>
    <row r="278" spans="1:27" s="25" customFormat="1" ht="15.75">
      <c r="A278" s="132" t="s">
        <v>730</v>
      </c>
      <c r="B278" s="21" t="s">
        <v>690</v>
      </c>
      <c r="C278" s="29" t="s">
        <v>735</v>
      </c>
      <c r="D278" s="28"/>
      <c r="E278" s="28"/>
      <c r="F278" s="28"/>
      <c r="G278" s="28"/>
      <c r="H278" s="23"/>
      <c r="I278" s="24"/>
      <c r="J278" s="28"/>
      <c r="K278" s="28"/>
      <c r="L278" s="24"/>
      <c r="U278" s="27"/>
      <c r="V278" s="27"/>
      <c r="W278" s="73">
        <v>1</v>
      </c>
      <c r="X278" s="133" t="s">
        <v>777</v>
      </c>
      <c r="Y278" s="27"/>
      <c r="Z278" s="27"/>
      <c r="AA278" s="27"/>
    </row>
    <row r="279" spans="1:27" s="25" customFormat="1" ht="15.75">
      <c r="A279" s="132" t="s">
        <v>730</v>
      </c>
      <c r="B279" s="21" t="s">
        <v>691</v>
      </c>
      <c r="C279" s="29" t="s">
        <v>736</v>
      </c>
      <c r="D279" s="28"/>
      <c r="E279" s="28"/>
      <c r="F279" s="28"/>
      <c r="G279" s="28"/>
      <c r="H279" s="23"/>
      <c r="I279" s="24"/>
      <c r="J279" s="28"/>
      <c r="K279" s="28"/>
      <c r="L279" s="24"/>
      <c r="U279" s="27"/>
      <c r="V279" s="27"/>
      <c r="W279" s="73">
        <v>13</v>
      </c>
      <c r="X279" s="133" t="s">
        <v>775</v>
      </c>
      <c r="Y279" s="27"/>
      <c r="Z279" s="27"/>
      <c r="AA279" s="27"/>
    </row>
    <row r="280" spans="1:27" s="25" customFormat="1" ht="15.75">
      <c r="A280" s="132" t="s">
        <v>730</v>
      </c>
      <c r="B280" s="21" t="s">
        <v>692</v>
      </c>
      <c r="C280" s="29" t="s">
        <v>737</v>
      </c>
      <c r="D280" s="28"/>
      <c r="E280" s="28"/>
      <c r="F280" s="28"/>
      <c r="G280" s="28"/>
      <c r="H280" s="23"/>
      <c r="I280" s="24"/>
      <c r="J280" s="28"/>
      <c r="K280" s="28"/>
      <c r="L280" s="24"/>
      <c r="U280" s="27"/>
      <c r="V280" s="27"/>
      <c r="W280" s="73">
        <v>19</v>
      </c>
      <c r="X280" s="133" t="s">
        <v>775</v>
      </c>
      <c r="Y280" s="27"/>
      <c r="Z280" s="27"/>
      <c r="AA280" s="27"/>
    </row>
    <row r="281" spans="1:27" s="25" customFormat="1" ht="15.75">
      <c r="A281" s="132" t="s">
        <v>730</v>
      </c>
      <c r="B281" s="21" t="s">
        <v>693</v>
      </c>
      <c r="C281" s="29" t="s">
        <v>738</v>
      </c>
      <c r="D281" s="28"/>
      <c r="E281" s="28"/>
      <c r="F281" s="28"/>
      <c r="G281" s="28"/>
      <c r="H281" s="23"/>
      <c r="I281" s="24"/>
      <c r="J281" s="28"/>
      <c r="K281" s="28"/>
      <c r="L281" s="24"/>
      <c r="U281" s="27"/>
      <c r="V281" s="27"/>
      <c r="W281" s="73">
        <v>1</v>
      </c>
      <c r="X281" s="133" t="s">
        <v>775</v>
      </c>
      <c r="Y281" s="27"/>
      <c r="Z281" s="27"/>
      <c r="AA281" s="27"/>
    </row>
    <row r="282" spans="1:27" s="25" customFormat="1" ht="15.75">
      <c r="A282" s="132" t="s">
        <v>730</v>
      </c>
      <c r="B282" s="21" t="s">
        <v>694</v>
      </c>
      <c r="C282" s="29" t="s">
        <v>739</v>
      </c>
      <c r="D282" s="28"/>
      <c r="E282" s="28"/>
      <c r="F282" s="28"/>
      <c r="G282" s="28"/>
      <c r="H282" s="23"/>
      <c r="I282" s="24"/>
      <c r="J282" s="28"/>
      <c r="K282" s="28"/>
      <c r="L282" s="24"/>
      <c r="U282" s="27"/>
      <c r="V282" s="27"/>
      <c r="W282" s="73">
        <v>19</v>
      </c>
      <c r="X282" s="133" t="s">
        <v>775</v>
      </c>
      <c r="Y282" s="27"/>
      <c r="Z282" s="27"/>
      <c r="AA282" s="27"/>
    </row>
    <row r="283" spans="1:27" s="25" customFormat="1" ht="15.75">
      <c r="A283" s="132" t="s">
        <v>730</v>
      </c>
      <c r="B283" s="21" t="s">
        <v>695</v>
      </c>
      <c r="C283" s="29" t="s">
        <v>740</v>
      </c>
      <c r="D283" s="28"/>
      <c r="E283" s="28"/>
      <c r="F283" s="28"/>
      <c r="G283" s="28"/>
      <c r="H283" s="23"/>
      <c r="I283" s="24"/>
      <c r="J283" s="28"/>
      <c r="K283" s="28"/>
      <c r="L283" s="24"/>
      <c r="U283" s="27"/>
      <c r="V283" s="27"/>
      <c r="W283" s="73">
        <v>2</v>
      </c>
      <c r="X283" s="133" t="s">
        <v>775</v>
      </c>
      <c r="Y283" s="27"/>
      <c r="Z283" s="27"/>
      <c r="AA283" s="27"/>
    </row>
    <row r="284" spans="1:27" s="25" customFormat="1" ht="15.75">
      <c r="A284" s="132" t="s">
        <v>730</v>
      </c>
      <c r="B284" s="21" t="s">
        <v>696</v>
      </c>
      <c r="C284" s="29" t="s">
        <v>741</v>
      </c>
      <c r="D284" s="28"/>
      <c r="E284" s="28"/>
      <c r="F284" s="28"/>
      <c r="G284" s="28"/>
      <c r="H284" s="23"/>
      <c r="I284" s="24"/>
      <c r="J284" s="28"/>
      <c r="K284" s="28"/>
      <c r="L284" s="24"/>
      <c r="U284" s="27"/>
      <c r="V284" s="27"/>
      <c r="W284" s="73">
        <v>2</v>
      </c>
      <c r="X284" s="133" t="s">
        <v>775</v>
      </c>
      <c r="Y284" s="27"/>
      <c r="Z284" s="27"/>
      <c r="AA284" s="27"/>
    </row>
    <row r="285" spans="1:27" s="25" customFormat="1" ht="15.75">
      <c r="A285" s="132" t="s">
        <v>730</v>
      </c>
      <c r="B285" s="21" t="s">
        <v>697</v>
      </c>
      <c r="C285" s="29" t="s">
        <v>742</v>
      </c>
      <c r="D285" s="28"/>
      <c r="E285" s="28"/>
      <c r="F285" s="28"/>
      <c r="G285" s="28"/>
      <c r="H285" s="23"/>
      <c r="I285" s="24"/>
      <c r="J285" s="28"/>
      <c r="K285" s="28"/>
      <c r="L285" s="24"/>
      <c r="U285" s="27"/>
      <c r="V285" s="27"/>
      <c r="W285" s="73">
        <v>10</v>
      </c>
      <c r="X285" s="133" t="s">
        <v>775</v>
      </c>
      <c r="Y285" s="27"/>
      <c r="Z285" s="27"/>
      <c r="AA285" s="27"/>
    </row>
    <row r="286" spans="1:27" s="25" customFormat="1" ht="15.75">
      <c r="A286" s="132" t="s">
        <v>730</v>
      </c>
      <c r="B286" s="21" t="s">
        <v>698</v>
      </c>
      <c r="C286" s="29" t="s">
        <v>743</v>
      </c>
      <c r="D286" s="28"/>
      <c r="E286" s="28"/>
      <c r="F286" s="28"/>
      <c r="G286" s="28"/>
      <c r="H286" s="23"/>
      <c r="I286" s="24"/>
      <c r="J286" s="28"/>
      <c r="K286" s="28"/>
      <c r="L286" s="24"/>
      <c r="U286" s="27"/>
      <c r="V286" s="27"/>
      <c r="W286" s="73">
        <v>1</v>
      </c>
      <c r="X286" s="133" t="s">
        <v>775</v>
      </c>
      <c r="Y286" s="27"/>
      <c r="Z286" s="27"/>
      <c r="AA286" s="27"/>
    </row>
    <row r="287" spans="1:27" s="25" customFormat="1" ht="15.75">
      <c r="A287" s="132" t="s">
        <v>730</v>
      </c>
      <c r="B287" s="21" t="s">
        <v>699</v>
      </c>
      <c r="C287" s="29" t="s">
        <v>744</v>
      </c>
      <c r="D287" s="28"/>
      <c r="E287" s="28"/>
      <c r="F287" s="28"/>
      <c r="G287" s="28"/>
      <c r="H287" s="23"/>
      <c r="I287" s="24"/>
      <c r="J287" s="28"/>
      <c r="K287" s="28"/>
      <c r="L287" s="24"/>
      <c r="U287" s="27"/>
      <c r="V287" s="27"/>
      <c r="W287" s="73">
        <v>1</v>
      </c>
      <c r="X287" s="133" t="s">
        <v>775</v>
      </c>
      <c r="Y287" s="27"/>
      <c r="Z287" s="27"/>
      <c r="AA287" s="27"/>
    </row>
    <row r="288" spans="1:27" s="25" customFormat="1" ht="15.75">
      <c r="A288" s="132" t="s">
        <v>730</v>
      </c>
      <c r="B288" s="21" t="s">
        <v>700</v>
      </c>
      <c r="C288" s="29" t="s">
        <v>745</v>
      </c>
      <c r="D288" s="28"/>
      <c r="E288" s="28"/>
      <c r="F288" s="28"/>
      <c r="G288" s="28"/>
      <c r="H288" s="23"/>
      <c r="I288" s="24"/>
      <c r="J288" s="28"/>
      <c r="K288" s="28"/>
      <c r="L288" s="24"/>
      <c r="U288" s="27"/>
      <c r="V288" s="27"/>
      <c r="W288" s="73">
        <v>1</v>
      </c>
      <c r="X288" s="133" t="s">
        <v>775</v>
      </c>
      <c r="Y288" s="27"/>
      <c r="Z288" s="27"/>
      <c r="AA288" s="27"/>
    </row>
    <row r="289" spans="1:27" s="25" customFormat="1" ht="15.75">
      <c r="A289" s="132" t="s">
        <v>730</v>
      </c>
      <c r="B289" s="21" t="s">
        <v>701</v>
      </c>
      <c r="C289" s="29" t="s">
        <v>746</v>
      </c>
      <c r="D289" s="28"/>
      <c r="E289" s="28"/>
      <c r="F289" s="28"/>
      <c r="G289" s="28"/>
      <c r="H289" s="23"/>
      <c r="I289" s="24"/>
      <c r="J289" s="28"/>
      <c r="K289" s="28"/>
      <c r="L289" s="24"/>
      <c r="U289" s="27"/>
      <c r="V289" s="27"/>
      <c r="W289" s="73">
        <v>1</v>
      </c>
      <c r="X289" s="133" t="s">
        <v>775</v>
      </c>
      <c r="Y289" s="27"/>
      <c r="Z289" s="27"/>
      <c r="AA289" s="27"/>
    </row>
    <row r="290" spans="1:27" s="25" customFormat="1" ht="15.75">
      <c r="A290" s="132" t="s">
        <v>730</v>
      </c>
      <c r="B290" s="21" t="s">
        <v>702</v>
      </c>
      <c r="C290" s="29" t="s">
        <v>747</v>
      </c>
      <c r="D290" s="28"/>
      <c r="E290" s="28"/>
      <c r="F290" s="28"/>
      <c r="G290" s="28"/>
      <c r="H290" s="23"/>
      <c r="I290" s="24"/>
      <c r="J290" s="28"/>
      <c r="K290" s="28"/>
      <c r="L290" s="24"/>
      <c r="U290" s="27"/>
      <c r="V290" s="27"/>
      <c r="W290" s="73">
        <v>4</v>
      </c>
      <c r="X290" s="133" t="s">
        <v>775</v>
      </c>
      <c r="Y290" s="27"/>
      <c r="Z290" s="27"/>
      <c r="AA290" s="27"/>
    </row>
    <row r="291" spans="1:27" s="25" customFormat="1" ht="15.75">
      <c r="A291" s="132" t="s">
        <v>730</v>
      </c>
      <c r="B291" s="21" t="s">
        <v>703</v>
      </c>
      <c r="C291" s="29" t="s">
        <v>748</v>
      </c>
      <c r="D291" s="28"/>
      <c r="E291" s="28"/>
      <c r="F291" s="28"/>
      <c r="G291" s="28"/>
      <c r="H291" s="23"/>
      <c r="I291" s="24"/>
      <c r="J291" s="28"/>
      <c r="K291" s="28"/>
      <c r="L291" s="24"/>
      <c r="U291" s="27"/>
      <c r="V291" s="27"/>
      <c r="W291" s="73">
        <v>1</v>
      </c>
      <c r="X291" s="133" t="s">
        <v>775</v>
      </c>
      <c r="Y291" s="27"/>
      <c r="Z291" s="27"/>
      <c r="AA291" s="27"/>
    </row>
    <row r="292" spans="1:27" s="25" customFormat="1" ht="15.75">
      <c r="A292" s="132" t="s">
        <v>730</v>
      </c>
      <c r="B292" s="21" t="s">
        <v>704</v>
      </c>
      <c r="C292" s="29" t="s">
        <v>749</v>
      </c>
      <c r="D292" s="28"/>
      <c r="E292" s="28"/>
      <c r="F292" s="28"/>
      <c r="G292" s="28"/>
      <c r="H292" s="23"/>
      <c r="I292" s="24"/>
      <c r="J292" s="28"/>
      <c r="K292" s="28"/>
      <c r="L292" s="24"/>
      <c r="U292" s="27"/>
      <c r="V292" s="27"/>
      <c r="W292" s="73">
        <v>1</v>
      </c>
      <c r="X292" s="133" t="s">
        <v>775</v>
      </c>
      <c r="Y292" s="27"/>
      <c r="Z292" s="27"/>
      <c r="AA292" s="27"/>
    </row>
    <row r="293" spans="1:27" s="25" customFormat="1" ht="15.75">
      <c r="A293" s="132" t="s">
        <v>730</v>
      </c>
      <c r="B293" s="21" t="s">
        <v>705</v>
      </c>
      <c r="C293" s="29" t="s">
        <v>750</v>
      </c>
      <c r="D293" s="28"/>
      <c r="E293" s="28"/>
      <c r="F293" s="28"/>
      <c r="G293" s="28"/>
      <c r="H293" s="23"/>
      <c r="I293" s="24"/>
      <c r="J293" s="28"/>
      <c r="K293" s="28"/>
      <c r="L293" s="24"/>
      <c r="U293" s="27"/>
      <c r="V293" s="27"/>
      <c r="W293" s="73">
        <v>1</v>
      </c>
      <c r="X293" s="133" t="s">
        <v>777</v>
      </c>
      <c r="Y293" s="27"/>
      <c r="Z293" s="27"/>
      <c r="AA293" s="27"/>
    </row>
    <row r="294" spans="1:27" s="25" customFormat="1" ht="15.75">
      <c r="A294" s="132" t="s">
        <v>730</v>
      </c>
      <c r="B294" s="21" t="s">
        <v>706</v>
      </c>
      <c r="C294" s="29" t="s">
        <v>751</v>
      </c>
      <c r="D294" s="28"/>
      <c r="E294" s="28"/>
      <c r="F294" s="28"/>
      <c r="G294" s="28"/>
      <c r="H294" s="23"/>
      <c r="I294" s="24"/>
      <c r="J294" s="28"/>
      <c r="K294" s="28"/>
      <c r="L294" s="24"/>
      <c r="U294" s="27"/>
      <c r="V294" s="27"/>
      <c r="W294" s="73">
        <v>1</v>
      </c>
      <c r="X294" s="133" t="s">
        <v>778</v>
      </c>
      <c r="Y294" s="27"/>
      <c r="Z294" s="27"/>
      <c r="AA294" s="27"/>
    </row>
    <row r="295" spans="1:27" s="25" customFormat="1" ht="15.75">
      <c r="A295" s="132" t="s">
        <v>730</v>
      </c>
      <c r="B295" s="21" t="s">
        <v>707</v>
      </c>
      <c r="C295" s="29" t="s">
        <v>752</v>
      </c>
      <c r="D295" s="28"/>
      <c r="E295" s="28"/>
      <c r="F295" s="28"/>
      <c r="G295" s="28"/>
      <c r="H295" s="23"/>
      <c r="I295" s="24"/>
      <c r="J295" s="28"/>
      <c r="K295" s="28"/>
      <c r="L295" s="24"/>
      <c r="U295" s="27"/>
      <c r="V295" s="27"/>
      <c r="W295" s="73">
        <v>1</v>
      </c>
      <c r="X295" s="133" t="s">
        <v>778</v>
      </c>
      <c r="Y295" s="27"/>
      <c r="Z295" s="27"/>
      <c r="AA295" s="27"/>
    </row>
    <row r="296" spans="1:27" s="25" customFormat="1" ht="15.75">
      <c r="A296" s="132" t="s">
        <v>730</v>
      </c>
      <c r="B296" s="21" t="s">
        <v>708</v>
      </c>
      <c r="C296" s="29" t="s">
        <v>753</v>
      </c>
      <c r="D296" s="28"/>
      <c r="E296" s="28"/>
      <c r="F296" s="28"/>
      <c r="G296" s="28"/>
      <c r="H296" s="23"/>
      <c r="I296" s="24"/>
      <c r="J296" s="28"/>
      <c r="K296" s="28"/>
      <c r="L296" s="24"/>
      <c r="U296" s="27"/>
      <c r="V296" s="27"/>
      <c r="W296" s="73">
        <v>1</v>
      </c>
      <c r="X296" s="133"/>
      <c r="Y296" s="27"/>
      <c r="Z296" s="27"/>
      <c r="AA296" s="27"/>
    </row>
    <row r="297" spans="1:27" s="25" customFormat="1" ht="15.75">
      <c r="A297" s="132" t="s">
        <v>730</v>
      </c>
      <c r="B297" s="21" t="s">
        <v>709</v>
      </c>
      <c r="C297" s="29" t="s">
        <v>754</v>
      </c>
      <c r="D297" s="28"/>
      <c r="E297" s="28"/>
      <c r="F297" s="28"/>
      <c r="G297" s="28"/>
      <c r="H297" s="23"/>
      <c r="I297" s="24"/>
      <c r="J297" s="28"/>
      <c r="K297" s="28"/>
      <c r="L297" s="24"/>
      <c r="U297" s="27"/>
      <c r="V297" s="27"/>
      <c r="W297" s="73">
        <v>2</v>
      </c>
      <c r="X297" s="133" t="s">
        <v>779</v>
      </c>
      <c r="Y297" s="27"/>
      <c r="Z297" s="27"/>
      <c r="AA297" s="27"/>
    </row>
    <row r="298" spans="1:27" s="25" customFormat="1" ht="15.75">
      <c r="A298" s="132" t="s">
        <v>730</v>
      </c>
      <c r="B298" s="21" t="s">
        <v>710</v>
      </c>
      <c r="C298" s="29" t="s">
        <v>755</v>
      </c>
      <c r="D298" s="28"/>
      <c r="E298" s="28"/>
      <c r="F298" s="28"/>
      <c r="G298" s="28"/>
      <c r="H298" s="23"/>
      <c r="I298" s="24"/>
      <c r="J298" s="28"/>
      <c r="K298" s="28"/>
      <c r="L298" s="24"/>
      <c r="U298" s="27"/>
      <c r="V298" s="27"/>
      <c r="W298" s="73">
        <v>1</v>
      </c>
      <c r="X298" s="133" t="s">
        <v>780</v>
      </c>
      <c r="Y298" s="27"/>
      <c r="Z298" s="27"/>
      <c r="AA298" s="27"/>
    </row>
    <row r="299" spans="1:27" s="25" customFormat="1" ht="15.75">
      <c r="A299" s="132" t="s">
        <v>730</v>
      </c>
      <c r="B299" s="21" t="s">
        <v>711</v>
      </c>
      <c r="C299" s="29" t="s">
        <v>756</v>
      </c>
      <c r="D299" s="28"/>
      <c r="E299" s="28"/>
      <c r="F299" s="28"/>
      <c r="G299" s="28"/>
      <c r="H299" s="23"/>
      <c r="I299" s="24"/>
      <c r="J299" s="28"/>
      <c r="K299" s="28"/>
      <c r="L299" s="24"/>
      <c r="U299" s="27"/>
      <c r="V299" s="27"/>
      <c r="W299" s="73">
        <v>1</v>
      </c>
      <c r="X299" s="133" t="s">
        <v>781</v>
      </c>
      <c r="Y299" s="27"/>
      <c r="Z299" s="27"/>
      <c r="AA299" s="27"/>
    </row>
    <row r="300" spans="1:27" s="25" customFormat="1" ht="15.75">
      <c r="A300" s="132" t="s">
        <v>730</v>
      </c>
      <c r="B300" s="21" t="s">
        <v>712</v>
      </c>
      <c r="C300" s="29" t="s">
        <v>757</v>
      </c>
      <c r="D300" s="28"/>
      <c r="E300" s="28"/>
      <c r="F300" s="28"/>
      <c r="G300" s="28"/>
      <c r="H300" s="23"/>
      <c r="I300" s="24"/>
      <c r="J300" s="28"/>
      <c r="K300" s="28"/>
      <c r="L300" s="24"/>
      <c r="U300" s="27"/>
      <c r="V300" s="27"/>
      <c r="W300" s="73">
        <v>2</v>
      </c>
      <c r="X300" s="133" t="s">
        <v>779</v>
      </c>
      <c r="Y300" s="27"/>
      <c r="Z300" s="27"/>
      <c r="AA300" s="27"/>
    </row>
    <row r="301" spans="1:27" s="25" customFormat="1" ht="15.75">
      <c r="A301" s="132" t="s">
        <v>730</v>
      </c>
      <c r="B301" s="21" t="s">
        <v>713</v>
      </c>
      <c r="C301" s="29" t="s">
        <v>758</v>
      </c>
      <c r="D301" s="28"/>
      <c r="E301" s="28"/>
      <c r="F301" s="28"/>
      <c r="G301" s="28"/>
      <c r="H301" s="23"/>
      <c r="I301" s="24"/>
      <c r="J301" s="28"/>
      <c r="K301" s="28"/>
      <c r="L301" s="24"/>
      <c r="U301" s="27"/>
      <c r="V301" s="27"/>
      <c r="W301" s="73">
        <v>1</v>
      </c>
      <c r="X301" s="133" t="s">
        <v>779</v>
      </c>
      <c r="Y301" s="27"/>
      <c r="Z301" s="27"/>
      <c r="AA301" s="27"/>
    </row>
    <row r="302" spans="1:27" s="25" customFormat="1" ht="15.75">
      <c r="A302" s="132" t="s">
        <v>730</v>
      </c>
      <c r="B302" s="21" t="s">
        <v>714</v>
      </c>
      <c r="C302" s="29" t="s">
        <v>759</v>
      </c>
      <c r="D302" s="28"/>
      <c r="E302" s="28"/>
      <c r="F302" s="28"/>
      <c r="G302" s="28"/>
      <c r="H302" s="23"/>
      <c r="I302" s="24"/>
      <c r="J302" s="28"/>
      <c r="K302" s="28"/>
      <c r="L302" s="24"/>
      <c r="U302" s="27"/>
      <c r="V302" s="27"/>
      <c r="W302" s="73">
        <v>1</v>
      </c>
      <c r="X302" s="133"/>
      <c r="Y302" s="27"/>
      <c r="Z302" s="27"/>
      <c r="AA302" s="27"/>
    </row>
    <row r="303" spans="1:27" s="25" customFormat="1" ht="15.75">
      <c r="A303" s="132" t="s">
        <v>730</v>
      </c>
      <c r="B303" s="21" t="s">
        <v>715</v>
      </c>
      <c r="C303" s="29" t="s">
        <v>760</v>
      </c>
      <c r="D303" s="28"/>
      <c r="E303" s="28"/>
      <c r="F303" s="28"/>
      <c r="G303" s="28"/>
      <c r="H303" s="23"/>
      <c r="I303" s="24"/>
      <c r="J303" s="28"/>
      <c r="K303" s="28"/>
      <c r="L303" s="24"/>
      <c r="U303" s="27"/>
      <c r="V303" s="27"/>
      <c r="W303" s="73">
        <v>3</v>
      </c>
      <c r="X303" s="133" t="s">
        <v>778</v>
      </c>
      <c r="Y303" s="27"/>
      <c r="Z303" s="27"/>
      <c r="AA303" s="27"/>
    </row>
    <row r="304" spans="1:27" s="25" customFormat="1" ht="15.75">
      <c r="A304" s="132" t="s">
        <v>730</v>
      </c>
      <c r="B304" s="21" t="s">
        <v>716</v>
      </c>
      <c r="C304" s="29" t="s">
        <v>761</v>
      </c>
      <c r="D304" s="28"/>
      <c r="E304" s="28"/>
      <c r="F304" s="28"/>
      <c r="G304" s="28"/>
      <c r="H304" s="23"/>
      <c r="I304" s="24"/>
      <c r="J304" s="28"/>
      <c r="K304" s="28"/>
      <c r="L304" s="24"/>
      <c r="U304" s="27"/>
      <c r="V304" s="27"/>
      <c r="W304" s="73">
        <v>1</v>
      </c>
      <c r="X304" s="133"/>
      <c r="Y304" s="27"/>
      <c r="Z304" s="27"/>
      <c r="AA304" s="27"/>
    </row>
    <row r="305" spans="1:27" s="25" customFormat="1" ht="15.75">
      <c r="A305" s="132" t="s">
        <v>730</v>
      </c>
      <c r="B305" s="21" t="s">
        <v>717</v>
      </c>
      <c r="C305" s="29" t="s">
        <v>762</v>
      </c>
      <c r="D305" s="28"/>
      <c r="E305" s="28"/>
      <c r="F305" s="28"/>
      <c r="G305" s="28"/>
      <c r="H305" s="23"/>
      <c r="I305" s="24"/>
      <c r="J305" s="28"/>
      <c r="K305" s="28"/>
      <c r="L305" s="24"/>
      <c r="U305" s="27"/>
      <c r="V305" s="27"/>
      <c r="W305" s="73">
        <v>6</v>
      </c>
      <c r="X305" s="133" t="s">
        <v>780</v>
      </c>
      <c r="Y305" s="27"/>
      <c r="Z305" s="27"/>
      <c r="AA305" s="27"/>
    </row>
    <row r="306" spans="1:27" s="25" customFormat="1" ht="15.75">
      <c r="A306" s="132" t="s">
        <v>730</v>
      </c>
      <c r="B306" s="21" t="s">
        <v>718</v>
      </c>
      <c r="C306" s="29" t="s">
        <v>763</v>
      </c>
      <c r="D306" s="28"/>
      <c r="E306" s="28"/>
      <c r="F306" s="28"/>
      <c r="G306" s="28"/>
      <c r="H306" s="23"/>
      <c r="I306" s="24"/>
      <c r="J306" s="28"/>
      <c r="K306" s="28"/>
      <c r="L306" s="24"/>
      <c r="U306" s="27"/>
      <c r="V306" s="27"/>
      <c r="W306" s="73">
        <v>2</v>
      </c>
      <c r="X306" s="133" t="s">
        <v>780</v>
      </c>
      <c r="Y306" s="27"/>
      <c r="Z306" s="27"/>
      <c r="AA306" s="27"/>
    </row>
    <row r="307" spans="1:27" s="25" customFormat="1" ht="15.75">
      <c r="A307" s="132" t="s">
        <v>730</v>
      </c>
      <c r="B307" s="21" t="s">
        <v>719</v>
      </c>
      <c r="C307" s="29" t="s">
        <v>764</v>
      </c>
      <c r="D307" s="28"/>
      <c r="E307" s="28"/>
      <c r="F307" s="28"/>
      <c r="G307" s="28"/>
      <c r="H307" s="23"/>
      <c r="I307" s="24"/>
      <c r="J307" s="28"/>
      <c r="K307" s="28"/>
      <c r="L307" s="24"/>
      <c r="U307" s="27"/>
      <c r="V307" s="27"/>
      <c r="W307" s="73">
        <v>3</v>
      </c>
      <c r="X307" s="133" t="s">
        <v>782</v>
      </c>
      <c r="Y307" s="27"/>
      <c r="Z307" s="27"/>
      <c r="AA307" s="27"/>
    </row>
    <row r="308" spans="1:27" s="25" customFormat="1" ht="15.75">
      <c r="A308" s="132" t="s">
        <v>730</v>
      </c>
      <c r="B308" s="21" t="s">
        <v>720</v>
      </c>
      <c r="C308" s="29" t="s">
        <v>765</v>
      </c>
      <c r="D308" s="28"/>
      <c r="E308" s="28"/>
      <c r="F308" s="28"/>
      <c r="G308" s="28"/>
      <c r="H308" s="23"/>
      <c r="I308" s="24"/>
      <c r="J308" s="28"/>
      <c r="K308" s="28"/>
      <c r="L308" s="24"/>
      <c r="U308" s="27"/>
      <c r="V308" s="27"/>
      <c r="W308" s="73">
        <v>2</v>
      </c>
      <c r="X308" s="133" t="s">
        <v>782</v>
      </c>
      <c r="Y308" s="27"/>
      <c r="Z308" s="27"/>
      <c r="AA308" s="27"/>
    </row>
    <row r="309" spans="1:27" s="25" customFormat="1" ht="15.75">
      <c r="A309" s="132" t="s">
        <v>730</v>
      </c>
      <c r="B309" s="21" t="s">
        <v>721</v>
      </c>
      <c r="C309" s="29" t="s">
        <v>766</v>
      </c>
      <c r="D309" s="28"/>
      <c r="E309" s="28"/>
      <c r="F309" s="28"/>
      <c r="G309" s="28"/>
      <c r="H309" s="23"/>
      <c r="I309" s="24"/>
      <c r="J309" s="28"/>
      <c r="K309" s="28"/>
      <c r="L309" s="24"/>
      <c r="U309" s="27"/>
      <c r="V309" s="27"/>
      <c r="W309" s="73">
        <v>2</v>
      </c>
      <c r="X309" s="133" t="s">
        <v>782</v>
      </c>
      <c r="Y309" s="27"/>
      <c r="Z309" s="27"/>
      <c r="AA309" s="27"/>
    </row>
    <row r="310" spans="1:27" s="25" customFormat="1" ht="15.75">
      <c r="A310" s="132" t="s">
        <v>730</v>
      </c>
      <c r="B310" s="21" t="s">
        <v>722</v>
      </c>
      <c r="C310" s="29" t="s">
        <v>767</v>
      </c>
      <c r="D310" s="28"/>
      <c r="E310" s="28"/>
      <c r="F310" s="28"/>
      <c r="G310" s="28"/>
      <c r="H310" s="23"/>
      <c r="I310" s="24"/>
      <c r="J310" s="28"/>
      <c r="K310" s="28"/>
      <c r="L310" s="24"/>
      <c r="U310" s="27"/>
      <c r="V310" s="27"/>
      <c r="W310" s="73">
        <v>1</v>
      </c>
      <c r="X310" s="133" t="s">
        <v>782</v>
      </c>
      <c r="Y310" s="27"/>
      <c r="Z310" s="27"/>
      <c r="AA310" s="27"/>
    </row>
    <row r="311" spans="1:27" s="25" customFormat="1" ht="15.75">
      <c r="A311" s="132" t="s">
        <v>730</v>
      </c>
      <c r="B311" s="21" t="s">
        <v>723</v>
      </c>
      <c r="C311" s="29" t="s">
        <v>768</v>
      </c>
      <c r="D311" s="28"/>
      <c r="E311" s="28"/>
      <c r="F311" s="28"/>
      <c r="G311" s="28"/>
      <c r="H311" s="23"/>
      <c r="I311" s="24"/>
      <c r="J311" s="28"/>
      <c r="K311" s="28"/>
      <c r="L311" s="24"/>
      <c r="U311" s="27"/>
      <c r="V311" s="27"/>
      <c r="W311" s="73">
        <v>2</v>
      </c>
      <c r="X311" s="133" t="s">
        <v>783</v>
      </c>
      <c r="Y311" s="27"/>
      <c r="Z311" s="27"/>
      <c r="AA311" s="27"/>
    </row>
    <row r="312" spans="1:27" s="25" customFormat="1" ht="15.75">
      <c r="A312" s="132" t="s">
        <v>730</v>
      </c>
      <c r="B312" s="21" t="s">
        <v>724</v>
      </c>
      <c r="C312" s="29" t="s">
        <v>769</v>
      </c>
      <c r="D312" s="28"/>
      <c r="E312" s="28"/>
      <c r="F312" s="28"/>
      <c r="G312" s="28"/>
      <c r="H312" s="23"/>
      <c r="I312" s="24"/>
      <c r="J312" s="28"/>
      <c r="K312" s="28"/>
      <c r="L312" s="24"/>
      <c r="U312" s="27"/>
      <c r="V312" s="27"/>
      <c r="W312" s="73">
        <v>1</v>
      </c>
      <c r="X312" s="133" t="s">
        <v>784</v>
      </c>
      <c r="Y312" s="27"/>
      <c r="Z312" s="27"/>
      <c r="AA312" s="27"/>
    </row>
    <row r="313" spans="1:27" s="25" customFormat="1" ht="15.75">
      <c r="A313" s="132" t="s">
        <v>730</v>
      </c>
      <c r="B313" s="21" t="s">
        <v>725</v>
      </c>
      <c r="C313" s="29" t="s">
        <v>770</v>
      </c>
      <c r="D313" s="28"/>
      <c r="E313" s="28"/>
      <c r="F313" s="28"/>
      <c r="G313" s="28"/>
      <c r="H313" s="23"/>
      <c r="I313" s="24"/>
      <c r="J313" s="28"/>
      <c r="K313" s="28"/>
      <c r="L313" s="24"/>
      <c r="U313" s="27"/>
      <c r="V313" s="27"/>
      <c r="W313" s="73">
        <v>1</v>
      </c>
      <c r="X313" s="133" t="s">
        <v>784</v>
      </c>
      <c r="Y313" s="27"/>
      <c r="Z313" s="27"/>
      <c r="AA313" s="27"/>
    </row>
    <row r="314" spans="1:27" s="25" customFormat="1" ht="15.75">
      <c r="A314" s="132" t="s">
        <v>730</v>
      </c>
      <c r="B314" s="21" t="s">
        <v>726</v>
      </c>
      <c r="C314" s="29" t="s">
        <v>771</v>
      </c>
      <c r="D314" s="28"/>
      <c r="E314" s="28"/>
      <c r="F314" s="28"/>
      <c r="G314" s="28"/>
      <c r="H314" s="23"/>
      <c r="I314" s="24"/>
      <c r="J314" s="28"/>
      <c r="K314" s="28"/>
      <c r="L314" s="24"/>
      <c r="U314" s="27"/>
      <c r="V314" s="27"/>
      <c r="W314" s="73">
        <v>5</v>
      </c>
      <c r="X314" s="133" t="s">
        <v>785</v>
      </c>
      <c r="Y314" s="27"/>
      <c r="Z314" s="27"/>
      <c r="AA314" s="27"/>
    </row>
    <row r="315" spans="1:27" s="25" customFormat="1" ht="15.75">
      <c r="A315" s="132" t="s">
        <v>730</v>
      </c>
      <c r="B315" s="21" t="s">
        <v>727</v>
      </c>
      <c r="C315" s="29" t="s">
        <v>772</v>
      </c>
      <c r="D315" s="28"/>
      <c r="E315" s="28"/>
      <c r="F315" s="28"/>
      <c r="G315" s="28"/>
      <c r="H315" s="23"/>
      <c r="I315" s="24"/>
      <c r="J315" s="28"/>
      <c r="K315" s="28"/>
      <c r="L315" s="24"/>
      <c r="U315" s="27"/>
      <c r="V315" s="27"/>
      <c r="W315" s="73">
        <v>5</v>
      </c>
      <c r="X315" s="133" t="s">
        <v>785</v>
      </c>
      <c r="Y315" s="27"/>
      <c r="Z315" s="27"/>
      <c r="AA315" s="27"/>
    </row>
    <row r="316" spans="1:27" s="25" customFormat="1" ht="15.75">
      <c r="A316" s="132" t="s">
        <v>730</v>
      </c>
      <c r="B316" s="21" t="s">
        <v>728</v>
      </c>
      <c r="C316" s="29" t="s">
        <v>773</v>
      </c>
      <c r="D316" s="28"/>
      <c r="E316" s="28"/>
      <c r="F316" s="28"/>
      <c r="G316" s="28"/>
      <c r="H316" s="23"/>
      <c r="I316" s="24"/>
      <c r="J316" s="28"/>
      <c r="K316" s="28"/>
      <c r="L316" s="24"/>
      <c r="U316" s="27"/>
      <c r="V316" s="27"/>
      <c r="W316" s="73">
        <v>92</v>
      </c>
      <c r="X316" s="133" t="s">
        <v>785</v>
      </c>
      <c r="Y316" s="27"/>
      <c r="Z316" s="27"/>
      <c r="AA316" s="27"/>
    </row>
    <row r="317" spans="1:27" s="25" customFormat="1" ht="31.5">
      <c r="A317" s="132" t="s">
        <v>730</v>
      </c>
      <c r="B317" s="21" t="s">
        <v>729</v>
      </c>
      <c r="C317" s="29" t="s">
        <v>774</v>
      </c>
      <c r="D317" s="28"/>
      <c r="E317" s="28"/>
      <c r="F317" s="28"/>
      <c r="G317" s="28"/>
      <c r="H317" s="23"/>
      <c r="I317" s="24"/>
      <c r="J317" s="28"/>
      <c r="K317" s="28"/>
      <c r="L317" s="24"/>
      <c r="U317" s="27"/>
      <c r="V317" s="27"/>
      <c r="W317" s="73">
        <f>9+9+7</f>
        <v>25</v>
      </c>
      <c r="X317" s="133" t="s">
        <v>786</v>
      </c>
      <c r="Y317" s="27"/>
      <c r="Z317" s="27"/>
      <c r="AA317" s="27"/>
    </row>
    <row r="318" spans="1:27" s="25" customFormat="1" ht="15.75">
      <c r="B318" s="27"/>
      <c r="C318" s="27"/>
      <c r="D318" s="28"/>
      <c r="E318" s="28"/>
      <c r="F318" s="28"/>
      <c r="G318" s="28"/>
      <c r="H318" s="23"/>
      <c r="I318" s="24"/>
      <c r="J318" s="28"/>
      <c r="K318" s="28"/>
      <c r="L318" s="24"/>
      <c r="U318" s="27"/>
      <c r="V318" s="27"/>
      <c r="W318" s="46"/>
      <c r="X318" s="73"/>
      <c r="Y318" s="27"/>
      <c r="Z318" s="27"/>
      <c r="AA318" s="27"/>
    </row>
    <row r="319" spans="1:27" s="25" customFormat="1" ht="15.75">
      <c r="B319" s="27"/>
      <c r="C319" s="27"/>
      <c r="D319" s="28"/>
      <c r="E319" s="28"/>
      <c r="F319" s="28"/>
      <c r="G319" s="28"/>
      <c r="H319" s="23"/>
      <c r="I319" s="24"/>
      <c r="J319" s="28"/>
      <c r="K319" s="28"/>
      <c r="L319" s="24"/>
      <c r="U319" s="27"/>
      <c r="V319" s="27"/>
      <c r="W319" s="46"/>
      <c r="X319" s="73"/>
      <c r="Y319" s="27"/>
      <c r="Z319" s="27"/>
      <c r="AA319" s="27"/>
    </row>
    <row r="320" spans="1:27" s="25" customFormat="1" ht="15.75">
      <c r="B320" s="27"/>
      <c r="C320" s="27"/>
      <c r="D320" s="28"/>
      <c r="E320" s="28"/>
      <c r="F320" s="28"/>
      <c r="G320" s="28"/>
      <c r="H320" s="23"/>
      <c r="I320" s="24"/>
      <c r="J320" s="28"/>
      <c r="K320" s="28"/>
      <c r="L320" s="24"/>
      <c r="U320" s="27"/>
      <c r="V320" s="27"/>
      <c r="W320" s="46"/>
      <c r="X320" s="73"/>
      <c r="Y320" s="27"/>
      <c r="Z320" s="27"/>
      <c r="AA320" s="27"/>
    </row>
    <row r="321" spans="2:27" s="25" customFormat="1" ht="15.75">
      <c r="B321" s="27"/>
      <c r="C321" s="27"/>
      <c r="D321" s="28"/>
      <c r="E321" s="28"/>
      <c r="F321" s="28"/>
      <c r="G321" s="28"/>
      <c r="H321" s="23"/>
      <c r="I321" s="24"/>
      <c r="J321" s="28"/>
      <c r="K321" s="28"/>
      <c r="L321" s="24"/>
      <c r="U321" s="27"/>
      <c r="V321" s="27"/>
      <c r="W321" s="46"/>
      <c r="X321" s="73"/>
      <c r="Y321" s="27"/>
      <c r="Z321" s="27"/>
      <c r="AA321" s="27"/>
    </row>
    <row r="322" spans="2:27" s="25" customFormat="1" ht="15.75">
      <c r="B322" s="27"/>
      <c r="C322" s="27"/>
      <c r="D322" s="28"/>
      <c r="E322" s="28"/>
      <c r="F322" s="28"/>
      <c r="G322" s="28"/>
      <c r="H322" s="23"/>
      <c r="I322" s="24"/>
      <c r="J322" s="28"/>
      <c r="K322" s="28"/>
      <c r="L322" s="24"/>
      <c r="U322" s="27"/>
      <c r="V322" s="27"/>
      <c r="W322" s="46"/>
      <c r="X322" s="73"/>
      <c r="Y322" s="27"/>
      <c r="Z322" s="27"/>
      <c r="AA322" s="27"/>
    </row>
    <row r="323" spans="2:27" s="25" customFormat="1" ht="15.75">
      <c r="B323" s="27"/>
      <c r="C323" s="27"/>
      <c r="D323" s="28"/>
      <c r="E323" s="28"/>
      <c r="F323" s="28"/>
      <c r="G323" s="28"/>
      <c r="H323" s="23"/>
      <c r="I323" s="24"/>
      <c r="J323" s="28"/>
      <c r="K323" s="28"/>
      <c r="L323" s="24"/>
      <c r="U323" s="27"/>
      <c r="V323" s="27"/>
      <c r="W323" s="46"/>
      <c r="X323" s="73"/>
      <c r="Y323" s="27"/>
      <c r="Z323" s="27"/>
      <c r="AA323" s="27"/>
    </row>
    <row r="324" spans="2:27" s="25" customFormat="1" ht="15.75">
      <c r="B324" s="27"/>
      <c r="C324" s="27"/>
      <c r="D324" s="28"/>
      <c r="E324" s="28"/>
      <c r="F324" s="28"/>
      <c r="G324" s="28"/>
      <c r="H324" s="23"/>
      <c r="I324" s="24"/>
      <c r="J324" s="28"/>
      <c r="K324" s="28"/>
      <c r="L324" s="24"/>
      <c r="U324" s="27"/>
      <c r="V324" s="27"/>
      <c r="W324" s="46"/>
      <c r="X324" s="73"/>
      <c r="Y324" s="27"/>
      <c r="Z324" s="27"/>
      <c r="AA324" s="27"/>
    </row>
    <row r="325" spans="2:27" s="25" customFormat="1" ht="15.75">
      <c r="B325" s="27"/>
      <c r="C325" s="27"/>
      <c r="D325" s="28"/>
      <c r="E325" s="28"/>
      <c r="F325" s="28"/>
      <c r="G325" s="28"/>
      <c r="H325" s="23"/>
      <c r="I325" s="24"/>
      <c r="J325" s="28"/>
      <c r="K325" s="28"/>
      <c r="L325" s="24"/>
      <c r="U325" s="27"/>
      <c r="V325" s="27"/>
      <c r="W325" s="46"/>
      <c r="X325" s="73"/>
      <c r="Y325" s="27"/>
      <c r="Z325" s="27"/>
      <c r="AA325" s="27"/>
    </row>
    <row r="326" spans="2:27" s="25" customFormat="1" ht="15.75">
      <c r="B326" s="27"/>
      <c r="C326" s="27"/>
      <c r="D326" s="28"/>
      <c r="E326" s="28"/>
      <c r="F326" s="28"/>
      <c r="G326" s="28"/>
      <c r="H326" s="23"/>
      <c r="I326" s="24"/>
      <c r="J326" s="28"/>
      <c r="K326" s="28"/>
      <c r="L326" s="24"/>
      <c r="U326" s="27"/>
      <c r="V326" s="27"/>
      <c r="W326" s="46"/>
      <c r="X326" s="73"/>
      <c r="Y326" s="27"/>
      <c r="Z326" s="27"/>
      <c r="AA326" s="27"/>
    </row>
    <row r="327" spans="2:27" s="25" customFormat="1" ht="15.75">
      <c r="B327" s="27"/>
      <c r="C327" s="27"/>
      <c r="D327" s="28"/>
      <c r="E327" s="28"/>
      <c r="F327" s="28"/>
      <c r="G327" s="28"/>
      <c r="H327" s="23"/>
      <c r="I327" s="24"/>
      <c r="J327" s="28"/>
      <c r="K327" s="28"/>
      <c r="L327" s="24"/>
      <c r="U327" s="27"/>
      <c r="V327" s="27"/>
      <c r="W327" s="46"/>
      <c r="X327" s="73"/>
      <c r="Y327" s="27"/>
      <c r="Z327" s="27"/>
      <c r="AA327" s="27"/>
    </row>
    <row r="328" spans="2:27" s="25" customFormat="1" ht="15.75">
      <c r="B328" s="27"/>
      <c r="C328" s="27"/>
      <c r="D328" s="28"/>
      <c r="E328" s="28"/>
      <c r="F328" s="28"/>
      <c r="G328" s="28"/>
      <c r="H328" s="23"/>
      <c r="I328" s="24"/>
      <c r="J328" s="28"/>
      <c r="K328" s="28"/>
      <c r="L328" s="24"/>
      <c r="U328" s="27"/>
      <c r="V328" s="27"/>
      <c r="W328" s="46"/>
      <c r="X328" s="73"/>
      <c r="Y328" s="27"/>
      <c r="Z328" s="27"/>
      <c r="AA328" s="27"/>
    </row>
    <row r="329" spans="2:27" s="25" customFormat="1" ht="15.75">
      <c r="B329" s="27"/>
      <c r="C329" s="27"/>
      <c r="D329" s="28"/>
      <c r="E329" s="28"/>
      <c r="F329" s="28"/>
      <c r="G329" s="28"/>
      <c r="H329" s="23"/>
      <c r="I329" s="24"/>
      <c r="J329" s="28"/>
      <c r="K329" s="28"/>
      <c r="L329" s="24"/>
      <c r="U329" s="27"/>
      <c r="V329" s="27"/>
      <c r="W329" s="46"/>
      <c r="X329" s="73"/>
      <c r="Y329" s="27"/>
      <c r="Z329" s="27"/>
      <c r="AA329" s="27"/>
    </row>
    <row r="330" spans="2:27" s="25" customFormat="1" ht="15.75">
      <c r="B330" s="27"/>
      <c r="C330" s="27"/>
      <c r="D330" s="28"/>
      <c r="E330" s="28"/>
      <c r="F330" s="28"/>
      <c r="G330" s="28"/>
      <c r="H330" s="23"/>
      <c r="I330" s="24"/>
      <c r="J330" s="28"/>
      <c r="K330" s="28"/>
      <c r="L330" s="24"/>
      <c r="U330" s="27"/>
      <c r="V330" s="27"/>
      <c r="W330" s="46"/>
      <c r="X330" s="73"/>
      <c r="Y330" s="27"/>
      <c r="Z330" s="27"/>
      <c r="AA330" s="27"/>
    </row>
    <row r="331" spans="2:27" s="25" customFormat="1" ht="15.75">
      <c r="B331" s="27"/>
      <c r="C331" s="27"/>
      <c r="D331" s="28"/>
      <c r="E331" s="28"/>
      <c r="F331" s="28"/>
      <c r="G331" s="28"/>
      <c r="H331" s="23"/>
      <c r="I331" s="24"/>
      <c r="J331" s="28"/>
      <c r="K331" s="28"/>
      <c r="L331" s="24"/>
      <c r="U331" s="27"/>
      <c r="V331" s="27"/>
      <c r="W331" s="46"/>
      <c r="X331" s="73"/>
      <c r="Y331" s="27"/>
      <c r="Z331" s="27"/>
      <c r="AA331" s="27"/>
    </row>
    <row r="332" spans="2:27" s="25" customFormat="1" ht="15.75">
      <c r="B332" s="27"/>
      <c r="C332" s="27"/>
      <c r="D332" s="28"/>
      <c r="E332" s="28"/>
      <c r="F332" s="28"/>
      <c r="G332" s="28"/>
      <c r="H332" s="23"/>
      <c r="I332" s="24"/>
      <c r="J332" s="28"/>
      <c r="K332" s="28"/>
      <c r="L332" s="24"/>
      <c r="U332" s="27"/>
      <c r="V332" s="27"/>
      <c r="W332" s="46"/>
      <c r="X332" s="73"/>
      <c r="Y332" s="27"/>
      <c r="Z332" s="27"/>
      <c r="AA332" s="27"/>
    </row>
    <row r="333" spans="2:27" s="25" customFormat="1" ht="15.75">
      <c r="B333" s="27"/>
      <c r="C333" s="27"/>
      <c r="D333" s="28"/>
      <c r="E333" s="28"/>
      <c r="F333" s="28"/>
      <c r="G333" s="28"/>
      <c r="H333" s="23"/>
      <c r="I333" s="24"/>
      <c r="J333" s="28"/>
      <c r="K333" s="28"/>
      <c r="L333" s="24"/>
      <c r="U333" s="27"/>
      <c r="V333" s="27"/>
      <c r="W333" s="46"/>
      <c r="X333" s="73"/>
      <c r="Y333" s="27"/>
      <c r="Z333" s="27"/>
      <c r="AA333" s="27"/>
    </row>
    <row r="334" spans="2:27" s="25" customFormat="1" ht="15.75">
      <c r="B334" s="27"/>
      <c r="C334" s="27"/>
      <c r="D334" s="28"/>
      <c r="E334" s="28"/>
      <c r="F334" s="28"/>
      <c r="G334" s="28"/>
      <c r="H334" s="23"/>
      <c r="I334" s="24"/>
      <c r="J334" s="28"/>
      <c r="K334" s="28"/>
      <c r="L334" s="24"/>
      <c r="U334" s="27"/>
      <c r="V334" s="27"/>
      <c r="W334" s="46"/>
      <c r="X334" s="73"/>
      <c r="Y334" s="27"/>
      <c r="Z334" s="27"/>
      <c r="AA334" s="27"/>
    </row>
    <row r="335" spans="2:27" s="25" customFormat="1" ht="15.75">
      <c r="B335" s="27"/>
      <c r="C335" s="27"/>
      <c r="D335" s="28"/>
      <c r="E335" s="28"/>
      <c r="F335" s="28"/>
      <c r="G335" s="28"/>
      <c r="H335" s="23"/>
      <c r="I335" s="24"/>
      <c r="J335" s="28"/>
      <c r="K335" s="28"/>
      <c r="L335" s="24"/>
      <c r="U335" s="27"/>
      <c r="V335" s="27"/>
      <c r="W335" s="46"/>
      <c r="X335" s="73"/>
      <c r="Y335" s="27"/>
      <c r="Z335" s="27"/>
      <c r="AA335" s="27"/>
    </row>
    <row r="336" spans="2:27" s="25" customFormat="1" ht="15.75">
      <c r="B336" s="27"/>
      <c r="C336" s="27"/>
      <c r="D336" s="28"/>
      <c r="E336" s="28"/>
      <c r="F336" s="28"/>
      <c r="G336" s="28"/>
      <c r="H336" s="23"/>
      <c r="I336" s="24"/>
      <c r="J336" s="28"/>
      <c r="K336" s="28"/>
      <c r="L336" s="24"/>
      <c r="U336" s="27"/>
      <c r="V336" s="27"/>
      <c r="W336" s="46"/>
      <c r="X336" s="73"/>
      <c r="Y336" s="27"/>
      <c r="Z336" s="27"/>
      <c r="AA336" s="27"/>
    </row>
    <row r="337" spans="2:27" s="25" customFormat="1" ht="15.75">
      <c r="B337" s="27"/>
      <c r="C337" s="27"/>
      <c r="D337" s="28"/>
      <c r="E337" s="28"/>
      <c r="F337" s="28"/>
      <c r="G337" s="28"/>
      <c r="H337" s="23"/>
      <c r="I337" s="24"/>
      <c r="J337" s="28"/>
      <c r="K337" s="28"/>
      <c r="L337" s="24"/>
      <c r="U337" s="27"/>
      <c r="V337" s="27"/>
      <c r="W337" s="46"/>
      <c r="X337" s="73"/>
      <c r="Y337" s="27"/>
      <c r="Z337" s="27"/>
      <c r="AA337" s="27"/>
    </row>
    <row r="338" spans="2:27" s="25" customFormat="1" ht="15.75">
      <c r="B338" s="27"/>
      <c r="C338" s="27"/>
      <c r="D338" s="28"/>
      <c r="E338" s="28"/>
      <c r="F338" s="28"/>
      <c r="G338" s="28"/>
      <c r="H338" s="23"/>
      <c r="I338" s="24"/>
      <c r="J338" s="28"/>
      <c r="K338" s="28"/>
      <c r="L338" s="24"/>
      <c r="U338" s="27"/>
      <c r="V338" s="27"/>
      <c r="W338" s="46"/>
      <c r="X338" s="73"/>
      <c r="Y338" s="27"/>
      <c r="Z338" s="27"/>
      <c r="AA338" s="27"/>
    </row>
    <row r="339" spans="2:27" s="25" customFormat="1" ht="15.75">
      <c r="B339" s="27"/>
      <c r="C339" s="27"/>
      <c r="D339" s="28"/>
      <c r="E339" s="28"/>
      <c r="F339" s="28"/>
      <c r="G339" s="28"/>
      <c r="H339" s="23"/>
      <c r="I339" s="24"/>
      <c r="J339" s="28"/>
      <c r="K339" s="28"/>
      <c r="L339" s="24"/>
      <c r="U339" s="27"/>
      <c r="V339" s="27"/>
      <c r="W339" s="46"/>
      <c r="X339" s="73"/>
      <c r="Y339" s="27"/>
      <c r="Z339" s="27"/>
      <c r="AA339" s="27"/>
    </row>
    <row r="340" spans="2:27" s="25" customFormat="1" ht="15.75">
      <c r="B340" s="27"/>
      <c r="C340" s="27"/>
      <c r="D340" s="28"/>
      <c r="E340" s="28"/>
      <c r="F340" s="28"/>
      <c r="G340" s="28"/>
      <c r="H340" s="23"/>
      <c r="I340" s="24"/>
      <c r="J340" s="28"/>
      <c r="K340" s="28"/>
      <c r="L340" s="24"/>
      <c r="U340" s="27"/>
      <c r="V340" s="27"/>
      <c r="W340" s="46"/>
      <c r="X340" s="73"/>
      <c r="Y340" s="27"/>
      <c r="Z340" s="27"/>
      <c r="AA340" s="27"/>
    </row>
    <row r="341" spans="2:27" s="25" customFormat="1" ht="15.75">
      <c r="B341" s="27"/>
      <c r="C341" s="27"/>
      <c r="D341" s="28"/>
      <c r="E341" s="28"/>
      <c r="F341" s="28"/>
      <c r="G341" s="28"/>
      <c r="H341" s="23"/>
      <c r="I341" s="24"/>
      <c r="J341" s="28"/>
      <c r="K341" s="28"/>
      <c r="L341" s="24"/>
      <c r="U341" s="27"/>
      <c r="V341" s="27"/>
      <c r="W341" s="46"/>
      <c r="X341" s="73"/>
      <c r="Y341" s="27"/>
      <c r="Z341" s="27"/>
      <c r="AA341" s="27"/>
    </row>
    <row r="342" spans="2:27" s="25" customFormat="1" ht="15.75">
      <c r="B342" s="27"/>
      <c r="C342" s="27"/>
      <c r="D342" s="28"/>
      <c r="E342" s="28"/>
      <c r="F342" s="28"/>
      <c r="G342" s="28"/>
      <c r="H342" s="23"/>
      <c r="I342" s="24"/>
      <c r="J342" s="28"/>
      <c r="K342" s="28"/>
      <c r="L342" s="24"/>
      <c r="U342" s="27"/>
      <c r="V342" s="27"/>
      <c r="W342" s="46"/>
      <c r="X342" s="73"/>
      <c r="Y342" s="27"/>
      <c r="Z342" s="27"/>
      <c r="AA342" s="27"/>
    </row>
    <row r="343" spans="2:27" s="25" customFormat="1" ht="15.75">
      <c r="B343" s="27"/>
      <c r="C343" s="27"/>
      <c r="D343" s="28"/>
      <c r="E343" s="28"/>
      <c r="F343" s="28"/>
      <c r="G343" s="28"/>
      <c r="H343" s="23"/>
      <c r="I343" s="24"/>
      <c r="J343" s="28"/>
      <c r="K343" s="28"/>
      <c r="L343" s="24"/>
      <c r="U343" s="27"/>
      <c r="V343" s="27"/>
      <c r="W343" s="46"/>
      <c r="X343" s="73"/>
      <c r="Y343" s="27"/>
      <c r="Z343" s="27"/>
      <c r="AA343" s="27"/>
    </row>
    <row r="344" spans="2:27" s="25" customFormat="1" ht="15.75">
      <c r="B344" s="27"/>
      <c r="C344" s="27"/>
      <c r="D344" s="28"/>
      <c r="E344" s="28"/>
      <c r="F344" s="28"/>
      <c r="G344" s="28"/>
      <c r="H344" s="23"/>
      <c r="I344" s="24"/>
      <c r="J344" s="28"/>
      <c r="K344" s="28"/>
      <c r="L344" s="24"/>
      <c r="U344" s="27"/>
      <c r="V344" s="27"/>
      <c r="W344" s="46"/>
      <c r="X344" s="73"/>
      <c r="Y344" s="27"/>
      <c r="Z344" s="27"/>
      <c r="AA344" s="27"/>
    </row>
    <row r="345" spans="2:27" s="25" customFormat="1" ht="15.75">
      <c r="B345" s="27"/>
      <c r="C345" s="27"/>
      <c r="D345" s="28"/>
      <c r="E345" s="28"/>
      <c r="F345" s="28"/>
      <c r="G345" s="28"/>
      <c r="H345" s="23"/>
      <c r="I345" s="24"/>
      <c r="J345" s="28"/>
      <c r="K345" s="28"/>
      <c r="L345" s="24"/>
      <c r="U345" s="27"/>
      <c r="V345" s="27"/>
      <c r="W345" s="46"/>
      <c r="X345" s="73"/>
      <c r="Y345" s="27"/>
      <c r="Z345" s="27"/>
      <c r="AA345" s="27"/>
    </row>
    <row r="346" spans="2:27" s="25" customFormat="1" ht="15.75">
      <c r="B346" s="27"/>
      <c r="C346" s="27"/>
      <c r="D346" s="28"/>
      <c r="E346" s="28"/>
      <c r="F346" s="28"/>
      <c r="G346" s="28"/>
      <c r="H346" s="23"/>
      <c r="I346" s="24"/>
      <c r="J346" s="28"/>
      <c r="K346" s="28"/>
      <c r="L346" s="24"/>
      <c r="U346" s="27"/>
      <c r="V346" s="27"/>
      <c r="W346" s="46"/>
      <c r="X346" s="73"/>
      <c r="Y346" s="27"/>
      <c r="Z346" s="27"/>
      <c r="AA346" s="27"/>
    </row>
    <row r="347" spans="2:27" s="25" customFormat="1" ht="15.75">
      <c r="B347" s="27"/>
      <c r="C347" s="27"/>
      <c r="D347" s="28"/>
      <c r="E347" s="28"/>
      <c r="F347" s="28"/>
      <c r="G347" s="28"/>
      <c r="H347" s="23"/>
      <c r="I347" s="24"/>
      <c r="J347" s="28"/>
      <c r="K347" s="28"/>
      <c r="L347" s="24"/>
      <c r="U347" s="27"/>
      <c r="V347" s="27"/>
      <c r="W347" s="46"/>
      <c r="X347" s="73"/>
      <c r="Y347" s="27"/>
      <c r="Z347" s="27"/>
      <c r="AA347" s="27"/>
    </row>
    <row r="348" spans="2:27" s="25" customFormat="1" ht="15.75">
      <c r="B348" s="27"/>
      <c r="C348" s="27"/>
      <c r="D348" s="28"/>
      <c r="E348" s="28"/>
      <c r="F348" s="28"/>
      <c r="G348" s="28"/>
      <c r="H348" s="23"/>
      <c r="I348" s="24"/>
      <c r="J348" s="28"/>
      <c r="K348" s="28"/>
      <c r="L348" s="24"/>
      <c r="U348" s="27"/>
      <c r="V348" s="27"/>
      <c r="W348" s="46"/>
      <c r="X348" s="73"/>
      <c r="Y348" s="27"/>
      <c r="Z348" s="27"/>
      <c r="AA348" s="27"/>
    </row>
    <row r="349" spans="2:27" s="25" customFormat="1" ht="15.75">
      <c r="B349" s="27"/>
      <c r="C349" s="27"/>
      <c r="D349" s="28"/>
      <c r="E349" s="28"/>
      <c r="F349" s="28"/>
      <c r="G349" s="28"/>
      <c r="H349" s="23"/>
      <c r="I349" s="24"/>
      <c r="J349" s="28"/>
      <c r="K349" s="28"/>
      <c r="L349" s="24"/>
      <c r="U349" s="27"/>
      <c r="V349" s="27"/>
      <c r="W349" s="46"/>
      <c r="X349" s="73"/>
      <c r="Y349" s="27"/>
      <c r="Z349" s="27"/>
      <c r="AA349" s="27"/>
    </row>
    <row r="350" spans="2:27" s="25" customFormat="1" ht="15.75">
      <c r="B350" s="27"/>
      <c r="C350" s="27"/>
      <c r="D350" s="28"/>
      <c r="E350" s="28"/>
      <c r="F350" s="28"/>
      <c r="G350" s="28"/>
      <c r="H350" s="23"/>
      <c r="I350" s="24"/>
      <c r="J350" s="28"/>
      <c r="K350" s="28"/>
      <c r="L350" s="24"/>
      <c r="U350" s="27"/>
      <c r="V350" s="27"/>
      <c r="W350" s="46"/>
      <c r="X350" s="73"/>
      <c r="Y350" s="27"/>
      <c r="Z350" s="27"/>
      <c r="AA350" s="27"/>
    </row>
    <row r="351" spans="2:27" s="25" customFormat="1" ht="15.75">
      <c r="B351" s="27"/>
      <c r="C351" s="27"/>
      <c r="D351" s="28"/>
      <c r="E351" s="28"/>
      <c r="F351" s="28"/>
      <c r="G351" s="28"/>
      <c r="H351" s="23"/>
      <c r="I351" s="24"/>
      <c r="J351" s="28"/>
      <c r="K351" s="28"/>
      <c r="L351" s="24"/>
      <c r="U351" s="27"/>
      <c r="V351" s="27"/>
      <c r="W351" s="46"/>
      <c r="X351" s="73"/>
      <c r="Y351" s="27"/>
      <c r="Z351" s="27"/>
      <c r="AA351" s="27"/>
    </row>
    <row r="352" spans="2:27" s="25" customFormat="1" ht="15.75">
      <c r="B352" s="27"/>
      <c r="C352" s="27"/>
      <c r="D352" s="28"/>
      <c r="E352" s="28"/>
      <c r="F352" s="28"/>
      <c r="G352" s="28"/>
      <c r="H352" s="23"/>
      <c r="I352" s="24"/>
      <c r="J352" s="28"/>
      <c r="K352" s="28"/>
      <c r="L352" s="24"/>
      <c r="U352" s="27"/>
      <c r="V352" s="27"/>
      <c r="W352" s="46"/>
      <c r="X352" s="73"/>
      <c r="Y352" s="27"/>
      <c r="Z352" s="27"/>
      <c r="AA352" s="27"/>
    </row>
    <row r="353" spans="2:27" s="25" customFormat="1" ht="15.75">
      <c r="B353" s="27"/>
      <c r="C353" s="27"/>
      <c r="D353" s="28"/>
      <c r="E353" s="28"/>
      <c r="F353" s="28"/>
      <c r="G353" s="28"/>
      <c r="H353" s="23"/>
      <c r="I353" s="24"/>
      <c r="J353" s="28"/>
      <c r="K353" s="28"/>
      <c r="L353" s="24"/>
      <c r="U353" s="27"/>
      <c r="V353" s="27"/>
      <c r="W353" s="46"/>
      <c r="X353" s="73"/>
      <c r="Y353" s="27"/>
      <c r="Z353" s="27"/>
      <c r="AA353" s="27"/>
    </row>
    <row r="354" spans="2:27" s="25" customFormat="1" ht="15.75">
      <c r="B354" s="27"/>
      <c r="C354" s="27"/>
      <c r="D354" s="28"/>
      <c r="E354" s="28"/>
      <c r="F354" s="28"/>
      <c r="G354" s="28"/>
      <c r="H354" s="23"/>
      <c r="I354" s="24"/>
      <c r="J354" s="28"/>
      <c r="K354" s="28"/>
      <c r="L354" s="24"/>
      <c r="U354" s="27"/>
      <c r="V354" s="27"/>
      <c r="W354" s="46"/>
      <c r="X354" s="73"/>
      <c r="Y354" s="27"/>
      <c r="Z354" s="27"/>
      <c r="AA354" s="27"/>
    </row>
    <row r="355" spans="2:27" s="25" customFormat="1" ht="15.75">
      <c r="B355" s="27"/>
      <c r="C355" s="27"/>
      <c r="D355" s="28"/>
      <c r="E355" s="28"/>
      <c r="F355" s="28"/>
      <c r="G355" s="28"/>
      <c r="H355" s="23"/>
      <c r="I355" s="24"/>
      <c r="J355" s="28"/>
      <c r="K355" s="28"/>
      <c r="L355" s="24"/>
      <c r="U355" s="27"/>
      <c r="V355" s="27"/>
      <c r="W355" s="46"/>
      <c r="X355" s="73"/>
      <c r="Y355" s="27"/>
      <c r="Z355" s="27"/>
      <c r="AA355" s="27"/>
    </row>
    <row r="356" spans="2:27" s="25" customFormat="1" ht="15.75">
      <c r="B356" s="27"/>
      <c r="C356" s="27"/>
      <c r="D356" s="28"/>
      <c r="E356" s="28"/>
      <c r="F356" s="28"/>
      <c r="G356" s="28"/>
      <c r="H356" s="23"/>
      <c r="I356" s="24"/>
      <c r="J356" s="28"/>
      <c r="K356" s="28"/>
      <c r="L356" s="24"/>
      <c r="U356" s="27"/>
      <c r="V356" s="27"/>
      <c r="W356" s="46"/>
      <c r="X356" s="73"/>
      <c r="Y356" s="27"/>
      <c r="Z356" s="27"/>
      <c r="AA356" s="27"/>
    </row>
    <row r="357" spans="2:27" s="25" customFormat="1" ht="15.75">
      <c r="B357" s="27"/>
      <c r="C357" s="27"/>
      <c r="D357" s="28"/>
      <c r="E357" s="28"/>
      <c r="F357" s="28"/>
      <c r="G357" s="28"/>
      <c r="H357" s="23"/>
      <c r="I357" s="24"/>
      <c r="J357" s="28"/>
      <c r="K357" s="28"/>
      <c r="L357" s="24"/>
      <c r="U357" s="27"/>
      <c r="V357" s="27"/>
      <c r="W357" s="46"/>
      <c r="X357" s="73"/>
      <c r="Y357" s="27"/>
      <c r="Z357" s="27"/>
      <c r="AA357" s="27"/>
    </row>
    <row r="358" spans="2:27" s="25" customFormat="1" ht="15.75">
      <c r="B358" s="27"/>
      <c r="C358" s="27"/>
      <c r="D358" s="28"/>
      <c r="E358" s="28"/>
      <c r="F358" s="28"/>
      <c r="G358" s="28"/>
      <c r="H358" s="23"/>
      <c r="I358" s="24"/>
      <c r="J358" s="28"/>
      <c r="K358" s="28"/>
      <c r="L358" s="24"/>
      <c r="U358" s="27"/>
      <c r="V358" s="27"/>
      <c r="W358" s="46"/>
      <c r="X358" s="73"/>
      <c r="Y358" s="27"/>
      <c r="Z358" s="27"/>
      <c r="AA358" s="27"/>
    </row>
    <row r="359" spans="2:27" s="25" customFormat="1" ht="15.75">
      <c r="B359" s="27"/>
      <c r="C359" s="27"/>
      <c r="D359" s="28"/>
      <c r="E359" s="28"/>
      <c r="F359" s="28"/>
      <c r="G359" s="28"/>
      <c r="H359" s="23"/>
      <c r="I359" s="24"/>
      <c r="J359" s="28"/>
      <c r="K359" s="28"/>
      <c r="L359" s="24"/>
      <c r="U359" s="27"/>
      <c r="V359" s="27"/>
      <c r="W359" s="46"/>
      <c r="X359" s="73"/>
      <c r="Y359" s="27"/>
      <c r="Z359" s="27"/>
      <c r="AA359" s="27"/>
    </row>
    <row r="360" spans="2:27" s="25" customFormat="1" ht="15.75">
      <c r="B360" s="27"/>
      <c r="C360" s="27"/>
      <c r="D360" s="28"/>
      <c r="E360" s="28"/>
      <c r="F360" s="28"/>
      <c r="G360" s="28"/>
      <c r="H360" s="23"/>
      <c r="I360" s="24"/>
      <c r="J360" s="28"/>
      <c r="K360" s="28"/>
      <c r="L360" s="24"/>
      <c r="U360" s="27"/>
      <c r="V360" s="27"/>
      <c r="W360" s="46"/>
      <c r="X360" s="73"/>
      <c r="Y360" s="27"/>
      <c r="Z360" s="27"/>
      <c r="AA360" s="27"/>
    </row>
    <row r="361" spans="2:27" s="25" customFormat="1" ht="15.75">
      <c r="B361" s="27"/>
      <c r="C361" s="27"/>
      <c r="D361" s="28"/>
      <c r="E361" s="28"/>
      <c r="F361" s="28"/>
      <c r="G361" s="28"/>
      <c r="H361" s="23"/>
      <c r="I361" s="24"/>
      <c r="J361" s="28"/>
      <c r="K361" s="28"/>
      <c r="L361" s="24"/>
      <c r="U361" s="27"/>
      <c r="V361" s="27"/>
      <c r="W361" s="46"/>
      <c r="X361" s="73"/>
      <c r="Y361" s="27"/>
      <c r="Z361" s="27"/>
      <c r="AA361" s="27"/>
    </row>
    <row r="362" spans="2:27" s="25" customFormat="1" ht="15.75">
      <c r="B362" s="27"/>
      <c r="C362" s="27"/>
      <c r="D362" s="28"/>
      <c r="E362" s="28"/>
      <c r="F362" s="28"/>
      <c r="G362" s="28"/>
      <c r="H362" s="23"/>
      <c r="I362" s="24"/>
      <c r="J362" s="28"/>
      <c r="K362" s="28"/>
      <c r="L362" s="24"/>
      <c r="U362" s="27"/>
      <c r="V362" s="27"/>
      <c r="W362" s="46"/>
      <c r="X362" s="73"/>
      <c r="Y362" s="27"/>
      <c r="Z362" s="27"/>
      <c r="AA362" s="27"/>
    </row>
    <row r="363" spans="2:27" s="25" customFormat="1" ht="15.75">
      <c r="B363" s="27"/>
      <c r="C363" s="27"/>
      <c r="D363" s="28"/>
      <c r="E363" s="28"/>
      <c r="F363" s="28"/>
      <c r="G363" s="28"/>
      <c r="H363" s="23"/>
      <c r="I363" s="24"/>
      <c r="J363" s="28"/>
      <c r="K363" s="28"/>
      <c r="L363" s="24"/>
      <c r="U363" s="27"/>
      <c r="V363" s="27"/>
      <c r="W363" s="46"/>
      <c r="X363" s="73"/>
      <c r="Y363" s="27"/>
      <c r="Z363" s="27"/>
      <c r="AA363" s="27"/>
    </row>
    <row r="364" spans="2:27" s="25" customFormat="1" ht="15.75">
      <c r="B364" s="27"/>
      <c r="C364" s="27"/>
      <c r="D364" s="28"/>
      <c r="E364" s="28"/>
      <c r="F364" s="28"/>
      <c r="G364" s="28"/>
      <c r="H364" s="23"/>
      <c r="I364" s="24"/>
      <c r="J364" s="28"/>
      <c r="K364" s="28"/>
      <c r="L364" s="24"/>
      <c r="U364" s="27"/>
      <c r="V364" s="27"/>
      <c r="W364" s="46"/>
      <c r="X364" s="73"/>
      <c r="Y364" s="27"/>
      <c r="Z364" s="27"/>
      <c r="AA364" s="27"/>
    </row>
    <row r="365" spans="2:27" s="25" customFormat="1" ht="15.75">
      <c r="B365" s="27"/>
      <c r="C365" s="27"/>
      <c r="D365" s="28"/>
      <c r="E365" s="28"/>
      <c r="F365" s="28"/>
      <c r="G365" s="28"/>
      <c r="H365" s="23"/>
      <c r="I365" s="24"/>
      <c r="J365" s="28"/>
      <c r="K365" s="28"/>
      <c r="L365" s="24"/>
      <c r="U365" s="27"/>
      <c r="V365" s="27"/>
      <c r="W365" s="46"/>
      <c r="X365" s="73"/>
      <c r="Y365" s="27"/>
      <c r="Z365" s="27"/>
      <c r="AA365" s="27"/>
    </row>
    <row r="366" spans="2:27" s="25" customFormat="1" ht="15.75">
      <c r="B366" s="27"/>
      <c r="C366" s="27"/>
      <c r="D366" s="28"/>
      <c r="E366" s="28"/>
      <c r="F366" s="28"/>
      <c r="G366" s="28"/>
      <c r="H366" s="23"/>
      <c r="I366" s="24"/>
      <c r="J366" s="28"/>
      <c r="K366" s="28"/>
      <c r="L366" s="24"/>
      <c r="U366" s="27"/>
      <c r="V366" s="27"/>
      <c r="W366" s="46"/>
      <c r="X366" s="73"/>
      <c r="Y366" s="27"/>
      <c r="Z366" s="27"/>
      <c r="AA366" s="27"/>
    </row>
    <row r="367" spans="2:27" s="25" customFormat="1" ht="15.75">
      <c r="B367" s="27"/>
      <c r="C367" s="27"/>
      <c r="D367" s="28"/>
      <c r="E367" s="28"/>
      <c r="F367" s="28"/>
      <c r="G367" s="28"/>
      <c r="H367" s="23"/>
      <c r="I367" s="24"/>
      <c r="J367" s="28"/>
      <c r="K367" s="28"/>
      <c r="L367" s="24"/>
      <c r="U367" s="27"/>
      <c r="V367" s="27"/>
      <c r="W367" s="46"/>
      <c r="X367" s="73"/>
      <c r="Y367" s="27"/>
      <c r="Z367" s="27"/>
      <c r="AA367" s="27"/>
    </row>
    <row r="368" spans="2:27" s="25" customFormat="1" ht="15.75">
      <c r="B368" s="27"/>
      <c r="C368" s="27"/>
      <c r="D368" s="28"/>
      <c r="E368" s="28"/>
      <c r="F368" s="28"/>
      <c r="G368" s="28"/>
      <c r="H368" s="23"/>
      <c r="I368" s="24"/>
      <c r="J368" s="28"/>
      <c r="K368" s="28"/>
      <c r="L368" s="24"/>
      <c r="U368" s="27"/>
      <c r="V368" s="27"/>
      <c r="W368" s="46"/>
      <c r="X368" s="73"/>
      <c r="Y368" s="27"/>
      <c r="Z368" s="27"/>
      <c r="AA368" s="27"/>
    </row>
    <row r="369" spans="2:27" s="25" customFormat="1" ht="15.75">
      <c r="B369" s="27"/>
      <c r="C369" s="27"/>
      <c r="D369" s="28"/>
      <c r="E369" s="28"/>
      <c r="F369" s="28"/>
      <c r="G369" s="28"/>
      <c r="H369" s="23"/>
      <c r="I369" s="24"/>
      <c r="J369" s="28"/>
      <c r="K369" s="28"/>
      <c r="L369" s="24"/>
      <c r="U369" s="27"/>
      <c r="V369" s="27"/>
      <c r="W369" s="46"/>
      <c r="X369" s="73"/>
      <c r="Y369" s="27"/>
      <c r="Z369" s="27"/>
      <c r="AA369" s="27"/>
    </row>
    <row r="370" spans="2:27" s="25" customFormat="1" ht="15.75">
      <c r="B370" s="27"/>
      <c r="C370" s="27"/>
      <c r="D370" s="28"/>
      <c r="E370" s="28"/>
      <c r="F370" s="28"/>
      <c r="G370" s="28"/>
      <c r="H370" s="23"/>
      <c r="I370" s="24"/>
      <c r="J370" s="28"/>
      <c r="K370" s="28"/>
      <c r="L370" s="24"/>
      <c r="U370" s="27"/>
      <c r="V370" s="27"/>
      <c r="W370" s="46"/>
      <c r="X370" s="73"/>
      <c r="Y370" s="27"/>
      <c r="Z370" s="27"/>
      <c r="AA370" s="27"/>
    </row>
    <row r="371" spans="2:27" s="25" customFormat="1" ht="15.75">
      <c r="B371" s="27"/>
      <c r="C371" s="27"/>
      <c r="D371" s="28"/>
      <c r="E371" s="28"/>
      <c r="F371" s="28"/>
      <c r="G371" s="28"/>
      <c r="H371" s="23"/>
      <c r="I371" s="24"/>
      <c r="J371" s="28"/>
      <c r="K371" s="28"/>
      <c r="L371" s="24"/>
      <c r="U371" s="27"/>
      <c r="V371" s="27"/>
      <c r="W371" s="46"/>
      <c r="X371" s="73"/>
      <c r="Y371" s="27"/>
      <c r="Z371" s="27"/>
      <c r="AA371" s="27"/>
    </row>
    <row r="372" spans="2:27" s="25" customFormat="1" ht="15.75">
      <c r="B372" s="27"/>
      <c r="C372" s="27"/>
      <c r="D372" s="28"/>
      <c r="E372" s="28"/>
      <c r="F372" s="28"/>
      <c r="G372" s="28"/>
      <c r="H372" s="23"/>
      <c r="I372" s="24"/>
      <c r="J372" s="28"/>
      <c r="K372" s="28"/>
      <c r="L372" s="24"/>
      <c r="U372" s="27"/>
      <c r="V372" s="27"/>
      <c r="W372" s="46"/>
      <c r="X372" s="73"/>
      <c r="Y372" s="27"/>
      <c r="Z372" s="27"/>
      <c r="AA372" s="27"/>
    </row>
    <row r="373" spans="2:27" s="25" customFormat="1" ht="15.75">
      <c r="B373" s="27"/>
      <c r="C373" s="27"/>
      <c r="D373" s="28"/>
      <c r="E373" s="28"/>
      <c r="F373" s="28"/>
      <c r="G373" s="28"/>
      <c r="H373" s="23"/>
      <c r="I373" s="24"/>
      <c r="J373" s="28"/>
      <c r="K373" s="28"/>
      <c r="L373" s="24"/>
      <c r="U373" s="27"/>
      <c r="V373" s="27"/>
      <c r="W373" s="46"/>
      <c r="X373" s="73"/>
      <c r="Y373" s="27"/>
      <c r="Z373" s="27"/>
      <c r="AA373" s="27"/>
    </row>
    <row r="374" spans="2:27" s="25" customFormat="1" ht="15.75">
      <c r="B374" s="27"/>
      <c r="C374" s="27"/>
      <c r="D374" s="28"/>
      <c r="E374" s="28"/>
      <c r="F374" s="28"/>
      <c r="G374" s="28"/>
      <c r="H374" s="23"/>
      <c r="I374" s="24"/>
      <c r="J374" s="28"/>
      <c r="K374" s="28"/>
      <c r="L374" s="24"/>
      <c r="U374" s="27"/>
      <c r="V374" s="27"/>
      <c r="W374" s="46"/>
      <c r="X374" s="73"/>
      <c r="Y374" s="27"/>
      <c r="Z374" s="27"/>
      <c r="AA374" s="27"/>
    </row>
    <row r="375" spans="2:27" s="25" customFormat="1" ht="15.75">
      <c r="B375" s="27"/>
      <c r="C375" s="27"/>
      <c r="D375" s="28"/>
      <c r="E375" s="28"/>
      <c r="F375" s="28"/>
      <c r="G375" s="28"/>
      <c r="H375" s="23"/>
      <c r="I375" s="24"/>
      <c r="J375" s="28"/>
      <c r="K375" s="28"/>
      <c r="L375" s="24"/>
      <c r="U375" s="27"/>
      <c r="V375" s="27"/>
      <c r="W375" s="46"/>
      <c r="X375" s="73"/>
      <c r="Y375" s="27"/>
      <c r="Z375" s="27"/>
      <c r="AA375" s="27"/>
    </row>
    <row r="376" spans="2:27" s="25" customFormat="1" ht="15.75">
      <c r="B376" s="27"/>
      <c r="C376" s="27"/>
      <c r="D376" s="28"/>
      <c r="E376" s="28"/>
      <c r="F376" s="28"/>
      <c r="G376" s="28"/>
      <c r="H376" s="23"/>
      <c r="I376" s="24"/>
      <c r="J376" s="28"/>
      <c r="K376" s="28"/>
      <c r="L376" s="24"/>
      <c r="U376" s="27"/>
      <c r="V376" s="27"/>
      <c r="W376" s="46"/>
      <c r="X376" s="73"/>
      <c r="Y376" s="27"/>
      <c r="Z376" s="27"/>
      <c r="AA376" s="27"/>
    </row>
    <row r="377" spans="2:27" s="25" customFormat="1" ht="15.75">
      <c r="B377" s="27"/>
      <c r="C377" s="27"/>
      <c r="D377" s="28"/>
      <c r="E377" s="28"/>
      <c r="F377" s="28"/>
      <c r="G377" s="28"/>
      <c r="H377" s="23"/>
      <c r="I377" s="24"/>
      <c r="J377" s="28"/>
      <c r="K377" s="28"/>
      <c r="L377" s="24"/>
      <c r="U377" s="27"/>
      <c r="V377" s="27"/>
      <c r="W377" s="46"/>
      <c r="X377" s="73"/>
      <c r="Y377" s="27"/>
      <c r="Z377" s="27"/>
      <c r="AA377" s="27"/>
    </row>
    <row r="378" spans="2:27" s="25" customFormat="1" ht="15.75">
      <c r="B378" s="27"/>
      <c r="C378" s="27"/>
      <c r="D378" s="28"/>
      <c r="E378" s="28"/>
      <c r="F378" s="28"/>
      <c r="G378" s="28"/>
      <c r="H378" s="23"/>
      <c r="I378" s="24"/>
      <c r="J378" s="28"/>
      <c r="K378" s="28"/>
      <c r="L378" s="24"/>
      <c r="U378" s="27"/>
      <c r="V378" s="27"/>
      <c r="W378" s="46"/>
      <c r="X378" s="73"/>
      <c r="Y378" s="27"/>
      <c r="Z378" s="27"/>
      <c r="AA378" s="27"/>
    </row>
    <row r="379" spans="2:27" s="25" customFormat="1" ht="15.75">
      <c r="B379" s="27"/>
      <c r="C379" s="27"/>
      <c r="D379" s="28"/>
      <c r="E379" s="28"/>
      <c r="F379" s="28"/>
      <c r="G379" s="28"/>
      <c r="H379" s="23"/>
      <c r="I379" s="24"/>
      <c r="J379" s="28"/>
      <c r="K379" s="28"/>
      <c r="L379" s="24"/>
      <c r="U379" s="27"/>
      <c r="V379" s="27"/>
      <c r="W379" s="46"/>
      <c r="X379" s="73"/>
      <c r="Y379" s="27"/>
      <c r="Z379" s="27"/>
      <c r="AA379" s="27"/>
    </row>
    <row r="380" spans="2:27" s="25" customFormat="1" ht="15.75">
      <c r="B380" s="27"/>
      <c r="C380" s="27"/>
      <c r="D380" s="28"/>
      <c r="E380" s="28"/>
      <c r="F380" s="28"/>
      <c r="G380" s="28"/>
      <c r="H380" s="23"/>
      <c r="I380" s="24"/>
      <c r="J380" s="28"/>
      <c r="K380" s="28"/>
      <c r="L380" s="24"/>
      <c r="U380" s="27"/>
      <c r="V380" s="27"/>
      <c r="W380" s="46"/>
      <c r="X380" s="73"/>
      <c r="Y380" s="27"/>
      <c r="Z380" s="27"/>
      <c r="AA380" s="27"/>
    </row>
    <row r="381" spans="2:27" s="25" customFormat="1" ht="15.75">
      <c r="B381" s="27"/>
      <c r="C381" s="27"/>
      <c r="D381" s="28"/>
      <c r="E381" s="28"/>
      <c r="F381" s="28"/>
      <c r="G381" s="28"/>
      <c r="H381" s="23"/>
      <c r="I381" s="24"/>
      <c r="J381" s="28"/>
      <c r="K381" s="28"/>
      <c r="L381" s="24"/>
      <c r="U381" s="27"/>
      <c r="V381" s="27"/>
      <c r="W381" s="46"/>
      <c r="X381" s="73"/>
      <c r="Y381" s="27"/>
      <c r="Z381" s="27"/>
      <c r="AA381" s="27"/>
    </row>
    <row r="382" spans="2:27" s="25" customFormat="1" ht="15.75">
      <c r="B382" s="27"/>
      <c r="C382" s="27"/>
      <c r="D382" s="28"/>
      <c r="E382" s="28"/>
      <c r="F382" s="28"/>
      <c r="G382" s="28"/>
      <c r="H382" s="23"/>
      <c r="I382" s="24"/>
      <c r="J382" s="28"/>
      <c r="K382" s="28"/>
      <c r="L382" s="24"/>
      <c r="U382" s="27"/>
      <c r="V382" s="27"/>
      <c r="W382" s="46"/>
      <c r="X382" s="73"/>
      <c r="Y382" s="27"/>
      <c r="Z382" s="27"/>
      <c r="AA382" s="27"/>
    </row>
    <row r="383" spans="2:27" s="25" customFormat="1" ht="15.75">
      <c r="B383" s="27"/>
      <c r="C383" s="27"/>
      <c r="D383" s="28"/>
      <c r="E383" s="28"/>
      <c r="F383" s="28"/>
      <c r="G383" s="28"/>
      <c r="H383" s="23"/>
      <c r="I383" s="24"/>
      <c r="J383" s="28"/>
      <c r="K383" s="28"/>
      <c r="L383" s="24"/>
      <c r="U383" s="27"/>
      <c r="V383" s="27"/>
      <c r="W383" s="46"/>
      <c r="X383" s="73"/>
      <c r="Y383" s="27"/>
      <c r="Z383" s="27"/>
      <c r="AA383" s="27"/>
    </row>
    <row r="384" spans="2:27" s="25" customFormat="1" ht="15.75">
      <c r="B384" s="27"/>
      <c r="C384" s="27"/>
      <c r="D384" s="28"/>
      <c r="E384" s="28"/>
      <c r="F384" s="28"/>
      <c r="G384" s="28"/>
      <c r="H384" s="23"/>
      <c r="I384" s="24"/>
      <c r="J384" s="28"/>
      <c r="K384" s="28"/>
      <c r="L384" s="24"/>
      <c r="U384" s="27"/>
      <c r="V384" s="27"/>
      <c r="W384" s="46"/>
      <c r="X384" s="73"/>
      <c r="Y384" s="27"/>
      <c r="Z384" s="27"/>
      <c r="AA384" s="27"/>
    </row>
    <row r="385" spans="2:27" s="25" customFormat="1" ht="15.75">
      <c r="B385" s="27"/>
      <c r="C385" s="27"/>
      <c r="D385" s="28"/>
      <c r="E385" s="28"/>
      <c r="F385" s="28"/>
      <c r="G385" s="28"/>
      <c r="H385" s="23"/>
      <c r="I385" s="24"/>
      <c r="J385" s="28"/>
      <c r="K385" s="28"/>
      <c r="L385" s="24"/>
      <c r="U385" s="27"/>
      <c r="V385" s="27"/>
      <c r="W385" s="46"/>
      <c r="X385" s="73"/>
      <c r="Y385" s="27"/>
      <c r="Z385" s="27"/>
      <c r="AA385" s="27"/>
    </row>
    <row r="386" spans="2:27" s="25" customFormat="1" ht="15.75">
      <c r="B386" s="27"/>
      <c r="C386" s="27"/>
      <c r="D386" s="28"/>
      <c r="E386" s="28"/>
      <c r="F386" s="28"/>
      <c r="G386" s="28"/>
      <c r="H386" s="23"/>
      <c r="I386" s="24"/>
      <c r="J386" s="28"/>
      <c r="K386" s="28"/>
      <c r="L386" s="24"/>
      <c r="U386" s="27"/>
      <c r="V386" s="27"/>
      <c r="W386" s="46"/>
      <c r="X386" s="73"/>
      <c r="Y386" s="27"/>
      <c r="Z386" s="27"/>
      <c r="AA386" s="27"/>
    </row>
    <row r="387" spans="2:27" s="25" customFormat="1" ht="15.75">
      <c r="B387" s="27"/>
      <c r="C387" s="27"/>
      <c r="D387" s="28"/>
      <c r="E387" s="28"/>
      <c r="F387" s="28"/>
      <c r="G387" s="28"/>
      <c r="H387" s="23"/>
      <c r="I387" s="24"/>
      <c r="J387" s="28"/>
      <c r="K387" s="28"/>
      <c r="L387" s="24"/>
      <c r="U387" s="27"/>
      <c r="V387" s="27"/>
      <c r="W387" s="46"/>
      <c r="X387" s="73"/>
      <c r="Y387" s="27"/>
      <c r="Z387" s="27"/>
      <c r="AA387" s="27"/>
    </row>
    <row r="388" spans="2:27" s="25" customFormat="1" ht="15.75">
      <c r="B388" s="27"/>
      <c r="C388" s="27"/>
      <c r="D388" s="28"/>
      <c r="E388" s="28"/>
      <c r="F388" s="28"/>
      <c r="G388" s="28"/>
      <c r="H388" s="23"/>
      <c r="I388" s="24"/>
      <c r="J388" s="28"/>
      <c r="K388" s="28"/>
      <c r="L388" s="24"/>
      <c r="U388" s="27"/>
      <c r="V388" s="27"/>
      <c r="W388" s="46"/>
      <c r="X388" s="73"/>
      <c r="Y388" s="27"/>
      <c r="Z388" s="27"/>
      <c r="AA388" s="27"/>
    </row>
    <row r="389" spans="2:27" s="25" customFormat="1" ht="15.75">
      <c r="B389" s="27"/>
      <c r="C389" s="27"/>
      <c r="D389" s="28"/>
      <c r="E389" s="28"/>
      <c r="F389" s="28"/>
      <c r="G389" s="28"/>
      <c r="H389" s="23"/>
      <c r="I389" s="24"/>
      <c r="J389" s="28"/>
      <c r="K389" s="28"/>
      <c r="L389" s="24"/>
      <c r="U389" s="27"/>
      <c r="V389" s="27"/>
      <c r="W389" s="46"/>
      <c r="X389" s="73"/>
      <c r="Y389" s="27"/>
      <c r="Z389" s="27"/>
      <c r="AA389" s="27"/>
    </row>
    <row r="390" spans="2:27" s="25" customFormat="1" ht="15.75">
      <c r="B390" s="27"/>
      <c r="C390" s="27"/>
      <c r="D390" s="28"/>
      <c r="E390" s="28"/>
      <c r="F390" s="28"/>
      <c r="G390" s="28"/>
      <c r="H390" s="23"/>
      <c r="I390" s="24"/>
      <c r="J390" s="28"/>
      <c r="K390" s="28"/>
      <c r="L390" s="24"/>
      <c r="U390" s="27"/>
      <c r="V390" s="27"/>
      <c r="W390" s="46"/>
      <c r="X390" s="73"/>
      <c r="Y390" s="27"/>
      <c r="Z390" s="27"/>
      <c r="AA390" s="27"/>
    </row>
    <row r="391" spans="2:27" s="25" customFormat="1" ht="15.75">
      <c r="B391" s="27"/>
      <c r="C391" s="27"/>
      <c r="D391" s="28"/>
      <c r="E391" s="28"/>
      <c r="F391" s="28"/>
      <c r="G391" s="28"/>
      <c r="H391" s="23"/>
      <c r="I391" s="24"/>
      <c r="J391" s="28"/>
      <c r="K391" s="28"/>
      <c r="L391" s="24"/>
      <c r="U391" s="27"/>
      <c r="V391" s="27"/>
      <c r="W391" s="46"/>
      <c r="X391" s="73"/>
      <c r="Y391" s="27"/>
      <c r="Z391" s="27"/>
      <c r="AA391" s="27"/>
    </row>
    <row r="392" spans="2:27" s="25" customFormat="1" ht="15.75">
      <c r="B392" s="27"/>
      <c r="C392" s="27"/>
      <c r="D392" s="28"/>
      <c r="E392" s="28"/>
      <c r="F392" s="28"/>
      <c r="G392" s="28"/>
      <c r="H392" s="23"/>
      <c r="I392" s="24"/>
      <c r="J392" s="28"/>
      <c r="K392" s="28"/>
      <c r="L392" s="24"/>
      <c r="U392" s="27"/>
      <c r="V392" s="27"/>
      <c r="W392" s="46"/>
      <c r="X392" s="73"/>
      <c r="Y392" s="27"/>
      <c r="Z392" s="27"/>
      <c r="AA392" s="27"/>
    </row>
    <row r="393" spans="2:27" s="25" customFormat="1" ht="15.75">
      <c r="B393" s="27"/>
      <c r="C393" s="27"/>
      <c r="D393" s="28"/>
      <c r="E393" s="28"/>
      <c r="F393" s="28"/>
      <c r="G393" s="28"/>
      <c r="H393" s="23"/>
      <c r="I393" s="24"/>
      <c r="J393" s="28"/>
      <c r="K393" s="28"/>
      <c r="L393" s="24"/>
      <c r="U393" s="27"/>
      <c r="V393" s="27"/>
      <c r="W393" s="46"/>
      <c r="X393" s="73"/>
      <c r="Y393" s="27"/>
      <c r="Z393" s="27"/>
      <c r="AA393" s="27"/>
    </row>
    <row r="394" spans="2:27" s="25" customFormat="1" ht="15.75">
      <c r="B394" s="27"/>
      <c r="C394" s="27"/>
      <c r="D394" s="28"/>
      <c r="E394" s="28"/>
      <c r="F394" s="28"/>
      <c r="G394" s="28"/>
      <c r="H394" s="23"/>
      <c r="I394" s="24"/>
      <c r="J394" s="28"/>
      <c r="K394" s="28"/>
      <c r="L394" s="24"/>
      <c r="U394" s="27"/>
      <c r="V394" s="27"/>
      <c r="W394" s="46"/>
      <c r="X394" s="73"/>
      <c r="Y394" s="27"/>
      <c r="Z394" s="27"/>
      <c r="AA394" s="27"/>
    </row>
    <row r="395" spans="2:27" s="25" customFormat="1" ht="15.75">
      <c r="B395" s="27"/>
      <c r="C395" s="27"/>
      <c r="D395" s="28"/>
      <c r="E395" s="28"/>
      <c r="F395" s="28"/>
      <c r="G395" s="28"/>
      <c r="H395" s="23"/>
      <c r="I395" s="24"/>
      <c r="J395" s="28"/>
      <c r="K395" s="28"/>
      <c r="L395" s="24"/>
      <c r="U395" s="27"/>
      <c r="V395" s="27"/>
      <c r="W395" s="46"/>
      <c r="X395" s="73"/>
      <c r="Y395" s="27"/>
      <c r="Z395" s="27"/>
      <c r="AA395" s="27"/>
    </row>
    <row r="396" spans="2:27" s="25" customFormat="1" ht="15.75">
      <c r="B396" s="27"/>
      <c r="C396" s="27"/>
      <c r="D396" s="28"/>
      <c r="E396" s="28"/>
      <c r="F396" s="28"/>
      <c r="G396" s="28"/>
      <c r="H396" s="23"/>
      <c r="I396" s="24"/>
      <c r="J396" s="28"/>
      <c r="K396" s="28"/>
      <c r="L396" s="24"/>
      <c r="U396" s="27"/>
      <c r="V396" s="27"/>
      <c r="W396" s="46"/>
      <c r="X396" s="73"/>
      <c r="Y396" s="27"/>
      <c r="Z396" s="27"/>
      <c r="AA396" s="27"/>
    </row>
    <row r="397" spans="2:27" s="25" customFormat="1" ht="15.75">
      <c r="B397" s="27"/>
      <c r="C397" s="27"/>
      <c r="D397" s="28"/>
      <c r="E397" s="28"/>
      <c r="F397" s="28"/>
      <c r="G397" s="28"/>
      <c r="H397" s="23"/>
      <c r="I397" s="24"/>
      <c r="J397" s="28"/>
      <c r="K397" s="28"/>
      <c r="L397" s="24"/>
      <c r="U397" s="27"/>
      <c r="V397" s="27"/>
      <c r="W397" s="46"/>
      <c r="X397" s="73"/>
      <c r="Y397" s="27"/>
      <c r="Z397" s="27"/>
      <c r="AA397" s="27"/>
    </row>
    <row r="398" spans="2:27" s="25" customFormat="1" ht="15.75">
      <c r="B398" s="27"/>
      <c r="C398" s="27"/>
      <c r="D398" s="28"/>
      <c r="E398" s="28"/>
      <c r="F398" s="28"/>
      <c r="G398" s="28"/>
      <c r="H398" s="23"/>
      <c r="I398" s="24"/>
      <c r="J398" s="28"/>
      <c r="K398" s="28"/>
      <c r="L398" s="24"/>
      <c r="U398" s="27"/>
      <c r="V398" s="27"/>
      <c r="W398" s="46"/>
      <c r="X398" s="73"/>
      <c r="Y398" s="27"/>
      <c r="Z398" s="27"/>
      <c r="AA398" s="27"/>
    </row>
    <row r="399" spans="2:27" s="25" customFormat="1" ht="15.75">
      <c r="B399" s="27"/>
      <c r="C399" s="27"/>
      <c r="D399" s="28"/>
      <c r="E399" s="28"/>
      <c r="F399" s="28"/>
      <c r="G399" s="28"/>
      <c r="H399" s="23"/>
      <c r="I399" s="24"/>
      <c r="J399" s="28"/>
      <c r="K399" s="28"/>
      <c r="L399" s="24"/>
      <c r="U399" s="27"/>
      <c r="V399" s="27"/>
      <c r="W399" s="46"/>
      <c r="X399" s="73"/>
      <c r="Y399" s="27"/>
      <c r="Z399" s="27"/>
      <c r="AA399" s="27"/>
    </row>
    <row r="400" spans="2:27" s="25" customFormat="1" ht="15.75">
      <c r="B400" s="27"/>
      <c r="C400" s="27"/>
      <c r="D400" s="28"/>
      <c r="E400" s="28"/>
      <c r="F400" s="28"/>
      <c r="G400" s="28"/>
      <c r="H400" s="23"/>
      <c r="I400" s="24"/>
      <c r="J400" s="28"/>
      <c r="K400" s="28"/>
      <c r="L400" s="24"/>
      <c r="U400" s="27"/>
      <c r="V400" s="27"/>
      <c r="W400" s="46"/>
      <c r="X400" s="73"/>
      <c r="Y400" s="27"/>
      <c r="Z400" s="27"/>
      <c r="AA400" s="27"/>
    </row>
    <row r="401" spans="2:27" s="25" customFormat="1" ht="15.75">
      <c r="B401" s="27"/>
      <c r="C401" s="27"/>
      <c r="D401" s="28"/>
      <c r="E401" s="28"/>
      <c r="F401" s="28"/>
      <c r="G401" s="28"/>
      <c r="H401" s="23"/>
      <c r="I401" s="24"/>
      <c r="J401" s="28"/>
      <c r="K401" s="28"/>
      <c r="L401" s="24"/>
      <c r="U401" s="27"/>
      <c r="V401" s="27"/>
      <c r="W401" s="46"/>
      <c r="X401" s="73"/>
      <c r="Y401" s="27"/>
      <c r="Z401" s="27"/>
      <c r="AA401" s="27"/>
    </row>
    <row r="402" spans="2:27" s="25" customFormat="1" ht="15.75">
      <c r="B402" s="27"/>
      <c r="C402" s="27"/>
      <c r="D402" s="28"/>
      <c r="E402" s="28"/>
      <c r="F402" s="28"/>
      <c r="G402" s="28"/>
      <c r="H402" s="23"/>
      <c r="I402" s="24"/>
      <c r="J402" s="28"/>
      <c r="K402" s="28"/>
      <c r="L402" s="24"/>
      <c r="U402" s="27"/>
      <c r="V402" s="27"/>
      <c r="W402" s="46"/>
      <c r="X402" s="73"/>
      <c r="Y402" s="27"/>
      <c r="Z402" s="27"/>
      <c r="AA402" s="27"/>
    </row>
    <row r="403" spans="2:27" s="25" customFormat="1" ht="15.75">
      <c r="B403" s="27"/>
      <c r="C403" s="27"/>
      <c r="D403" s="28"/>
      <c r="E403" s="28"/>
      <c r="F403" s="28"/>
      <c r="G403" s="28"/>
      <c r="H403" s="23"/>
      <c r="I403" s="24"/>
      <c r="J403" s="28"/>
      <c r="K403" s="28"/>
      <c r="L403" s="24"/>
      <c r="U403" s="27"/>
      <c r="V403" s="27"/>
      <c r="W403" s="46"/>
      <c r="X403" s="73"/>
      <c r="Y403" s="27"/>
      <c r="Z403" s="27"/>
      <c r="AA403" s="27"/>
    </row>
    <row r="404" spans="2:27" s="25" customFormat="1" ht="15.75">
      <c r="B404" s="27"/>
      <c r="C404" s="27"/>
      <c r="D404" s="28"/>
      <c r="E404" s="28"/>
      <c r="F404" s="28"/>
      <c r="G404" s="28"/>
      <c r="H404" s="23"/>
      <c r="I404" s="24"/>
      <c r="J404" s="28"/>
      <c r="K404" s="28"/>
      <c r="L404" s="24"/>
      <c r="U404" s="27"/>
      <c r="V404" s="27"/>
      <c r="W404" s="46"/>
      <c r="X404" s="73"/>
      <c r="Y404" s="27"/>
      <c r="Z404" s="27"/>
      <c r="AA404" s="27"/>
    </row>
    <row r="405" spans="2:27" s="25" customFormat="1" ht="15.75">
      <c r="B405" s="27"/>
      <c r="C405" s="27"/>
      <c r="D405" s="28"/>
      <c r="E405" s="28"/>
      <c r="F405" s="28"/>
      <c r="G405" s="28"/>
      <c r="H405" s="23"/>
      <c r="I405" s="24"/>
      <c r="J405" s="28"/>
      <c r="K405" s="28"/>
      <c r="L405" s="24"/>
      <c r="U405" s="27"/>
      <c r="V405" s="27"/>
      <c r="W405" s="46"/>
      <c r="X405" s="73"/>
      <c r="Y405" s="27"/>
      <c r="Z405" s="27"/>
      <c r="AA405" s="27"/>
    </row>
    <row r="406" spans="2:27" s="25" customFormat="1" ht="15.75">
      <c r="B406" s="27"/>
      <c r="C406" s="27"/>
      <c r="D406" s="28"/>
      <c r="E406" s="28"/>
      <c r="F406" s="28"/>
      <c r="G406" s="28"/>
      <c r="H406" s="23"/>
      <c r="I406" s="24"/>
      <c r="J406" s="28"/>
      <c r="K406" s="28"/>
      <c r="L406" s="24"/>
      <c r="U406" s="27"/>
      <c r="V406" s="27"/>
      <c r="W406" s="46"/>
      <c r="X406" s="73"/>
      <c r="Y406" s="27"/>
      <c r="Z406" s="27"/>
      <c r="AA406" s="27"/>
    </row>
    <row r="407" spans="2:27" s="25" customFormat="1" ht="15.75">
      <c r="B407" s="27"/>
      <c r="C407" s="27"/>
      <c r="D407" s="28"/>
      <c r="E407" s="28"/>
      <c r="F407" s="28"/>
      <c r="G407" s="28"/>
      <c r="H407" s="23"/>
      <c r="I407" s="24"/>
      <c r="J407" s="28"/>
      <c r="K407" s="28"/>
      <c r="L407" s="24"/>
      <c r="U407" s="27"/>
      <c r="V407" s="27"/>
      <c r="W407" s="46"/>
      <c r="X407" s="73"/>
      <c r="Y407" s="27"/>
      <c r="Z407" s="27"/>
      <c r="AA407" s="27"/>
    </row>
    <row r="408" spans="2:27" s="25" customFormat="1" ht="15.75">
      <c r="B408" s="27"/>
      <c r="C408" s="27"/>
      <c r="D408" s="28"/>
      <c r="E408" s="28"/>
      <c r="F408" s="28"/>
      <c r="G408" s="28"/>
      <c r="H408" s="23"/>
      <c r="I408" s="24"/>
      <c r="J408" s="28"/>
      <c r="K408" s="28"/>
      <c r="L408" s="24"/>
      <c r="U408" s="27"/>
      <c r="V408" s="27"/>
      <c r="W408" s="46"/>
      <c r="X408" s="73"/>
      <c r="Y408" s="27"/>
      <c r="Z408" s="27"/>
      <c r="AA408" s="27"/>
    </row>
    <row r="409" spans="2:27" s="25" customFormat="1" ht="15.75">
      <c r="B409" s="27"/>
      <c r="C409" s="27"/>
      <c r="D409" s="28"/>
      <c r="E409" s="28"/>
      <c r="F409" s="28"/>
      <c r="G409" s="28"/>
      <c r="H409" s="23"/>
      <c r="I409" s="24"/>
      <c r="J409" s="28"/>
      <c r="K409" s="28"/>
      <c r="L409" s="24"/>
      <c r="U409" s="27"/>
      <c r="V409" s="27"/>
      <c r="W409" s="46"/>
      <c r="X409" s="73"/>
      <c r="Y409" s="27"/>
      <c r="Z409" s="27"/>
      <c r="AA409" s="27"/>
    </row>
    <row r="410" spans="2:27" s="25" customFormat="1" ht="15.75">
      <c r="B410" s="27"/>
      <c r="C410" s="27"/>
      <c r="D410" s="28"/>
      <c r="E410" s="28"/>
      <c r="F410" s="28"/>
      <c r="G410" s="28"/>
      <c r="H410" s="23"/>
      <c r="I410" s="24"/>
      <c r="J410" s="28"/>
      <c r="K410" s="28"/>
      <c r="L410" s="24"/>
      <c r="U410" s="27"/>
      <c r="V410" s="27"/>
      <c r="W410" s="46"/>
      <c r="X410" s="73"/>
      <c r="Y410" s="27"/>
      <c r="Z410" s="27"/>
      <c r="AA410" s="27"/>
    </row>
    <row r="411" spans="2:27" s="25" customFormat="1" ht="15.75">
      <c r="B411" s="27"/>
      <c r="C411" s="27"/>
      <c r="D411" s="28"/>
      <c r="E411" s="28"/>
      <c r="F411" s="28"/>
      <c r="G411" s="28"/>
      <c r="H411" s="23"/>
      <c r="I411" s="24"/>
      <c r="J411" s="28"/>
      <c r="K411" s="28"/>
      <c r="L411" s="24"/>
      <c r="U411" s="27"/>
      <c r="V411" s="27"/>
      <c r="W411" s="46"/>
      <c r="X411" s="73"/>
      <c r="Y411" s="27"/>
      <c r="Z411" s="27"/>
      <c r="AA411" s="27"/>
    </row>
    <row r="412" spans="2:27" s="25" customFormat="1" ht="15.75">
      <c r="B412" s="27"/>
      <c r="C412" s="27"/>
      <c r="D412" s="28"/>
      <c r="E412" s="28"/>
      <c r="F412" s="28"/>
      <c r="G412" s="28"/>
      <c r="H412" s="23"/>
      <c r="I412" s="24"/>
      <c r="J412" s="28"/>
      <c r="K412" s="28"/>
      <c r="L412" s="24"/>
      <c r="U412" s="27"/>
      <c r="V412" s="27"/>
      <c r="W412" s="46"/>
      <c r="X412" s="73"/>
      <c r="Y412" s="27"/>
      <c r="Z412" s="27"/>
      <c r="AA412" s="27"/>
    </row>
    <row r="413" spans="2:27" s="25" customFormat="1" ht="15.75">
      <c r="B413" s="27"/>
      <c r="C413" s="27"/>
      <c r="D413" s="28"/>
      <c r="E413" s="28"/>
      <c r="F413" s="28"/>
      <c r="G413" s="28"/>
      <c r="H413" s="23"/>
      <c r="I413" s="24"/>
      <c r="J413" s="28"/>
      <c r="K413" s="28"/>
      <c r="L413" s="24"/>
      <c r="U413" s="27"/>
      <c r="V413" s="27"/>
      <c r="W413" s="46"/>
      <c r="X413" s="73"/>
      <c r="Y413" s="27"/>
      <c r="Z413" s="27"/>
      <c r="AA413" s="27"/>
    </row>
    <row r="414" spans="2:27" s="25" customFormat="1" ht="15.75">
      <c r="B414" s="27"/>
      <c r="C414" s="27"/>
      <c r="D414" s="28"/>
      <c r="E414" s="28"/>
      <c r="F414" s="28"/>
      <c r="G414" s="28"/>
      <c r="H414" s="23"/>
      <c r="I414" s="24"/>
      <c r="J414" s="28"/>
      <c r="K414" s="28"/>
      <c r="L414" s="24"/>
      <c r="U414" s="27"/>
      <c r="V414" s="27"/>
      <c r="W414" s="46"/>
      <c r="X414" s="73"/>
      <c r="Y414" s="27"/>
      <c r="Z414" s="27"/>
      <c r="AA414" s="27"/>
    </row>
    <row r="415" spans="2:27" s="25" customFormat="1" ht="15.75">
      <c r="B415" s="27"/>
      <c r="C415" s="27"/>
      <c r="D415" s="28"/>
      <c r="E415" s="28"/>
      <c r="F415" s="28"/>
      <c r="G415" s="28"/>
      <c r="H415" s="23"/>
      <c r="I415" s="24"/>
      <c r="J415" s="28"/>
      <c r="K415" s="28"/>
      <c r="L415" s="24"/>
      <c r="U415" s="27"/>
      <c r="V415" s="27"/>
      <c r="W415" s="46"/>
      <c r="X415" s="73"/>
      <c r="Y415" s="27"/>
      <c r="Z415" s="27"/>
      <c r="AA415" s="27"/>
    </row>
    <row r="416" spans="2:27" s="25" customFormat="1" ht="15.75">
      <c r="B416" s="27"/>
      <c r="C416" s="27"/>
      <c r="D416" s="28"/>
      <c r="E416" s="28"/>
      <c r="F416" s="28"/>
      <c r="G416" s="28"/>
      <c r="H416" s="23"/>
      <c r="I416" s="24"/>
      <c r="J416" s="28"/>
      <c r="K416" s="28"/>
      <c r="L416" s="24"/>
      <c r="U416" s="27"/>
      <c r="V416" s="27"/>
      <c r="W416" s="46"/>
      <c r="X416" s="73"/>
      <c r="Y416" s="27"/>
      <c r="Z416" s="27"/>
      <c r="AA416" s="27"/>
    </row>
    <row r="417" spans="2:27" s="25" customFormat="1" ht="15.75">
      <c r="B417" s="27"/>
      <c r="C417" s="27"/>
      <c r="D417" s="28"/>
      <c r="E417" s="28"/>
      <c r="F417" s="28"/>
      <c r="G417" s="28"/>
      <c r="H417" s="23"/>
      <c r="I417" s="24"/>
      <c r="J417" s="28"/>
      <c r="K417" s="28"/>
      <c r="L417" s="24"/>
      <c r="U417" s="27"/>
      <c r="V417" s="27"/>
      <c r="W417" s="46"/>
      <c r="X417" s="73"/>
      <c r="Y417" s="27"/>
      <c r="Z417" s="27"/>
      <c r="AA417" s="27"/>
    </row>
    <row r="418" spans="2:27" s="25" customFormat="1" ht="15.75">
      <c r="B418" s="27"/>
      <c r="C418" s="27"/>
      <c r="D418" s="28"/>
      <c r="E418" s="28"/>
      <c r="F418" s="28"/>
      <c r="G418" s="28"/>
      <c r="H418" s="23"/>
      <c r="I418" s="24"/>
      <c r="J418" s="28"/>
      <c r="K418" s="28"/>
      <c r="L418" s="24"/>
      <c r="U418" s="27"/>
      <c r="V418" s="27"/>
      <c r="W418" s="46"/>
      <c r="X418" s="73"/>
      <c r="Y418" s="27"/>
      <c r="Z418" s="27"/>
      <c r="AA418" s="27"/>
    </row>
    <row r="419" spans="2:27" s="25" customFormat="1" ht="15.75">
      <c r="B419" s="27"/>
      <c r="C419" s="27"/>
      <c r="D419" s="28"/>
      <c r="E419" s="28"/>
      <c r="F419" s="28"/>
      <c r="G419" s="28"/>
      <c r="H419" s="23"/>
      <c r="I419" s="24"/>
      <c r="J419" s="28"/>
      <c r="K419" s="28"/>
      <c r="L419" s="24"/>
      <c r="U419" s="27"/>
      <c r="V419" s="27"/>
      <c r="W419" s="46"/>
      <c r="X419" s="73"/>
      <c r="Y419" s="27"/>
      <c r="Z419" s="27"/>
      <c r="AA419" s="27"/>
    </row>
    <row r="420" spans="2:27" s="25" customFormat="1" ht="15.75">
      <c r="B420" s="27"/>
      <c r="C420" s="27"/>
      <c r="D420" s="28"/>
      <c r="E420" s="28"/>
      <c r="F420" s="28"/>
      <c r="G420" s="28"/>
      <c r="H420" s="23"/>
      <c r="I420" s="24"/>
      <c r="J420" s="28"/>
      <c r="K420" s="28"/>
      <c r="L420" s="24"/>
      <c r="U420" s="27"/>
      <c r="V420" s="27"/>
      <c r="W420" s="46"/>
      <c r="X420" s="73"/>
      <c r="Y420" s="27"/>
      <c r="Z420" s="27"/>
      <c r="AA420" s="27"/>
    </row>
    <row r="421" spans="2:27" s="25" customFormat="1" ht="15.75">
      <c r="B421" s="27"/>
      <c r="C421" s="27"/>
      <c r="D421" s="28"/>
      <c r="E421" s="28"/>
      <c r="F421" s="28"/>
      <c r="G421" s="28"/>
      <c r="H421" s="23"/>
      <c r="I421" s="24"/>
      <c r="J421" s="28"/>
      <c r="K421" s="28"/>
      <c r="L421" s="24"/>
      <c r="U421" s="27"/>
      <c r="V421" s="27"/>
      <c r="W421" s="46"/>
      <c r="X421" s="73"/>
      <c r="Y421" s="27"/>
      <c r="Z421" s="27"/>
      <c r="AA421" s="27"/>
    </row>
    <row r="422" spans="2:27" s="25" customFormat="1" ht="15.75">
      <c r="B422" s="27"/>
      <c r="C422" s="27"/>
      <c r="D422" s="28"/>
      <c r="E422" s="28"/>
      <c r="F422" s="28"/>
      <c r="G422" s="28"/>
      <c r="H422" s="23"/>
      <c r="I422" s="24"/>
      <c r="J422" s="28"/>
      <c r="K422" s="28"/>
      <c r="L422" s="24"/>
      <c r="U422" s="27"/>
      <c r="V422" s="27"/>
      <c r="W422" s="46"/>
      <c r="X422" s="73"/>
      <c r="Y422" s="27"/>
      <c r="Z422" s="27"/>
      <c r="AA422" s="27"/>
    </row>
    <row r="423" spans="2:27" s="25" customFormat="1" ht="15.75">
      <c r="B423" s="27"/>
      <c r="C423" s="27"/>
      <c r="D423" s="28"/>
      <c r="E423" s="28"/>
      <c r="F423" s="28"/>
      <c r="G423" s="28"/>
      <c r="H423" s="23"/>
      <c r="I423" s="24"/>
      <c r="J423" s="28"/>
      <c r="K423" s="28"/>
      <c r="L423" s="24"/>
      <c r="U423" s="27"/>
      <c r="V423" s="27"/>
      <c r="W423" s="46"/>
      <c r="X423" s="73"/>
      <c r="Y423" s="27"/>
      <c r="Z423" s="27"/>
      <c r="AA423" s="27"/>
    </row>
    <row r="424" spans="2:27" s="25" customFormat="1" ht="15.75">
      <c r="B424" s="27"/>
      <c r="C424" s="27"/>
      <c r="D424" s="28"/>
      <c r="E424" s="28"/>
      <c r="F424" s="28"/>
      <c r="G424" s="28"/>
      <c r="H424" s="23"/>
      <c r="I424" s="24"/>
      <c r="J424" s="28"/>
      <c r="K424" s="28"/>
      <c r="L424" s="24"/>
      <c r="U424" s="27"/>
      <c r="V424" s="27"/>
      <c r="W424" s="46"/>
      <c r="X424" s="73"/>
      <c r="Y424" s="27"/>
      <c r="Z424" s="27"/>
      <c r="AA424" s="27"/>
    </row>
    <row r="425" spans="2:27" s="25" customFormat="1" ht="15.75">
      <c r="B425" s="27"/>
      <c r="C425" s="27"/>
      <c r="D425" s="28"/>
      <c r="E425" s="28"/>
      <c r="F425" s="28"/>
      <c r="G425" s="28"/>
      <c r="H425" s="23"/>
      <c r="I425" s="24"/>
      <c r="J425" s="28"/>
      <c r="K425" s="28"/>
      <c r="L425" s="24"/>
      <c r="U425" s="27"/>
      <c r="V425" s="27"/>
      <c r="W425" s="46"/>
      <c r="X425" s="73"/>
      <c r="Y425" s="27"/>
      <c r="Z425" s="27"/>
      <c r="AA425" s="27"/>
    </row>
    <row r="426" spans="2:27" s="25" customFormat="1" ht="15.75">
      <c r="B426" s="27"/>
      <c r="C426" s="27"/>
      <c r="D426" s="28"/>
      <c r="E426" s="28"/>
      <c r="F426" s="28"/>
      <c r="G426" s="28"/>
      <c r="H426" s="23"/>
      <c r="I426" s="24"/>
      <c r="J426" s="28"/>
      <c r="K426" s="28"/>
      <c r="L426" s="24"/>
      <c r="U426" s="27"/>
      <c r="V426" s="27"/>
      <c r="W426" s="46"/>
      <c r="X426" s="73"/>
      <c r="Y426" s="27"/>
      <c r="Z426" s="27"/>
      <c r="AA426" s="27"/>
    </row>
    <row r="427" spans="2:27" s="25" customFormat="1" ht="15.75">
      <c r="B427" s="27"/>
      <c r="C427" s="27"/>
      <c r="D427" s="28"/>
      <c r="E427" s="28"/>
      <c r="F427" s="28"/>
      <c r="G427" s="28"/>
      <c r="H427" s="23"/>
      <c r="I427" s="24"/>
      <c r="J427" s="28"/>
      <c r="K427" s="28"/>
      <c r="L427" s="24"/>
      <c r="U427" s="27"/>
      <c r="V427" s="27"/>
      <c r="W427" s="46"/>
      <c r="X427" s="73"/>
      <c r="Y427" s="27"/>
      <c r="Z427" s="27"/>
      <c r="AA427" s="27"/>
    </row>
    <row r="428" spans="2:27" s="25" customFormat="1" ht="15.75">
      <c r="B428" s="27"/>
      <c r="C428" s="27"/>
      <c r="D428" s="28"/>
      <c r="E428" s="28"/>
      <c r="F428" s="28"/>
      <c r="G428" s="28"/>
      <c r="H428" s="23"/>
      <c r="I428" s="24"/>
      <c r="J428" s="28"/>
      <c r="K428" s="28"/>
      <c r="L428" s="24"/>
      <c r="U428" s="27"/>
      <c r="V428" s="27"/>
      <c r="W428" s="46"/>
      <c r="X428" s="73"/>
      <c r="Y428" s="27"/>
      <c r="Z428" s="27"/>
      <c r="AA428" s="27"/>
    </row>
    <row r="429" spans="2:27" s="25" customFormat="1" ht="15.75">
      <c r="B429" s="27"/>
      <c r="C429" s="27"/>
      <c r="D429" s="28"/>
      <c r="E429" s="28"/>
      <c r="F429" s="28"/>
      <c r="G429" s="28"/>
      <c r="H429" s="23"/>
      <c r="I429" s="24"/>
      <c r="J429" s="28"/>
      <c r="K429" s="28"/>
      <c r="L429" s="24"/>
      <c r="U429" s="27"/>
      <c r="V429" s="27"/>
      <c r="W429" s="46"/>
      <c r="X429" s="73"/>
      <c r="Y429" s="27"/>
      <c r="Z429" s="27"/>
      <c r="AA429" s="27"/>
    </row>
    <row r="430" spans="2:27" s="25" customFormat="1" ht="15.75">
      <c r="B430" s="27"/>
      <c r="C430" s="27"/>
      <c r="D430" s="28"/>
      <c r="E430" s="28"/>
      <c r="F430" s="28"/>
      <c r="G430" s="28"/>
      <c r="H430" s="23"/>
      <c r="I430" s="24"/>
      <c r="J430" s="28"/>
      <c r="K430" s="28"/>
      <c r="L430" s="24"/>
      <c r="U430" s="27"/>
      <c r="V430" s="27"/>
      <c r="W430" s="46"/>
      <c r="X430" s="73"/>
      <c r="Y430" s="27"/>
      <c r="Z430" s="27"/>
      <c r="AA430" s="27"/>
    </row>
    <row r="431" spans="2:27" s="25" customFormat="1" ht="15.75">
      <c r="B431" s="27"/>
      <c r="C431" s="27"/>
      <c r="D431" s="28"/>
      <c r="E431" s="28"/>
      <c r="F431" s="28"/>
      <c r="G431" s="28"/>
      <c r="H431" s="23"/>
      <c r="I431" s="24"/>
      <c r="J431" s="28"/>
      <c r="K431" s="28"/>
      <c r="L431" s="24"/>
      <c r="U431" s="27"/>
      <c r="V431" s="27"/>
      <c r="W431" s="46"/>
      <c r="X431" s="73"/>
      <c r="Y431" s="27"/>
      <c r="Z431" s="27"/>
      <c r="AA431" s="27"/>
    </row>
    <row r="432" spans="2:27" s="25" customFormat="1" ht="15.75">
      <c r="B432" s="27"/>
      <c r="C432" s="27"/>
      <c r="D432" s="28"/>
      <c r="E432" s="28"/>
      <c r="F432" s="28"/>
      <c r="G432" s="28"/>
      <c r="H432" s="23"/>
      <c r="I432" s="24"/>
      <c r="J432" s="28"/>
      <c r="K432" s="28"/>
      <c r="L432" s="24"/>
      <c r="U432" s="27"/>
      <c r="V432" s="27"/>
      <c r="W432" s="46"/>
      <c r="X432" s="73"/>
      <c r="Y432" s="27"/>
      <c r="Z432" s="27"/>
      <c r="AA432" s="27"/>
    </row>
    <row r="433" spans="2:27" s="25" customFormat="1" ht="15.75">
      <c r="B433" s="27"/>
      <c r="C433" s="27"/>
      <c r="D433" s="28"/>
      <c r="E433" s="28"/>
      <c r="F433" s="28"/>
      <c r="G433" s="28"/>
      <c r="H433" s="23"/>
      <c r="I433" s="24"/>
      <c r="J433" s="28"/>
      <c r="K433" s="28"/>
      <c r="L433" s="24"/>
      <c r="U433" s="27"/>
      <c r="V433" s="27"/>
      <c r="W433" s="46"/>
      <c r="X433" s="73"/>
      <c r="Y433" s="27"/>
      <c r="Z433" s="27"/>
      <c r="AA433" s="27"/>
    </row>
    <row r="434" spans="2:27" s="25" customFormat="1" ht="15.75">
      <c r="B434" s="27"/>
      <c r="C434" s="27"/>
      <c r="D434" s="28"/>
      <c r="E434" s="28"/>
      <c r="F434" s="28"/>
      <c r="G434" s="28"/>
      <c r="H434" s="23"/>
      <c r="I434" s="24"/>
      <c r="J434" s="28"/>
      <c r="K434" s="28"/>
      <c r="L434" s="24"/>
      <c r="U434" s="27"/>
      <c r="V434" s="27"/>
      <c r="W434" s="46"/>
      <c r="X434" s="73"/>
      <c r="Y434" s="27"/>
      <c r="Z434" s="27"/>
      <c r="AA434" s="27"/>
    </row>
    <row r="435" spans="2:27" s="25" customFormat="1" ht="15.75">
      <c r="B435" s="27"/>
      <c r="C435" s="27"/>
      <c r="D435" s="28"/>
      <c r="E435" s="23"/>
      <c r="F435" s="23"/>
      <c r="G435" s="23"/>
      <c r="H435" s="23"/>
      <c r="I435" s="24"/>
      <c r="J435" s="28"/>
      <c r="K435" s="28"/>
      <c r="L435" s="24"/>
      <c r="U435" s="27"/>
      <c r="V435" s="27"/>
      <c r="W435" s="46"/>
      <c r="X435" s="73"/>
      <c r="Y435" s="27"/>
      <c r="Z435" s="27"/>
      <c r="AA435" s="27"/>
    </row>
    <row r="436" spans="2:27" s="25" customFormat="1" ht="15.75">
      <c r="B436" s="27"/>
      <c r="C436" s="27"/>
      <c r="D436" s="28"/>
      <c r="E436" s="23"/>
      <c r="F436" s="23"/>
      <c r="G436" s="23"/>
      <c r="H436" s="23"/>
      <c r="I436" s="24"/>
      <c r="J436" s="28"/>
      <c r="K436" s="28"/>
      <c r="L436" s="24"/>
      <c r="U436" s="27"/>
      <c r="V436" s="27"/>
      <c r="W436" s="46"/>
      <c r="X436" s="73"/>
      <c r="Y436" s="27"/>
      <c r="Z436" s="27"/>
      <c r="AA436" s="27"/>
    </row>
    <row r="437" spans="2:27" s="25" customFormat="1" ht="15.75">
      <c r="B437" s="27"/>
      <c r="C437" s="27"/>
      <c r="D437" s="28"/>
      <c r="E437" s="23"/>
      <c r="F437" s="23"/>
      <c r="G437" s="23"/>
      <c r="H437" s="23"/>
      <c r="I437" s="24"/>
      <c r="J437" s="28"/>
      <c r="K437" s="28"/>
      <c r="L437" s="24"/>
      <c r="U437" s="27"/>
      <c r="V437" s="27"/>
      <c r="W437" s="46"/>
      <c r="X437" s="73"/>
      <c r="Y437" s="27"/>
      <c r="Z437" s="27"/>
      <c r="AA437" s="27"/>
    </row>
    <row r="438" spans="2:27" s="25" customFormat="1" ht="15.75">
      <c r="B438" s="27"/>
      <c r="C438" s="27"/>
      <c r="D438" s="28"/>
      <c r="E438" s="23"/>
      <c r="F438" s="23"/>
      <c r="G438" s="23"/>
      <c r="H438" s="23"/>
      <c r="I438" s="24"/>
      <c r="J438" s="28"/>
      <c r="K438" s="28"/>
      <c r="L438" s="24"/>
      <c r="U438" s="27"/>
      <c r="V438" s="27"/>
      <c r="W438" s="46"/>
      <c r="X438" s="73"/>
      <c r="Y438" s="27"/>
      <c r="Z438" s="27"/>
      <c r="AA438" s="27"/>
    </row>
  </sheetData>
  <phoneticPr fontId="6" type="noConversion"/>
  <printOptions horizontalCentered="1"/>
  <pageMargins left="0.11811023622047245" right="0.11811023622047245" top="0.35433070866141736" bottom="0.35433070866141736" header="0" footer="0"/>
  <pageSetup paperSize="9" scale="61" fitToHeight="0" orientation="landscape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工作表</vt:lpstr>
      </vt:variant>
      <vt:variant>
        <vt:i4>1</vt:i4>
      </vt:variant>
      <vt:variant>
        <vt:lpstr>具名範圍</vt:lpstr>
      </vt:variant>
      <vt:variant>
        <vt:i4>2</vt:i4>
      </vt:variant>
    </vt:vector>
  </HeadingPairs>
  <TitlesOfParts>
    <vt:vector size="3" baseType="lpstr">
      <vt:lpstr>所有物料</vt:lpstr>
      <vt:lpstr>所有物料!Print_Area</vt:lpstr>
      <vt:lpstr>所有物料!Print_Titles</vt:lpstr>
    </vt:vector>
  </TitlesOfParts>
  <Company>HP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sf254</dc:creator>
  <cp:lastModifiedBy>芊妤 李</cp:lastModifiedBy>
  <cp:lastPrinted>2026-04-21T07:24:45Z</cp:lastPrinted>
  <dcterms:created xsi:type="dcterms:W3CDTF">2022-01-28T02:46:53Z</dcterms:created>
  <dcterms:modified xsi:type="dcterms:W3CDTF">2026-06-03T15:25:23Z</dcterms:modified>
</cp:coreProperties>
</file>